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Default Extension="jpeg" ContentType="image/jpeg"/>
  <Default Extension="png" ContentType="image/png"/>
  <Default Extension="tiff" ContentType="image/tiff"/>
  <Default Extension="gif" ContentType="image/gif"/>
  <Default Extension="bin" ContentType="application/vnd.openxmlformats-officedocument.oleObject"/>
  <Default Extension="wmf" ContentType="image/x-wmf"/>
  <Default Extension="emf" ContentType="image/x-emf"/>
  <Override PartName="/docProps/app.xml" ContentType="application/vnd.openxmlformats-officedocument.extended-properties+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alerieBAtes\Desktop\Amendment 0008\"/>
    </mc:Choice>
  </mc:AlternateContent>
  <xr:revisionPtr revIDLastSave="0" documentId="13_ncr:1_{582A4949-40D9-4B30-85BD-6325581DE853}" xr6:coauthVersionLast="47" xr6:coauthVersionMax="47" xr10:uidLastSave="{00000000-0000-0000-0000-000000000000}"/>
  <workbookProtection lockStructure="1" workbookAlgorithmName="SHA-512" workbookHashValue="iqxJn2pbd2iGPJ429jRdYBqNgvTkECN4bA7LWoSMartgUN8we3q/UUUEyln+ZiIo0xKTm64RtbCChV/n11W2Yw==" workbookSaltValue="/gPXHMeVRTR/Rm+NEzATkg==" workbookSpinCount="100000"/>
  <bookViews>
    <workbookView activeTab="1" windowHeight="16776" windowWidth="30936" xWindow="30612" xr2:uid="{00000000-000D-0000-FFFF-FFFF00000000}" yWindow="-108"/>
  </bookViews>
  <sheets>
    <sheet name="Instructions" sheetId="1" r:id="rId1"/>
    <sheet name="Cost-Price Templa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<sst xmlns="http://schemas.openxmlformats.org/spreadsheetml/2006/main" count="97" uniqueCount="94">
  <si>
    <t>L.5.7.2 - Cost/Price Template Instructions</t>
  </si>
  <si>
    <t>Amendment 0008</t>
  </si>
  <si>
    <r>
      <rPr>
        <rFont val="Arial"/>
        <b/>
        <color rgb="FF000000"/>
        <sz val="11"/>
      </rPr>
      <t>Introduction</t>
    </r>
    <r>
      <rPr>
        <rFont val="Arial"/>
        <color rgb="FF000000"/>
        <sz val="11"/>
      </rPr>
      <t>: Offerors are highly recommended to review the entire solicitation, with a strong emphasis on Sections L and M of the RFP. Section L details the instructions to Offerors while Section M details the evaluation factors for award.</t>
    </r>
  </si>
  <si>
    <t>Row(s)</t>
  </si>
  <si>
    <t>Column</t>
  </si>
  <si>
    <t>Instruction</t>
  </si>
  <si>
    <t>C</t>
  </si>
  <si>
    <t>Enter the Official Legal Offering Entity Name.</t>
  </si>
  <si>
    <t>Enter the Official Legal Offering Entity's SAM UEID.</t>
  </si>
  <si>
    <t>7 and 8</t>
  </si>
  <si>
    <t>D through P</t>
  </si>
  <si>
    <t xml:space="preserve">In Row 7, the template has been pre-populated with Fringe Benefits, Overhead, and G&amp;A indirect cost pool names. Offerors with a different indirect rate structure than that included in Row 7 are able to edit the indirect cost pool names and are provided with ten additional columns to include additional indirect rate(s), Columns D through P, as applicable.
In Row 8, enter indirect rate percentages, rounded to two decimal places, for each indirect cost pool included in the Offeror's indirect rate structure applicable to the proposed direct labor rates.
For example, if an Offeror has two Overhead cost pools/rates included in their indirect rate structure, the Offeror will insert the name of each Overhead cost pool/rate into Row 7, within Columns D through P, and will enter the applicable indirect rate percentage into the corresponding column in Row 8. If the Offeror does not have a separate Fringe Benefits final indirect cost pool/rate, the Offeror may remove that indirect cost pool name from Row 7 and rename to an indirect cost pool that is included in the Offeror's indirect rate structure.
If an Offeror has a total of more than 13 indirect cost pools/rates, it may combine (i.e., wrap) multiple indirect rates into a column. A description of each of the rates and an explanation for combining them must be provided in the Basis of Estimate. See RFP Section L.5.7.3.
</t>
  </si>
  <si>
    <t>Q</t>
  </si>
  <si>
    <t>Enter the profit percentage.</t>
  </si>
  <si>
    <t>9-28</t>
  </si>
  <si>
    <t>Enter direct labor rates for all 20 labor categories, rounded to two decimal places.</t>
  </si>
  <si>
    <t>D through R</t>
  </si>
  <si>
    <t>The template has been pre-populated with the following formulas: Fringe Benefits applied to Direct Labor; Overhead applied to the sum of Direct Labor and Fringe Benefits; G&amp;A applied to the sum of Direct Labor, Fringe Benefits, and Overhead (i.e, a Total Cost Input allocation base); and Profit applied to the sum of Direct Labor, Fringe Benefits, Overhead, and G&amp;A. Offerors with a different indirect rate structure than that pre-populated in the template have the ability to edit the formulas to apply their actual indirect rates to the appropriate allocation bases. A description of each of the rates and their allocation bases must be provided in the Basis of Estimate. See RFP Section L.5.7.3.</t>
  </si>
  <si>
    <r>
      <rPr>
        <rFont val="Arial"/>
        <b/>
        <color rgb="FF000000"/>
        <sz val="11"/>
      </rPr>
      <t xml:space="preserve">Escalation: </t>
    </r>
    <r>
      <rPr>
        <rFont val="Arial"/>
        <color rgb="FF000000"/>
        <sz val="11"/>
      </rPr>
      <t>Sole source T&amp;M/LH ceiling rates for Years 1 through 15 will automatically be calculated for each labor category by applying an escalation factor of 4.41%, which is embedded in the spreadsheet. Escalation is included in the Year 1 fully burdened (i.e., loaded) hourly labor rates to allow sufficient time for proposal evaluation between proposal submission and awards. This escalation factor is based on the average of the annual Bureau of Labor Statistics Economic Cost Index (Wages and salaries for Private industry workers in All industries and occupations, 12-month percent change) for the previous three years. Offerors shall not change the escalation factor in the spreadsheet.</t>
    </r>
  </si>
  <si>
    <r>
      <rPr>
        <rFont val="Arial"/>
        <b/>
        <color rgb="FF000000"/>
        <sz val="11"/>
      </rPr>
      <t>Caution:</t>
    </r>
    <r>
      <rPr>
        <rFont val="Arial"/>
        <color rgb="FF000000"/>
        <sz val="11"/>
      </rPr>
      <t xml:space="preserve"> Adding/deleting rows or columns, or converting this spreadsheet to other software programs or formats will affect compatibility with the OASIS+ Submission Portal (OSP) (Symphony) pricing module.</t>
    </r>
  </si>
  <si>
    <t>ATTACHMENT J.P-9 - COST/PRICE TEMPLATE</t>
  </si>
  <si>
    <t xml:space="preserve">This attachment is in support of the OASIS+ solicitation.			</t>
  </si>
  <si>
    <t>See instructions in RFP Section L.5.7.2.</t>
  </si>
  <si>
    <t>OFFEROR:</t>
  </si>
  <si>
    <t>SAM UEID:</t>
  </si>
  <si>
    <t>Labor SOC Number</t>
  </si>
  <si>
    <t>OASIS+ Labor Category</t>
  </si>
  <si>
    <t>Direct Labor Rate</t>
  </si>
  <si>
    <t>Fringe Benefits</t>
  </si>
  <si>
    <t>Overhead</t>
  </si>
  <si>
    <t>G&amp;A</t>
  </si>
  <si>
    <t>Add'l Indirect Rate #1 (Optional)</t>
  </si>
  <si>
    <t>Add'l Indirect Rate #2 (Optional)</t>
  </si>
  <si>
    <t>Add'l Indirect Rate #3 (Optional)</t>
  </si>
  <si>
    <t>Add'l Indirect Rate #4 (Optional)</t>
  </si>
  <si>
    <t>Add'l Indirect Rate #5 (Optional)</t>
  </si>
  <si>
    <t>Add'l Indirect Rate #6 (Optional)</t>
  </si>
  <si>
    <t>Add'l Indirect Rate #7 (Optional)</t>
  </si>
  <si>
    <t>Add'l Indirect Rate #8 (Optional)</t>
  </si>
  <si>
    <t>Add'l Indirect Rate #9 (Optional)</t>
  </si>
  <si>
    <t>Add'l Indirect Rate #10 (Optional)</t>
  </si>
  <si>
    <t>Profit</t>
  </si>
  <si>
    <t>Year 1 Loaded Hourly Labor Rate</t>
  </si>
  <si>
    <t>Year 2 Loaded Hourly Labor Rate</t>
  </si>
  <si>
    <t>Year 3 Loaded Hourly Labor Rate</t>
  </si>
  <si>
    <t>Year 4 Loaded Hourly Labor Rate</t>
  </si>
  <si>
    <t>Year 5 Loaded Hourly Labor Rate</t>
  </si>
  <si>
    <t>Year 6 Loaded Hourly Labor Rate</t>
  </si>
  <si>
    <t>Year 7 Loaded Hourly Labor Rate</t>
  </si>
  <si>
    <t>Year 8 Loaded Hourly Labor Rate</t>
  </si>
  <si>
    <t>Year 9 Loaded Hourly Labor Rate</t>
  </si>
  <si>
    <t>Year 10 Loaded Hourly Labor Rate</t>
  </si>
  <si>
    <t>Year 11 Loaded Hourly Labor Rate</t>
  </si>
  <si>
    <t>Year 12 Loaded Hourly Labor Rate</t>
  </si>
  <si>
    <t>Year 13 Loaded Hourly Labor Rate</t>
  </si>
  <si>
    <t>Year 14 Loaded Hourly Labor Rate</t>
  </si>
  <si>
    <t>Year 15 Loaded Hourly Labor Rate</t>
  </si>
  <si>
    <t>17-2199</t>
  </si>
  <si>
    <t>Engineers, All Other (SME)</t>
  </si>
  <si>
    <t>Managers, All Other (SME)</t>
  </si>
  <si>
    <t>13-1111</t>
  </si>
  <si>
    <t>Management Analysts (SME)</t>
  </si>
  <si>
    <t>15-2031</t>
  </si>
  <si>
    <t>Operations Research Analysts (SME)</t>
  </si>
  <si>
    <t>13-1199</t>
  </si>
  <si>
    <t>Business Operations Specialists, All Other (SME)</t>
  </si>
  <si>
    <t>Administrative Services Managers (SME)</t>
  </si>
  <si>
    <t>11-1021</t>
  </si>
  <si>
    <t>General and Operations Managers (SME)</t>
  </si>
  <si>
    <t>13-2011</t>
  </si>
  <si>
    <t>Accountants and Auditors (SME)</t>
  </si>
  <si>
    <t>13-2099</t>
  </si>
  <si>
    <t>Financial Specialists, All Other (SME)</t>
  </si>
  <si>
    <t>13-1151</t>
  </si>
  <si>
    <t>Training and Development Specialists (SME)</t>
  </si>
  <si>
    <t>43-6011</t>
  </si>
  <si>
    <t>Executive Secretaries and Executive Administrative Assistants (SME)</t>
  </si>
  <si>
    <t>13-1081</t>
  </si>
  <si>
    <t>Logisticians (SME)</t>
  </si>
  <si>
    <t>13-2051</t>
  </si>
  <si>
    <t>Financial and Investment Analysts (SME)</t>
  </si>
  <si>
    <t>Training and Development Managers (SME)</t>
  </si>
  <si>
    <t>25-3099</t>
  </si>
  <si>
    <t>Teachers and Instructors, All Other (SME)</t>
  </si>
  <si>
    <t>13-1071</t>
  </si>
  <si>
    <t>Human Resources Specialists (SME)</t>
  </si>
  <si>
    <t>49-9071</t>
  </si>
  <si>
    <t>Maintenance and Repair Workers (SME)</t>
  </si>
  <si>
    <t>19-2041</t>
  </si>
  <si>
    <t>Environmental Scientists and Specialists, Including Health (SME)</t>
  </si>
  <si>
    <t>19-3099</t>
  </si>
  <si>
    <t>Social Scientists and Related Workers (SME)</t>
  </si>
  <si>
    <t>27-3031</t>
  </si>
  <si>
    <t>Public Relations Specialists (SME)</t>
  </si>
</sst>
</file>

<file path=xl/styles.xml><?xml version="1.0" encoding="utf-8"?>
<styleSheet xmlns="http://schemas.openxmlformats.org/spreadsheetml/2006/main" xmlns:a="http://schemas.openxmlformats.org/drawingml/2006/main" xmlns:mc="http://schemas.openxmlformats.org/markup-compatibility/2006" xmlns:x14ac="http://schemas.microsoft.com/office/spreadsheetml/2009/9/ac" xmlns:x16r2="http://schemas.microsoft.com/office/spreadsheetml/2015/02/main" xmlns:xdr="http://schemas.openxmlformats.org/drawingml/2006/spreadsheetDrawing" xmlns:xr="http://schemas.microsoft.com/office/spreadsheetml/2014/revision" count="3" mc:Ignorable="x14ac x16r2 xr">
  <numFmts count="10">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164" formatCode="&quot;$&quot;#,##0.00"/>
    <numFmt numFmtId="165" formatCode="m\-yyyy"/>
  </numFmts>
  <fonts count="9">
    <font>
      <name val="Calibri"/>
      <color rgb="FF000000"/>
      <sz val="11"/>
      <scheme val="minor"/>
    </font>
    <font>
      <name val="Arial"/>
      <b/>
      <color rgb="FF000000"/>
      <sz val="14"/>
    </font>
    <font>
      <name val="Calibri"/>
      <color rgb="FF000000"/>
      <sz val="11"/>
    </font>
    <font>
      <name val="Calibri"/>
      <color rgb="FF000000"/>
      <sz val="11"/>
    </font>
    <font>
      <name val="Arial"/>
      <b/>
      <color rgb="FF000000"/>
      <sz val="11"/>
    </font>
    <font>
      <name val="Arial"/>
      <color rgb="FF000000"/>
      <sz val="11"/>
    </font>
    <font>
      <name val="Arial"/>
      <b/>
      <color rgb="FF000000"/>
      <sz val="11"/>
    </font>
    <font>
      <name val="Arial"/>
      <color rgb="FF000000"/>
      <sz val="11"/>
    </font>
    <font>
      <name val="Arial"/>
      <color rgb="FF1F1F1F"/>
      <sz val="11"/>
    </font>
  </fonts>
  <fills count="7">
    <fill>
      <patternFill patternType="none"/>
    </fill>
    <fill>
      <patternFill patternType="gray125"/>
    </fill>
    <fill>
      <patternFill patternType="solid">
        <fgColor rgb="FFFFFFFF"/>
        <bgColor rgb="FFFFFFFF"/>
      </patternFill>
    </fill>
    <fill>
      <patternFill patternType="solid">
        <fgColor rgb="FFCFE2F3"/>
        <bgColor rgb="FFCFE2F3"/>
      </patternFill>
    </fill>
    <fill>
      <patternFill patternType="solid">
        <fgColor rgb="FFEEECE1"/>
        <bgColor rgb="FFEEECE1"/>
      </patternFill>
    </fill>
    <fill>
      <patternFill patternType="solid">
        <fgColor rgb="FFFFFFFF"/>
        <bgColor theme="0"/>
      </patternFill>
    </fill>
    <fill>
      <patternFill patternType="solid">
        <fgColor rgb="FFBFBFBF"/>
        <bgColor rgb="FFBFBFBF"/>
      </patternFill>
    </fill>
  </fills>
  <borders count="39">
    <border>
      <left style="none">
        <color rgb="FF000000"/>
      </left>
      <right style="none">
        <color rgb="FF000000"/>
      </right>
      <top style="none">
        <color rgb="FF000000"/>
      </top>
      <bottom style="none">
        <color rgb="FF000000"/>
      </bottom>
      <diagonal style="none">
        <color rgb="FF000000"/>
      </diagonal>
    </border>
    <border>
      <left style="thick">
        <color rgb="FF000000"/>
      </left>
      <right style="none">
        <color rgb="FF000000"/>
      </right>
      <top style="thick">
        <color rgb="FF000000"/>
      </top>
      <bottom style="thin">
        <color rgb="FF000000"/>
      </bottom>
      <diagonal style="none">
        <color rgb="FF000000"/>
      </diagonal>
    </border>
    <border>
      <left style="none">
        <color rgb="FF000000"/>
      </left>
      <right style="none">
        <color rgb="FF000000"/>
      </right>
      <top style="thick">
        <color rgb="FF000000"/>
      </top>
      <bottom style="thin">
        <color rgb="FF000000"/>
      </bottom>
      <diagonal style="none">
        <color rgb="FF000000"/>
      </diagonal>
    </border>
    <border>
      <left style="none">
        <color rgb="FF000000"/>
      </left>
      <right style="thick">
        <color rgb="FF000000"/>
      </right>
      <top style="thick">
        <color rgb="FF000000"/>
      </top>
      <bottom style="thin">
        <color rgb="FF000000"/>
      </bottom>
      <diagonal style="none">
        <color rgb="FF000000"/>
      </diagonal>
    </border>
    <border>
      <left style="thick">
        <color rgb="FF000000"/>
      </left>
      <right style="none">
        <color rgb="FF000000"/>
      </right>
      <top style="thin">
        <color rgb="FF000000"/>
      </top>
      <bottom style="thin">
        <color rgb="FF000000"/>
      </bottom>
      <diagonal style="none">
        <color rgb="FF000000"/>
      </diagonal>
    </border>
    <border>
      <left style="none">
        <color rgb="FF000000"/>
      </left>
      <right style="none">
        <color rgb="FF000000"/>
      </right>
      <top style="thin">
        <color rgb="FF000000"/>
      </top>
      <bottom style="thin">
        <color rgb="FF000000"/>
      </bottom>
      <diagonal style="none">
        <color rgb="FF000000"/>
      </diagonal>
    </border>
    <border>
      <left style="none">
        <color rgb="FF000000"/>
      </left>
      <right style="thick">
        <color rgb="FF000000"/>
      </right>
      <top style="thin">
        <color rgb="FF000000"/>
      </top>
      <bottom style="thin">
        <color rgb="FF000000"/>
      </bottom>
      <diagonal style="none">
        <color rgb="FF000000"/>
      </diagonal>
    </border>
    <border>
      <left style="thick">
        <color rgb="FF000000"/>
      </left>
      <right style="thin">
        <color rgb="FF000000"/>
      </right>
      <top style="thin">
        <color rgb="FF000000"/>
      </top>
      <bottom style="thin">
        <color rgb="FF000000"/>
      </bottom>
      <diagonal style="none">
        <color rgb="FF000000"/>
      </diagonal>
    </border>
    <border>
      <left style="thin">
        <color rgb="FF000000"/>
      </left>
      <right style="thin">
        <color rgb="FF000000"/>
      </right>
      <top style="thin">
        <color rgb="FF000000"/>
      </top>
      <bottom style="thin">
        <color rgb="FF000000"/>
      </bottom>
      <diagonal style="none">
        <color rgb="FF000000"/>
      </diagonal>
    </border>
    <border>
      <left style="thin">
        <color rgb="FF000000"/>
      </left>
      <right style="none">
        <color rgb="FF000000"/>
      </right>
      <top style="thin">
        <color rgb="FF000000"/>
      </top>
      <bottom style="thin">
        <color rgb="FF000000"/>
      </bottom>
      <diagonal style="none">
        <color rgb="FF000000"/>
      </diagonal>
    </border>
    <border>
      <left style="thick">
        <color rgb="FF000000"/>
      </left>
      <right style="none">
        <color rgb="FF000000"/>
      </right>
      <top style="thin">
        <color rgb="FF000000"/>
      </top>
      <bottom style="thick">
        <color rgb="FF000000"/>
      </bottom>
      <diagonal style="none">
        <color rgb="FF000000"/>
      </diagonal>
    </border>
    <border>
      <left style="none">
        <color rgb="FF000000"/>
      </left>
      <right style="none">
        <color rgb="FF000000"/>
      </right>
      <top style="thin">
        <color rgb="FF000000"/>
      </top>
      <bottom style="thick">
        <color rgb="FF000000"/>
      </bottom>
      <diagonal style="none">
        <color rgb="FF000000"/>
      </diagonal>
    </border>
    <border>
      <left style="none">
        <color rgb="FF000000"/>
      </left>
      <right style="thick">
        <color rgb="FF000000"/>
      </right>
      <top style="thin">
        <color rgb="FF000000"/>
      </top>
      <bottom style="thick">
        <color rgb="FF000000"/>
      </bottom>
      <diagonal style="none">
        <color rgb="FF000000"/>
      </diagonal>
    </border>
    <border>
      <left style="none">
        <color rgb="FF000000"/>
      </left>
      <right style="none">
        <color rgb="FF000000"/>
      </right>
      <top style="none">
        <color rgb="FF000000"/>
      </top>
      <bottom style="none">
        <color rgb="FF000000"/>
      </bottom>
      <diagonal style="none">
        <color rgb="FF000000"/>
      </diagonal>
    </border>
    <border>
      <left style="none">
        <color rgb="FF000000"/>
      </left>
      <right style="none">
        <color rgb="FF000000"/>
      </right>
      <top style="none">
        <color rgb="FF000000"/>
      </top>
      <bottom style="none">
        <color rgb="FF000000"/>
      </bottom>
      <diagonal style="none">
        <color rgb="FF000000"/>
      </diagonal>
    </border>
    <border>
      <left style="none">
        <color rgb="FF000000"/>
      </left>
      <right style="none">
        <color rgb="FF000000"/>
      </right>
      <top style="none">
        <color rgb="FF000000"/>
      </top>
      <bottom style="none">
        <color rgb="FF000000"/>
      </bottom>
      <diagonal style="none">
        <color rgb="FF000000"/>
      </diagonal>
    </border>
    <border>
      <left style="medium">
        <color rgb="FF000000"/>
      </left>
      <right style="none">
        <color rgb="FF000000"/>
      </right>
      <top style="medium">
        <color rgb="FF000000"/>
      </top>
      <bottom style="medium">
        <color rgb="FF000000"/>
      </bottom>
      <diagonal style="none">
        <color rgb="FF000000"/>
      </diagonal>
    </border>
    <border>
      <left style="none">
        <color rgb="FF000000"/>
      </left>
      <right style="none">
        <color rgb="FF000000"/>
      </right>
      <top style="medium">
        <color rgb="FF000000"/>
      </top>
      <bottom style="medium">
        <color rgb="FF000000"/>
      </bottom>
      <diagonal style="none">
        <color rgb="FF000000"/>
      </diagonal>
    </border>
    <border>
      <left style="none">
        <color rgb="FF000000"/>
      </left>
      <right style="medium">
        <color rgb="FF000000"/>
      </right>
      <top style="medium">
        <color rgb="FF000000"/>
      </top>
      <bottom style="medium">
        <color rgb="FF000000"/>
      </bottom>
      <diagonal style="none">
        <color rgb="FF000000"/>
      </diagonal>
    </border>
    <border>
      <left style="none">
        <color rgb="FF000000"/>
      </left>
      <right style="medium">
        <color rgb="FFFFFFFF"/>
      </right>
      <top style="medium">
        <color rgb="FFFFFFFF"/>
      </top>
      <bottom style="medium">
        <color rgb="FFFFFFFF"/>
      </bottom>
      <diagonal style="none">
        <color rgb="FF000000"/>
      </diagonal>
    </border>
    <border>
      <left style="medium">
        <color rgb="FFFFFFFF"/>
      </left>
      <right style="medium">
        <color rgb="FFFFFFFF"/>
      </right>
      <top style="medium">
        <color rgb="FFFFFFFF"/>
      </top>
      <bottom style="medium">
        <color rgb="FFFFFFFF"/>
      </bottom>
      <diagonal style="none">
        <color rgb="FF000000"/>
      </diagonal>
    </border>
    <border>
      <left style="medium">
        <color rgb="FF000000"/>
      </left>
      <right style="none">
        <color rgb="FF000000"/>
      </right>
      <top style="none">
        <color rgb="FF000000"/>
      </top>
      <bottom style="medium">
        <color rgb="FF000000"/>
      </bottom>
      <diagonal style="none">
        <color rgb="FF000000"/>
      </diagonal>
    </border>
    <border>
      <left style="none">
        <color rgb="FF000000"/>
      </left>
      <right style="medium">
        <color rgb="FF000000"/>
      </right>
      <top style="none">
        <color rgb="FF000000"/>
      </top>
      <bottom style="medium">
        <color rgb="FF000000"/>
      </bottom>
      <diagonal style="none">
        <color rgb="FF000000"/>
      </diagonal>
    </border>
    <border>
      <left style="none">
        <color rgb="FF000000"/>
      </left>
      <right style="none">
        <color rgb="FF000000"/>
      </right>
      <top style="none">
        <color rgb="FF000000"/>
      </top>
      <bottom style="none">
        <color rgb="FF000000"/>
      </bottom>
      <diagonal style="none">
        <color rgb="FF000000"/>
      </diagonal>
    </border>
    <border>
      <left style="none">
        <color rgb="FF000000"/>
      </left>
      <right style="none">
        <color rgb="FF000000"/>
      </right>
      <top style="none">
        <color rgb="FF000000"/>
      </top>
      <bottom style="none">
        <color rgb="FF000000"/>
      </bottom>
      <diagonal style="none">
        <color rgb="FF000000"/>
      </diagonal>
    </border>
    <border>
      <left style="none">
        <color rgb="FF000000"/>
      </left>
      <right style="none">
        <color rgb="FF000000"/>
      </right>
      <top style="none">
        <color rgb="FF000000"/>
      </top>
      <bottom style="none">
        <color rgb="FF000000"/>
      </bottom>
      <diagonal style="none">
        <color rgb="FF000000"/>
      </diagonal>
    </border>
    <border>
      <left style="medium">
        <color rgb="FF000000"/>
      </left>
      <right style="thin">
        <color rgb="FF000000"/>
      </right>
      <top style="medium">
        <color rgb="FF000000"/>
      </top>
      <bottom style="thin">
        <color rgb="FF000000"/>
      </bottom>
      <diagonal style="none">
        <color rgb="FF000000"/>
      </diagonal>
    </border>
    <border>
      <left style="thin">
        <color rgb="FF000000"/>
      </left>
      <right style="thin">
        <color rgb="FF000000"/>
      </right>
      <top style="medium">
        <color rgb="FF000000"/>
      </top>
      <bottom style="thin">
        <color rgb="FF000000"/>
      </bottom>
      <diagonal style="none">
        <color rgb="FF000000"/>
      </diagonal>
    </border>
    <border>
      <left style="thin">
        <color rgb="FF000000"/>
      </left>
      <right style="medium">
        <color rgb="FF000000"/>
      </right>
      <top style="medium">
        <color rgb="FF000000"/>
      </top>
      <bottom style="thin">
        <color rgb="FF000000"/>
      </bottom>
      <diagonal style="none">
        <color rgb="FF000000"/>
      </diagonal>
    </border>
    <border>
      <left style="medium">
        <color rgb="FF000000"/>
      </left>
      <right style="none">
        <color rgb="FF000000"/>
      </right>
      <top style="thin">
        <color rgb="FF000000"/>
      </top>
      <bottom style="thin">
        <color rgb="FF000000"/>
      </bottom>
      <diagonal style="none">
        <color rgb="FF000000"/>
      </diagonal>
    </border>
    <border>
      <left style="none">
        <color rgb="FF000000"/>
      </left>
      <right style="thin">
        <color rgb="FF000000"/>
      </right>
      <top style="thin">
        <color rgb="FF000000"/>
      </top>
      <bottom style="thin">
        <color rgb="FF000000"/>
      </bottom>
      <diagonal style="none">
        <color rgb="FF000000"/>
      </diagonal>
    </border>
    <border>
      <left style="none">
        <color rgb="FF000000"/>
      </left>
      <right style="medium">
        <color rgb="FF000000"/>
      </right>
      <top style="thin">
        <color rgb="FF000000"/>
      </top>
      <bottom style="thin">
        <color rgb="FF000000"/>
      </bottom>
      <diagonal style="none">
        <color rgb="FF000000"/>
      </diagonal>
    </border>
    <border>
      <left style="medium">
        <color rgb="FF000000"/>
      </left>
      <right style="thin">
        <color rgb="FF000000"/>
      </right>
      <top style="thin">
        <color rgb="FF000000"/>
      </top>
      <bottom style="thin">
        <color rgb="FF000000"/>
      </bottom>
      <diagonal style="none">
        <color rgb="FF000000"/>
      </diagonal>
    </border>
    <border>
      <left style="thin">
        <color rgb="FF000000"/>
      </left>
      <right style="thin">
        <color rgb="FF000000"/>
      </right>
      <top style="none">
        <color rgb="FF000000"/>
      </top>
      <bottom style="thin">
        <color rgb="FF000000"/>
      </bottom>
      <diagonal style="none">
        <color rgb="FF000000"/>
      </diagonal>
    </border>
    <border>
      <left style="thin">
        <color rgb="FF000000"/>
      </left>
      <right style="medium">
        <color rgb="FF000000"/>
      </right>
      <top style="none">
        <color rgb="FF000000"/>
      </top>
      <bottom style="thin">
        <color rgb="FF000000"/>
      </bottom>
      <diagonal style="none">
        <color rgb="FF000000"/>
      </diagonal>
    </border>
    <border>
      <left style="medium">
        <color rgb="FF000000"/>
      </left>
      <right style="thin">
        <color rgb="FF000000"/>
      </right>
      <top style="thin">
        <color rgb="FF000000"/>
      </top>
      <bottom style="medium">
        <color rgb="FF000000"/>
      </bottom>
      <diagonal style="none">
        <color rgb="FF000000"/>
      </diagonal>
    </border>
    <border>
      <left style="thin">
        <color rgb="FF000000"/>
      </left>
      <right style="thin">
        <color rgb="FF000000"/>
      </right>
      <top style="thin">
        <color rgb="FF000000"/>
      </top>
      <bottom style="medium">
        <color rgb="FF000000"/>
      </bottom>
      <diagonal style="none">
        <color rgb="FF000000"/>
      </diagonal>
    </border>
    <border>
      <left style="thin">
        <color rgb="FF000000"/>
      </left>
      <right style="thin">
        <color rgb="FF000000"/>
      </right>
      <top style="none">
        <color rgb="FF000000"/>
      </top>
      <bottom style="medium">
        <color rgb="FF000000"/>
      </bottom>
      <diagonal style="none">
        <color rgb="FF000000"/>
      </diagonal>
    </border>
    <border>
      <left style="thin">
        <color rgb="FF000000"/>
      </left>
      <right style="medium">
        <color rgb="FF000000"/>
      </right>
      <top style="none">
        <color rgb="FF000000"/>
      </top>
      <bottom style="medium">
        <color rgb="FF000000"/>
      </bottom>
      <diagonal style="none">
        <color rgb="FF000000"/>
      </diagonal>
    </border>
  </borders>
  <cellStyleXfs count="1">
    <xf numFmtId="0" fontId="0" fillId="0" borderId="0" xfId="0"/>
  </cellStyleXfs>
  <cellXfs count="69">
    <xf numFmtId="0" fontId="0" fillId="0" borderId="0" xfId="0"/>
    <xf numFmtId="0" fontId="3" fillId="0" borderId="0" xfId="0" applyFont="1" applyAlignment="1">
      <alignment vertical="center"/>
    </xf>
    <xf numFmtId="0" fontId="3" fillId="0" borderId="0" xfId="0" applyFont="1" applyAlignment="1">
      <alignment horizontal="left" vertical="center"/>
    </xf>
    <xf numFmtId="0" fontId="4" fillId="3" borderId="7" xfId="0" applyFont="1" applyFill="1" applyBorder="1" applyAlignment="1">
      <alignment horizontal="center"/>
    </xf>
    <xf numFmtId="0" fontId="6" fillId="3" borderId="8" xfId="0" applyFont="1" applyFill="1" applyBorder="1" applyAlignment="1">
      <alignment horizontal="center"/>
    </xf>
    <xf numFmtId="0" fontId="5" fillId="4" borderId="7" xfId="0" applyFont="1" applyFill="1" applyBorder="1" applyAlignment="1">
      <alignment horizontal="center" vertical="top"/>
    </xf>
    <xf numFmtId="0" fontId="5" fillId="4" borderId="8" xfId="0" applyFont="1" applyFill="1" applyBorder="1" applyAlignment="1">
      <alignment horizontal="center" vertical="top"/>
    </xf>
    <xf numFmtId="0" fontId="5" fillId="4" borderId="7" xfId="0" applyFont="1" applyFill="1" applyBorder="1" applyAlignment="1">
      <alignment horizontal="center" vertical="top" wrapText="1"/>
    </xf>
    <xf numFmtId="0" fontId="5" fillId="4" borderId="8" xfId="0" applyFont="1" applyFill="1" applyBorder="1" applyAlignment="1">
      <alignment horizontal="center" vertical="top" wrapText="1"/>
    </xf>
    <xf numFmtId="0" fontId="5" fillId="4" borderId="7" xfId="0" applyFont="1" applyFill="1" applyBorder="1" applyAlignment="1">
      <alignment horizontal="center" vertical="top" wrapText="1"/>
    </xf>
    <xf numFmtId="16" fontId="5" fillId="4" borderId="7" xfId="0" applyNumberFormat="1" applyFont="1" applyFill="1" applyBorder="1" applyAlignment="1">
      <alignment horizontal="center" vertical="top" wrapText="1"/>
    </xf>
    <xf numFmtId="0" fontId="5" fillId="5" borderId="15" xfId="0" applyFont="1" applyFill="1" applyBorder="1" applyAlignment="1">
      <alignment horizontal="left"/>
    </xf>
    <xf numFmtId="0" fontId="5" fillId="5" borderId="15" xfId="0" applyFont="1" applyFill="1" applyBorder="1"/>
    <xf numFmtId="0" fontId="5" fillId="5" borderId="19" xfId="0" applyFont="1" applyFill="1" applyBorder="1" applyAlignment="1">
      <alignment horizontal="left" wrapText="1"/>
    </xf>
    <xf numFmtId="0" fontId="5" fillId="5" borderId="20" xfId="0" applyFont="1" applyFill="1" applyBorder="1" applyAlignment="1">
      <alignment horizontal="left" wrapText="1"/>
    </xf>
    <xf numFmtId="0" fontId="5" fillId="5" borderId="25" xfId="0" applyFont="1" applyFill="1" applyBorder="1" applyAlignment="1">
      <alignment horizontal="center"/>
    </xf>
    <xf numFmtId="0" fontId="5" fillId="5" borderId="25" xfId="0" applyFont="1" applyFill="1" applyBorder="1"/>
    <xf numFmtId="0" fontId="4" fillId="6" borderId="26" xfId="0" applyFont="1" applyFill="1" applyBorder="1" applyAlignment="1">
      <alignment horizontal="center" wrapText="1"/>
    </xf>
    <xf numFmtId="0" fontId="4" fillId="6" borderId="27" xfId="0" applyFont="1" applyFill="1" applyBorder="1" applyAlignment="1">
      <alignment horizontal="center"/>
    </xf>
    <xf numFmtId="0" fontId="4" fillId="6" borderId="27" xfId="0" applyFont="1" applyFill="1" applyBorder="1" applyAlignment="1">
      <alignment horizontal="center" wrapText="1"/>
    </xf>
    <xf numFmtId="0" fontId="4" fillId="6" borderId="28" xfId="0" applyFont="1" applyFill="1" applyBorder="1" applyAlignment="1">
      <alignment horizontal="center" wrapText="1"/>
    </xf>
    <xf numFmtId="10" fontId="5" fillId="5" borderId="8" xfId="0" applyNumberFormat="1" applyFont="1" applyFill="1" applyBorder="1" applyAlignment="1">
      <alignment horizontal="center" wrapText="1"/>
    </xf>
    <xf numFmtId="10" fontId="5" fillId="5" borderId="8" xfId="0" applyNumberFormat="1" applyFont="1" applyFill="1" applyBorder="1" applyAlignment="1">
      <alignment horizontal="center"/>
    </xf>
    <xf numFmtId="0" fontId="5" fillId="4" borderId="32" xfId="0" applyFont="1" applyFill="1" applyBorder="1" applyAlignment="1">
      <alignment horizontal="left" wrapText="1"/>
    </xf>
    <xf numFmtId="0" fontId="5" fillId="4" borderId="8" xfId="0" applyFont="1" applyFill="1" applyBorder="1" applyAlignment="1">
      <alignment wrapText="1"/>
    </xf>
    <xf numFmtId="44" fontId="5" fillId="5" borderId="8" xfId="0" applyNumberFormat="1" applyFont="1" applyFill="1" applyBorder="1"/>
    <xf numFmtId="164" fontId="5" fillId="4" borderId="8" xfId="0" applyNumberFormat="1" applyFont="1" applyFill="1" applyBorder="1"/>
    <xf numFmtId="44" fontId="5" fillId="4" borderId="8" xfId="0" applyNumberFormat="1" applyFont="1" applyFill="1" applyBorder="1"/>
    <xf numFmtId="164" fontId="5" fillId="3" borderId="33" xfId="0" applyNumberFormat="1" applyFont="1" applyFill="1" applyBorder="1"/>
    <xf numFmtId="164" fontId="5" fillId="3" borderId="34" xfId="0" applyNumberFormat="1" applyFont="1" applyFill="1" applyBorder="1"/>
    <xf numFmtId="165" fontId="5" fillId="4" borderId="32" xfId="0" applyNumberFormat="1" applyFont="1" applyFill="1" applyBorder="1" applyAlignment="1">
      <alignment horizontal="left" wrapText="1"/>
    </xf>
    <xf numFmtId="0" fontId="5" fillId="4" borderId="35" xfId="0" applyFont="1" applyFill="1" applyBorder="1" applyAlignment="1">
      <alignment horizontal="left" wrapText="1"/>
    </xf>
    <xf numFmtId="0" fontId="5" fillId="4" borderId="36" xfId="0" applyFont="1" applyFill="1" applyBorder="1" applyAlignment="1">
      <alignment wrapText="1"/>
    </xf>
    <xf numFmtId="44" fontId="5" fillId="5" borderId="36" xfId="0" applyNumberFormat="1" applyFont="1" applyFill="1" applyBorder="1"/>
    <xf numFmtId="164" fontId="5" fillId="4" borderId="36" xfId="0" applyNumberFormat="1" applyFont="1" applyFill="1" applyBorder="1"/>
    <xf numFmtId="44" fontId="5" fillId="4" borderId="36" xfId="0" applyNumberFormat="1" applyFont="1" applyFill="1" applyBorder="1"/>
    <xf numFmtId="164" fontId="5" fillId="3" borderId="37" xfId="0" applyNumberFormat="1" applyFont="1" applyFill="1" applyBorder="1"/>
    <xf numFmtId="164" fontId="5" fillId="3" borderId="38" xfId="0" applyNumberFormat="1" applyFont="1" applyFill="1" applyBorder="1"/>
    <xf numFmtId="0" fontId="7" fillId="4" borderId="9" xfId="0" applyFont="1" applyFill="1" applyBorder="1" applyAlignment="1">
      <alignment horizontal="left" vertical="top"/>
    </xf>
    <xf numFmtId="0" fontId="2" fillId="0" borderId="5" xfId="0" applyFont="1" applyBorder="1"/>
    <xf numFmtId="0" fontId="2" fillId="0" borderId="6" xfId="0" applyFont="1" applyBorder="1"/>
    <xf numFmtId="0" fontId="8" fillId="4" borderId="9" xfId="0" applyFont="1" applyFill="1" applyBorder="1" applyAlignment="1">
      <alignment horizontal="left" vertical="top"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4" fillId="2" borderId="4"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4" fillId="3" borderId="9" xfId="0" applyFont="1" applyFill="1" applyBorder="1" applyAlignment="1">
      <alignment horizontal="center"/>
    </xf>
    <xf numFmtId="0" fontId="5" fillId="4" borderId="9" xfId="0" applyFont="1" applyFill="1" applyBorder="1" applyAlignment="1">
      <alignment horizontal="left" vertical="top"/>
    </xf>
    <xf numFmtId="0" fontId="7" fillId="4" borderId="9" xfId="0" applyFont="1" applyFill="1" applyBorder="1" applyAlignment="1">
      <alignment horizontal="left" vertical="top" wrapText="1"/>
    </xf>
    <xf numFmtId="0" fontId="5" fillId="2" borderId="4" xfId="0" applyFont="1" applyFill="1" applyBorder="1" applyAlignment="1">
      <alignment vertical="top" wrapText="1"/>
    </xf>
    <xf numFmtId="0" fontId="7" fillId="0" borderId="10" xfId="0" applyFont="1" applyBorder="1" applyAlignment="1">
      <alignment vertical="top" wrapText="1"/>
    </xf>
    <xf numFmtId="0" fontId="2" fillId="0" borderId="11" xfId="0" applyFont="1" applyBorder="1"/>
    <xf numFmtId="0" fontId="2" fillId="0" borderId="12" xfId="0" applyFont="1" applyBorder="1"/>
    <xf numFmtId="0" fontId="5" fillId="5" borderId="23" xfId="0" applyFont="1" applyFill="1" applyBorder="1" applyAlignment="1">
      <alignment horizontal="center"/>
    </xf>
    <xf numFmtId="0" fontId="2" fillId="0" borderId="24" xfId="0" applyFont="1" applyBorder="1"/>
    <xf numFmtId="0" fontId="5" fillId="6" borderId="29" xfId="0" applyFont="1" applyFill="1" applyBorder="1" applyAlignment="1">
      <alignment horizontal="center"/>
    </xf>
    <xf numFmtId="0" fontId="2" fillId="0" borderId="30" xfId="0" applyFont="1" applyBorder="1"/>
    <xf numFmtId="0" fontId="5" fillId="6" borderId="9" xfId="0" applyFont="1" applyFill="1" applyBorder="1" applyAlignment="1">
      <alignment horizontal="center" wrapText="1"/>
    </xf>
    <xf numFmtId="0" fontId="2" fillId="0" borderId="31" xfId="0" applyFont="1" applyBorder="1"/>
    <xf numFmtId="0" fontId="1" fillId="5" borderId="13" xfId="0" applyFont="1" applyFill="1" applyBorder="1" applyAlignment="1">
      <alignment horizontal="left"/>
    </xf>
    <xf numFmtId="0" fontId="2" fillId="0" borderId="14" xfId="0" applyFont="1" applyBorder="1"/>
    <xf numFmtId="0" fontId="5" fillId="5" borderId="13" xfId="0" applyFont="1" applyFill="1" applyBorder="1" applyAlignment="1">
      <alignment horizontal="left"/>
    </xf>
    <xf numFmtId="0" fontId="4" fillId="5" borderId="13" xfId="0" applyFont="1" applyFill="1" applyBorder="1" applyAlignment="1">
      <alignment horizontal="right" vertical="center"/>
    </xf>
    <xf numFmtId="0" fontId="5" fillId="5" borderId="16" xfId="0" applyFont="1" applyFill="1" applyBorder="1" applyAlignment="1">
      <alignment horizontal="left" wrapText="1"/>
    </xf>
    <xf numFmtId="0" fontId="2" fillId="0" borderId="17" xfId="0" applyFont="1" applyBorder="1"/>
    <xf numFmtId="0" fontId="2" fillId="0" borderId="18" xfId="0" applyFont="1" applyBorder="1"/>
    <xf numFmtId="1" fontId="5" fillId="5" borderId="21" xfId="0" applyNumberFormat="1" applyFont="1" applyFill="1" applyBorder="1" applyAlignment="1">
      <alignment horizontal="left"/>
    </xf>
    <xf numFmtId="0" fontId="2" fillId="0" borderId="2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 TargetMode="Internal"/><Relationship Id="rId2" Type="http://schemas.openxmlformats.org/officeDocument/2006/relationships/worksheet" Target="worksheets/sheet2.xml" TargetMode="Internal"/><Relationship Id="rId3" Type="http://schemas.openxmlformats.org/officeDocument/2006/relationships/theme" Target="theme/theme1.xml" TargetMode="Internal"/><Relationship Id="rId4" Type="http://schemas.openxmlformats.org/officeDocument/2006/relationships/styles" Target="styles.xml" TargetMode="Internal"/><Relationship Id="rId5" Type="http://schemas.openxmlformats.org/officeDocument/2006/relationships/sharedStrings" Target="sharedStrings.xml" TargetMode="Internal"/><Relationship Id="rId6" Type="http://schemas.openxmlformats.org/officeDocument/2006/relationships/calcChain" Target="calcChain.xml" TargetMode="Interna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Views>
    <sheetView workbookViewId="0" tabSelected="1">
      <selection pane="topLeft" activeCell="A1" sqref="A1"/>
    </sheetView>
  </sheetViews>
  <sheetFormatPr baseColWidth="8" defaultColWidth="14.44140625" defaultRowHeight="15"/>
  <cols>
    <col min="1" max="1" width="8" customWidth="1"/>
    <col min="2" max="2" width="12.33203125" customWidth="1"/>
    <col min="3" max="6" width="14.44140625" customWidth="1"/>
  </cols>
  <sheetData>
    <row ht="19.5" customHeight="1" r="1" spans="1:26" x14ac:dyDescent="0.3">
      <c r="A1" s="42" t="s">
        <v>0</v>
      </c>
      <c r="B1" s="43"/>
      <c r="C1" s="43"/>
      <c r="D1" s="43"/>
      <c r="E1" s="43"/>
      <c r="F1" s="43"/>
      <c r="G1" s="43"/>
      <c r="H1" s="44"/>
      <c r="I1" s="1"/>
      <c r="J1" s="1"/>
      <c r="K1" s="1"/>
      <c r="L1" s="1"/>
      <c r="M1" s="1"/>
      <c r="N1" s="1"/>
      <c r="O1" s="1"/>
      <c r="P1" s="1"/>
      <c r="Q1" s="1"/>
      <c r="R1" s="1"/>
      <c r="S1" s="1"/>
      <c r="T1" s="1"/>
      <c r="U1" s="1"/>
      <c r="V1" s="1"/>
      <c r="W1" s="1"/>
      <c r="X1" s="1"/>
      <c r="Y1" s="1"/>
      <c r="Z1" s="1"/>
    </row>
    <row ht="14.4" r="2" spans="1:26" x14ac:dyDescent="0.3">
      <c r="A2" s="45" t="s">
        <v>1</v>
      </c>
      <c r="B2" s="39"/>
      <c r="C2" s="39"/>
      <c r="D2" s="39"/>
      <c r="E2" s="39"/>
      <c r="F2" s="39"/>
      <c r="G2" s="39"/>
      <c r="H2" s="40"/>
      <c r="I2" s="2"/>
      <c r="J2" s="2"/>
      <c r="K2" s="2"/>
      <c r="L2" s="2"/>
      <c r="M2" s="2"/>
      <c r="N2" s="2"/>
      <c r="O2" s="2"/>
      <c r="P2" s="2"/>
      <c r="Q2" s="2"/>
      <c r="R2" s="2"/>
      <c r="S2" s="2"/>
      <c r="T2" s="2"/>
      <c r="U2" s="2"/>
      <c r="V2" s="2"/>
      <c r="W2" s="2"/>
      <c r="X2" s="2"/>
      <c r="Y2" s="2"/>
      <c r="Z2" s="2"/>
    </row>
    <row ht="45" customHeight="1" r="3" spans="1:26" x14ac:dyDescent="0.3">
      <c r="A3" s="46" t="s">
        <v>2</v>
      </c>
      <c r="B3" s="39"/>
      <c r="C3" s="39"/>
      <c r="D3" s="39"/>
      <c r="E3" s="39"/>
      <c r="F3" s="39"/>
      <c r="G3" s="39"/>
      <c r="H3" s="40"/>
      <c r="I3" s="2"/>
      <c r="J3" s="2"/>
      <c r="K3" s="2"/>
      <c r="L3" s="2"/>
      <c r="M3" s="2"/>
      <c r="N3" s="2"/>
      <c r="O3" s="2"/>
      <c r="P3" s="2"/>
      <c r="Q3" s="2"/>
      <c r="R3" s="2"/>
      <c r="S3" s="2"/>
      <c r="T3" s="2"/>
      <c r="U3" s="2"/>
      <c r="V3" s="2"/>
      <c r="W3" s="2"/>
      <c r="X3" s="2"/>
      <c r="Y3" s="2"/>
      <c r="Z3" s="2"/>
    </row>
    <row ht="14.4" r="4" spans="1:26" x14ac:dyDescent="0.3">
      <c r="A4" s="3" t="s">
        <v>3</v>
      </c>
      <c r="B4" s="4" t="s">
        <v>4</v>
      </c>
      <c r="C4" s="47" t="s">
        <v>5</v>
      </c>
      <c r="D4" s="39"/>
      <c r="E4" s="39"/>
      <c r="F4" s="39"/>
      <c r="G4" s="39"/>
      <c r="H4" s="40"/>
    </row>
    <row ht="14.4" r="5" spans="1:26" x14ac:dyDescent="0.3">
      <c r="A5" s="5">
        <v>4</v>
      </c>
      <c r="B5" s="6" t="s">
        <v>6</v>
      </c>
      <c r="C5" s="48" t="s">
        <v>7</v>
      </c>
      <c r="D5" s="39"/>
      <c r="E5" s="39"/>
      <c r="F5" s="39"/>
      <c r="G5" s="39"/>
      <c r="H5" s="40"/>
    </row>
    <row ht="14.4" r="6" spans="1:26" x14ac:dyDescent="0.3">
      <c r="A6" s="5">
        <v>5</v>
      </c>
      <c r="B6" s="6" t="s">
        <v>6</v>
      </c>
      <c r="C6" s="38" t="s">
        <v>8</v>
      </c>
      <c r="D6" s="39"/>
      <c r="E6" s="39"/>
      <c r="F6" s="39"/>
      <c r="G6" s="39"/>
      <c r="H6" s="40"/>
    </row>
    <row ht="275.25" customHeight="1" r="7" spans="1:26" x14ac:dyDescent="0.3">
      <c r="A7" s="7" t="s">
        <v>9</v>
      </c>
      <c r="B7" s="8" t="s">
        <v>10</v>
      </c>
      <c r="C7" s="41" t="s">
        <v>11</v>
      </c>
      <c r="D7" s="39"/>
      <c r="E7" s="39"/>
      <c r="F7" s="39"/>
      <c r="G7" s="39"/>
      <c r="H7" s="40"/>
    </row>
    <row ht="15" customHeight="1" r="8" spans="1:26" x14ac:dyDescent="0.3">
      <c r="A8" s="5">
        <v>8</v>
      </c>
      <c r="B8" s="6" t="s">
        <v>12</v>
      </c>
      <c r="C8" s="49" t="s">
        <v>13</v>
      </c>
      <c r="D8" s="39"/>
      <c r="E8" s="39"/>
      <c r="F8" s="39"/>
      <c r="G8" s="39"/>
      <c r="H8" s="40"/>
    </row>
    <row ht="14.4" r="9" spans="1:26" x14ac:dyDescent="0.3">
      <c r="A9" s="9" t="s">
        <v>14</v>
      </c>
      <c r="B9" s="8" t="s">
        <v>6</v>
      </c>
      <c r="C9" s="49" t="s">
        <v>15</v>
      </c>
      <c r="D9" s="39"/>
      <c r="E9" s="39"/>
      <c r="F9" s="39"/>
      <c r="G9" s="39"/>
      <c r="H9" s="40"/>
    </row>
    <row ht="120" customHeight="1" r="10" spans="1:26" x14ac:dyDescent="0.3">
      <c r="A10" s="10" t="s">
        <v>14</v>
      </c>
      <c r="B10" s="8" t="s">
        <v>16</v>
      </c>
      <c r="C10" s="49" t="s">
        <v>17</v>
      </c>
      <c r="D10" s="39"/>
      <c r="E10" s="39"/>
      <c r="F10" s="39"/>
      <c r="G10" s="39"/>
      <c r="H10" s="40"/>
    </row>
    <row ht="104.25" customHeight="1" r="11" spans="1:26" x14ac:dyDescent="0.3">
      <c r="A11" s="50" t="s">
        <v>18</v>
      </c>
      <c r="B11" s="39"/>
      <c r="C11" s="39"/>
      <c r="D11" s="39"/>
      <c r="E11" s="39"/>
      <c r="F11" s="39"/>
      <c r="G11" s="39"/>
      <c r="H11" s="40"/>
    </row>
    <row ht="36" customHeight="1" r="12" spans="1:26" x14ac:dyDescent="0.3">
      <c r="A12" s="51" t="s">
        <v>19</v>
      </c>
      <c r="B12" s="52"/>
      <c r="C12" s="52"/>
      <c r="D12" s="52"/>
      <c r="E12" s="52"/>
      <c r="F12" s="52"/>
      <c r="G12" s="52"/>
      <c r="H12" s="53"/>
    </row>
    <row ht="15.75" customHeight="1" r="22" x14ac:dyDescent="0.3"/>
    <row ht="15.75" customHeight="1" r="23" x14ac:dyDescent="0.3"/>
    <row ht="15.75" customHeight="1" r="24" x14ac:dyDescent="0.3"/>
    <row ht="15.75" customHeight="1" r="25" x14ac:dyDescent="0.3"/>
    <row ht="15.75" customHeight="1" r="26" x14ac:dyDescent="0.3"/>
    <row ht="15.75" customHeight="1" r="27" x14ac:dyDescent="0.3"/>
    <row ht="15.75" customHeight="1" r="28" x14ac:dyDescent="0.3"/>
    <row ht="15.75" customHeight="1" r="29" x14ac:dyDescent="0.3"/>
    <row ht="15.75" customHeight="1" r="30" x14ac:dyDescent="0.3"/>
    <row ht="15.75" customHeight="1" r="31" x14ac:dyDescent="0.3"/>
    <row ht="15.75" customHeight="1" r="32" x14ac:dyDescent="0.3"/>
    <row ht="15.75" customHeight="1" r="33" x14ac:dyDescent="0.3"/>
    <row ht="15.75" customHeight="1" r="34" x14ac:dyDescent="0.3"/>
    <row ht="15.75" customHeight="1" r="35" x14ac:dyDescent="0.3"/>
    <row ht="15.75" customHeight="1" r="36" x14ac:dyDescent="0.3"/>
    <row ht="15.75" customHeight="1" r="37" x14ac:dyDescent="0.3"/>
    <row ht="15.75" customHeight="1" r="38" x14ac:dyDescent="0.3"/>
    <row ht="15.75" customHeight="1" r="39" x14ac:dyDescent="0.3"/>
    <row ht="15.75" customHeight="1" r="40" x14ac:dyDescent="0.3"/>
    <row ht="15.75" customHeight="1" r="41" x14ac:dyDescent="0.3"/>
    <row ht="15.75" customHeight="1" r="42" x14ac:dyDescent="0.3"/>
    <row ht="15.75" customHeight="1" r="43" x14ac:dyDescent="0.3"/>
    <row ht="15.75" customHeight="1" r="44" x14ac:dyDescent="0.3"/>
    <row ht="15.75" customHeight="1" r="45" x14ac:dyDescent="0.3"/>
    <row ht="15.75" customHeight="1" r="46" x14ac:dyDescent="0.3"/>
    <row ht="15.75" customHeight="1" r="47" x14ac:dyDescent="0.3"/>
    <row ht="15.75" customHeight="1" r="48" x14ac:dyDescent="0.3"/>
    <row ht="15.75" customHeight="1" r="49" x14ac:dyDescent="0.3"/>
    <row ht="15.75" customHeight="1" r="50" x14ac:dyDescent="0.3"/>
    <row ht="15.75" customHeight="1" r="51" x14ac:dyDescent="0.3"/>
    <row ht="15.75" customHeight="1" r="52" x14ac:dyDescent="0.3"/>
    <row ht="15.75" customHeight="1" r="53" x14ac:dyDescent="0.3"/>
    <row ht="15.75" customHeight="1" r="54" x14ac:dyDescent="0.3"/>
    <row ht="15.75" customHeight="1" r="55" x14ac:dyDescent="0.3"/>
    <row ht="15.75" customHeight="1" r="56" x14ac:dyDescent="0.3"/>
    <row ht="15.75" customHeight="1" r="57" x14ac:dyDescent="0.3"/>
    <row ht="15.75" customHeight="1" r="58" x14ac:dyDescent="0.3"/>
    <row ht="15.75" customHeight="1" r="59" x14ac:dyDescent="0.3"/>
    <row ht="15.75" customHeight="1" r="60" x14ac:dyDescent="0.3"/>
    <row ht="15.75" customHeight="1" r="61" x14ac:dyDescent="0.3"/>
    <row ht="15.75" customHeight="1" r="62" x14ac:dyDescent="0.3"/>
    <row ht="15.75" customHeight="1" r="63" x14ac:dyDescent="0.3"/>
    <row ht="15.75" customHeight="1" r="64" x14ac:dyDescent="0.3"/>
    <row ht="15.75" customHeight="1" r="65" x14ac:dyDescent="0.3"/>
    <row ht="15.75" customHeight="1" r="66" x14ac:dyDescent="0.3"/>
    <row ht="15.75" customHeight="1" r="67" x14ac:dyDescent="0.3"/>
    <row ht="15.75" customHeight="1" r="68" x14ac:dyDescent="0.3"/>
    <row ht="15.75" customHeight="1" r="69" x14ac:dyDescent="0.3"/>
    <row ht="15.75" customHeight="1" r="70" x14ac:dyDescent="0.3"/>
    <row ht="15.75" customHeight="1" r="71" x14ac:dyDescent="0.3"/>
    <row ht="15.75" customHeight="1" r="72" x14ac:dyDescent="0.3"/>
    <row ht="15.75" customHeight="1" r="73" x14ac:dyDescent="0.3"/>
    <row ht="15.75" customHeight="1" r="74" x14ac:dyDescent="0.3"/>
    <row ht="15.75" customHeight="1" r="75" x14ac:dyDescent="0.3"/>
    <row ht="15.75" customHeight="1" r="76" x14ac:dyDescent="0.3"/>
    <row ht="15.75" customHeight="1" r="77" x14ac:dyDescent="0.3"/>
    <row ht="15.75" customHeight="1" r="78" x14ac:dyDescent="0.3"/>
    <row ht="15.75" customHeight="1" r="79" x14ac:dyDescent="0.3"/>
    <row ht="15.75" customHeight="1" r="80" x14ac:dyDescent="0.3"/>
    <row ht="15.75" customHeight="1" r="81" x14ac:dyDescent="0.3"/>
    <row ht="15.75" customHeight="1" r="82" x14ac:dyDescent="0.3"/>
    <row ht="15.75" customHeight="1" r="83" x14ac:dyDescent="0.3"/>
    <row ht="15.75" customHeight="1" r="84" x14ac:dyDescent="0.3"/>
    <row ht="15.75" customHeight="1" r="85" x14ac:dyDescent="0.3"/>
    <row ht="15.75" customHeight="1" r="86" x14ac:dyDescent="0.3"/>
    <row ht="15.75" customHeight="1" r="87" x14ac:dyDescent="0.3"/>
    <row ht="15.75" customHeight="1" r="88" x14ac:dyDescent="0.3"/>
    <row ht="15.75" customHeight="1" r="89" x14ac:dyDescent="0.3"/>
    <row ht="15.75" customHeight="1" r="90" x14ac:dyDescent="0.3"/>
    <row ht="15.75" customHeight="1" r="91" x14ac:dyDescent="0.3"/>
    <row ht="15.75" customHeight="1" r="92" x14ac:dyDescent="0.3"/>
    <row ht="15.75" customHeight="1" r="93" x14ac:dyDescent="0.3"/>
    <row ht="15.75" customHeight="1" r="94" x14ac:dyDescent="0.3"/>
    <row ht="15.75" customHeight="1" r="95" x14ac:dyDescent="0.3"/>
    <row ht="15.75" customHeight="1" r="96" x14ac:dyDescent="0.3"/>
    <row ht="15.75" customHeight="1" r="97" x14ac:dyDescent="0.3"/>
    <row ht="15.75" customHeight="1" r="98" x14ac:dyDescent="0.3"/>
    <row ht="15.75" customHeight="1" r="99" x14ac:dyDescent="0.3"/>
    <row ht="15.75" customHeight="1" r="100" x14ac:dyDescent="0.3"/>
    <row ht="15.75" customHeight="1" r="101" x14ac:dyDescent="0.3"/>
    <row ht="15.75" customHeight="1" r="102" x14ac:dyDescent="0.3"/>
    <row ht="15.75" customHeight="1" r="103" x14ac:dyDescent="0.3"/>
    <row ht="15.75" customHeight="1" r="104" x14ac:dyDescent="0.3"/>
    <row ht="15.75" customHeight="1" r="105" x14ac:dyDescent="0.3"/>
    <row ht="15.75" customHeight="1" r="106" x14ac:dyDescent="0.3"/>
    <row ht="15.75" customHeight="1" r="107" x14ac:dyDescent="0.3"/>
    <row ht="15.75" customHeight="1" r="108" x14ac:dyDescent="0.3"/>
    <row ht="15.75" customHeight="1" r="109" x14ac:dyDescent="0.3"/>
    <row ht="15.75" customHeight="1" r="110" x14ac:dyDescent="0.3"/>
    <row ht="15.75" customHeight="1" r="111" x14ac:dyDescent="0.3"/>
    <row ht="15.75" customHeight="1" r="112" x14ac:dyDescent="0.3"/>
    <row ht="15.75" customHeight="1" r="113" x14ac:dyDescent="0.3"/>
    <row ht="15.75" customHeight="1" r="114" x14ac:dyDescent="0.3"/>
    <row ht="15.75" customHeight="1" r="115" x14ac:dyDescent="0.3"/>
    <row ht="15.75" customHeight="1" r="116" x14ac:dyDescent="0.3"/>
    <row ht="15.75" customHeight="1" r="117" x14ac:dyDescent="0.3"/>
    <row ht="15.75" customHeight="1" r="118" x14ac:dyDescent="0.3"/>
    <row ht="15.75" customHeight="1" r="119" x14ac:dyDescent="0.3"/>
    <row ht="15.75" customHeight="1" r="120" x14ac:dyDescent="0.3"/>
    <row ht="15.75" customHeight="1" r="121" x14ac:dyDescent="0.3"/>
    <row ht="15.75" customHeight="1" r="122" x14ac:dyDescent="0.3"/>
    <row ht="15.75" customHeight="1" r="123" x14ac:dyDescent="0.3"/>
    <row ht="15.75" customHeight="1" r="124" x14ac:dyDescent="0.3"/>
    <row ht="15.75" customHeight="1" r="125" x14ac:dyDescent="0.3"/>
    <row ht="15.75" customHeight="1" r="126" x14ac:dyDescent="0.3"/>
    <row ht="15.75" customHeight="1" r="127" x14ac:dyDescent="0.3"/>
    <row ht="15.75" customHeight="1" r="128" x14ac:dyDescent="0.3"/>
    <row ht="15.75" customHeight="1" r="129" x14ac:dyDescent="0.3"/>
    <row ht="15.75" customHeight="1" r="130" x14ac:dyDescent="0.3"/>
    <row ht="15.75" customHeight="1" r="131" x14ac:dyDescent="0.3"/>
    <row ht="15.75" customHeight="1" r="132" x14ac:dyDescent="0.3"/>
    <row ht="15.75" customHeight="1" r="133" x14ac:dyDescent="0.3"/>
    <row ht="15.75" customHeight="1" r="134" x14ac:dyDescent="0.3"/>
    <row ht="15.75" customHeight="1" r="135" x14ac:dyDescent="0.3"/>
    <row ht="15.75" customHeight="1" r="136" x14ac:dyDescent="0.3"/>
    <row ht="15.75" customHeight="1" r="137" x14ac:dyDescent="0.3"/>
    <row ht="15.75" customHeight="1" r="138" x14ac:dyDescent="0.3"/>
    <row ht="15.75" customHeight="1" r="139" x14ac:dyDescent="0.3"/>
    <row ht="15.75" customHeight="1" r="140" x14ac:dyDescent="0.3"/>
    <row ht="15.75" customHeight="1" r="141" x14ac:dyDescent="0.3"/>
    <row ht="15.75" customHeight="1" r="142" x14ac:dyDescent="0.3"/>
    <row ht="15.75" customHeight="1" r="143" x14ac:dyDescent="0.3"/>
    <row ht="15.75" customHeight="1" r="144" x14ac:dyDescent="0.3"/>
    <row ht="15.75" customHeight="1" r="145" x14ac:dyDescent="0.3"/>
    <row ht="15.75" customHeight="1" r="146" x14ac:dyDescent="0.3"/>
    <row ht="15.75" customHeight="1" r="147" x14ac:dyDescent="0.3"/>
    <row ht="15.75" customHeight="1" r="148" x14ac:dyDescent="0.3"/>
    <row ht="15.75" customHeight="1" r="149" x14ac:dyDescent="0.3"/>
    <row ht="15.75" customHeight="1" r="150" x14ac:dyDescent="0.3"/>
    <row ht="15.75" customHeight="1" r="151" x14ac:dyDescent="0.3"/>
    <row ht="15.75" customHeight="1" r="152" x14ac:dyDescent="0.3"/>
    <row ht="15.75" customHeight="1" r="153" x14ac:dyDescent="0.3"/>
    <row ht="15.75" customHeight="1" r="154" x14ac:dyDescent="0.3"/>
    <row ht="15.75" customHeight="1" r="155" x14ac:dyDescent="0.3"/>
    <row ht="15.75" customHeight="1" r="156" x14ac:dyDescent="0.3"/>
    <row ht="15.75" customHeight="1" r="157" x14ac:dyDescent="0.3"/>
    <row ht="15.75" customHeight="1" r="158" x14ac:dyDescent="0.3"/>
    <row ht="15.75" customHeight="1" r="159" x14ac:dyDescent="0.3"/>
    <row ht="15.75" customHeight="1" r="160" x14ac:dyDescent="0.3"/>
    <row ht="15.75" customHeight="1" r="161" x14ac:dyDescent="0.3"/>
    <row ht="15.75" customHeight="1" r="162" x14ac:dyDescent="0.3"/>
    <row ht="15.75" customHeight="1" r="163" x14ac:dyDescent="0.3"/>
    <row ht="15.75" customHeight="1" r="164" x14ac:dyDescent="0.3"/>
    <row ht="15.75" customHeight="1" r="165" x14ac:dyDescent="0.3"/>
    <row ht="15.75" customHeight="1" r="166" x14ac:dyDescent="0.3"/>
    <row ht="15.75" customHeight="1" r="167" x14ac:dyDescent="0.3"/>
    <row ht="15.75" customHeight="1" r="168" x14ac:dyDescent="0.3"/>
    <row ht="15.75" customHeight="1" r="169" x14ac:dyDescent="0.3"/>
    <row ht="15.75" customHeight="1" r="170" x14ac:dyDescent="0.3"/>
    <row ht="15.75" customHeight="1" r="171" x14ac:dyDescent="0.3"/>
    <row ht="15.75" customHeight="1" r="172" x14ac:dyDescent="0.3"/>
    <row ht="15.75" customHeight="1" r="173" x14ac:dyDescent="0.3"/>
    <row ht="15.75" customHeight="1" r="174" x14ac:dyDescent="0.3"/>
    <row ht="15.75" customHeight="1" r="175" x14ac:dyDescent="0.3"/>
    <row ht="15.75" customHeight="1" r="176" x14ac:dyDescent="0.3"/>
    <row ht="15.75" customHeight="1" r="177" x14ac:dyDescent="0.3"/>
    <row ht="15.75" customHeight="1" r="178" x14ac:dyDescent="0.3"/>
    <row ht="15.75" customHeight="1" r="179" x14ac:dyDescent="0.3"/>
    <row ht="15.75" customHeight="1" r="180" x14ac:dyDescent="0.3"/>
    <row ht="15.75" customHeight="1" r="181" x14ac:dyDescent="0.3"/>
    <row ht="15.75" customHeight="1" r="182" x14ac:dyDescent="0.3"/>
    <row ht="15.75" customHeight="1" r="183" x14ac:dyDescent="0.3"/>
    <row ht="15.75" customHeight="1" r="184" x14ac:dyDescent="0.3"/>
    <row ht="15.75" customHeight="1" r="185" x14ac:dyDescent="0.3"/>
    <row ht="15.75" customHeight="1" r="186" x14ac:dyDescent="0.3"/>
    <row ht="15.75" customHeight="1" r="187" x14ac:dyDescent="0.3"/>
    <row ht="15.75" customHeight="1" r="188" x14ac:dyDescent="0.3"/>
    <row ht="15.75" customHeight="1" r="189" x14ac:dyDescent="0.3"/>
    <row ht="15.75" customHeight="1" r="190" x14ac:dyDescent="0.3"/>
    <row ht="15.75" customHeight="1" r="191" x14ac:dyDescent="0.3"/>
    <row ht="15.75" customHeight="1" r="192" x14ac:dyDescent="0.3"/>
    <row ht="15.75" customHeight="1" r="193" x14ac:dyDescent="0.3"/>
    <row ht="15.75" customHeight="1" r="194" x14ac:dyDescent="0.3"/>
    <row ht="15.75" customHeight="1" r="195" x14ac:dyDescent="0.3"/>
    <row ht="15.75" customHeight="1" r="196" x14ac:dyDescent="0.3"/>
    <row ht="15.75" customHeight="1" r="197" x14ac:dyDescent="0.3"/>
    <row ht="15.75" customHeight="1" r="198" x14ac:dyDescent="0.3"/>
    <row ht="15.75" customHeight="1" r="199" x14ac:dyDescent="0.3"/>
    <row ht="15.75" customHeight="1" r="200" x14ac:dyDescent="0.3"/>
    <row ht="15.75" customHeight="1" r="201" x14ac:dyDescent="0.3"/>
    <row ht="15.75" customHeight="1" r="202" x14ac:dyDescent="0.3"/>
    <row ht="15.75" customHeight="1" r="203" x14ac:dyDescent="0.3"/>
    <row ht="15.75" customHeight="1" r="204" x14ac:dyDescent="0.3"/>
    <row ht="15.75" customHeight="1" r="205" x14ac:dyDescent="0.3"/>
    <row ht="15.75" customHeight="1" r="206" x14ac:dyDescent="0.3"/>
    <row ht="15.75" customHeight="1" r="207" x14ac:dyDescent="0.3"/>
    <row ht="15.75" customHeight="1" r="208" x14ac:dyDescent="0.3"/>
    <row ht="15.75" customHeight="1" r="209" x14ac:dyDescent="0.3"/>
    <row ht="15.75" customHeight="1" r="210" x14ac:dyDescent="0.3"/>
    <row ht="15.75" customHeight="1" r="211" x14ac:dyDescent="0.3"/>
    <row ht="15.75" customHeight="1" r="212" x14ac:dyDescent="0.3"/>
    <row ht="15.75" customHeight="1" r="213" x14ac:dyDescent="0.3"/>
    <row ht="15.75" customHeight="1" r="214" x14ac:dyDescent="0.3"/>
    <row ht="15.75" customHeight="1" r="215" x14ac:dyDescent="0.3"/>
    <row ht="15.75" customHeight="1" r="216" x14ac:dyDescent="0.3"/>
    <row ht="15.75" customHeight="1" r="217" x14ac:dyDescent="0.3"/>
    <row ht="15.75" customHeight="1" r="218" x14ac:dyDescent="0.3"/>
    <row ht="15.75" customHeight="1" r="219" x14ac:dyDescent="0.3"/>
    <row ht="15.75" customHeight="1" r="220" x14ac:dyDescent="0.3"/>
    <row ht="15.75" customHeight="1" r="221" x14ac:dyDescent="0.3"/>
    <row ht="15.75" customHeight="1" r="222" x14ac:dyDescent="0.3"/>
    <row ht="15.75" customHeight="1" r="223" x14ac:dyDescent="0.3"/>
    <row ht="15.75" customHeight="1" r="224" x14ac:dyDescent="0.3"/>
    <row ht="15.75" customHeight="1" r="225" x14ac:dyDescent="0.3"/>
    <row ht="15.75" customHeight="1" r="226" x14ac:dyDescent="0.3"/>
    <row ht="15.75" customHeight="1" r="227" x14ac:dyDescent="0.3"/>
    <row ht="15.75" customHeight="1" r="228" x14ac:dyDescent="0.3"/>
    <row ht="15.75" customHeight="1" r="229" x14ac:dyDescent="0.3"/>
    <row ht="15.75" customHeight="1" r="230" x14ac:dyDescent="0.3"/>
    <row ht="15.75" customHeight="1" r="231" x14ac:dyDescent="0.3"/>
    <row ht="15.75" customHeight="1" r="232" x14ac:dyDescent="0.3"/>
    <row ht="15.75" customHeight="1" r="233" x14ac:dyDescent="0.3"/>
    <row ht="15.75" customHeight="1" r="234" x14ac:dyDescent="0.3"/>
    <row ht="15.75" customHeight="1" r="235" x14ac:dyDescent="0.3"/>
    <row ht="15.75" customHeight="1" r="236" x14ac:dyDescent="0.3"/>
    <row ht="15.75" customHeight="1" r="237" x14ac:dyDescent="0.3"/>
    <row ht="15.75" customHeight="1" r="238" x14ac:dyDescent="0.3"/>
    <row ht="15.75" customHeight="1" r="239" x14ac:dyDescent="0.3"/>
    <row ht="15.75" customHeight="1" r="240" x14ac:dyDescent="0.3"/>
    <row ht="15.75" customHeight="1" r="241" x14ac:dyDescent="0.3"/>
    <row ht="15.75" customHeight="1" r="242" x14ac:dyDescent="0.3"/>
    <row ht="15.75" customHeight="1" r="243" x14ac:dyDescent="0.3"/>
    <row ht="15.75" customHeight="1" r="244" x14ac:dyDescent="0.3"/>
    <row ht="15.75" customHeight="1" r="245" x14ac:dyDescent="0.3"/>
    <row ht="15.75" customHeight="1" r="246" x14ac:dyDescent="0.3"/>
    <row ht="15.75" customHeight="1" r="247" x14ac:dyDescent="0.3"/>
    <row ht="15.75" customHeight="1" r="248" x14ac:dyDescent="0.3"/>
    <row ht="15.75" customHeight="1" r="249" x14ac:dyDescent="0.3"/>
    <row ht="15.75" customHeight="1" r="250" x14ac:dyDescent="0.3"/>
    <row ht="15.75" customHeight="1" r="251" x14ac:dyDescent="0.3"/>
    <row ht="15.75" customHeight="1" r="252" x14ac:dyDescent="0.3"/>
    <row ht="15.75" customHeight="1" r="253" x14ac:dyDescent="0.3"/>
    <row ht="15.75" customHeight="1" r="254" x14ac:dyDescent="0.3"/>
    <row ht="15.75" customHeight="1" r="255" x14ac:dyDescent="0.3"/>
    <row ht="15.75" customHeight="1" r="256" x14ac:dyDescent="0.3"/>
    <row ht="15.75" customHeight="1" r="257" x14ac:dyDescent="0.3"/>
    <row ht="15.75" customHeight="1" r="258" x14ac:dyDescent="0.3"/>
    <row ht="15.75" customHeight="1" r="259" x14ac:dyDescent="0.3"/>
    <row ht="15.75" customHeight="1" r="260" x14ac:dyDescent="0.3"/>
    <row ht="15.75" customHeight="1" r="261" x14ac:dyDescent="0.3"/>
    <row ht="15.75" customHeight="1" r="262" x14ac:dyDescent="0.3"/>
    <row ht="15.75" customHeight="1" r="263" x14ac:dyDescent="0.3"/>
    <row ht="15.75" customHeight="1" r="264" x14ac:dyDescent="0.3"/>
    <row ht="15.75" customHeight="1" r="265" x14ac:dyDescent="0.3"/>
    <row ht="15.75" customHeight="1" r="266" x14ac:dyDescent="0.3"/>
    <row ht="15.75" customHeight="1" r="267" x14ac:dyDescent="0.3"/>
    <row ht="15.75" customHeight="1" r="268" x14ac:dyDescent="0.3"/>
    <row ht="15.75" customHeight="1" r="269" x14ac:dyDescent="0.3"/>
    <row ht="15.75" customHeight="1" r="270" x14ac:dyDescent="0.3"/>
    <row ht="15.75" customHeight="1" r="271" x14ac:dyDescent="0.3"/>
    <row ht="15.75" customHeight="1" r="272" x14ac:dyDescent="0.3"/>
    <row ht="15.75" customHeight="1" r="273" x14ac:dyDescent="0.3"/>
    <row ht="15.75" customHeight="1" r="274" x14ac:dyDescent="0.3"/>
    <row ht="15.75" customHeight="1" r="275" x14ac:dyDescent="0.3"/>
    <row ht="15.75" customHeight="1" r="276" x14ac:dyDescent="0.3"/>
    <row ht="15.75" customHeight="1" r="277" x14ac:dyDescent="0.3"/>
    <row ht="15.75" customHeight="1" r="278" x14ac:dyDescent="0.3"/>
    <row ht="15.75" customHeight="1" r="279" x14ac:dyDescent="0.3"/>
    <row ht="15.75" customHeight="1" r="280" x14ac:dyDescent="0.3"/>
    <row ht="15.75" customHeight="1" r="281" x14ac:dyDescent="0.3"/>
    <row ht="15.75" customHeight="1" r="282" x14ac:dyDescent="0.3"/>
    <row ht="15.75" customHeight="1" r="283" x14ac:dyDescent="0.3"/>
    <row ht="15.75" customHeight="1" r="284" x14ac:dyDescent="0.3"/>
    <row ht="15.75" customHeight="1" r="285" x14ac:dyDescent="0.3"/>
    <row ht="15.75" customHeight="1" r="286" x14ac:dyDescent="0.3"/>
    <row ht="15.75" customHeight="1" r="287" x14ac:dyDescent="0.3"/>
    <row ht="15.75" customHeight="1" r="288" x14ac:dyDescent="0.3"/>
    <row ht="15.75" customHeight="1" r="289" x14ac:dyDescent="0.3"/>
    <row ht="15.75" customHeight="1" r="290" x14ac:dyDescent="0.3"/>
    <row ht="15.75" customHeight="1" r="291" x14ac:dyDescent="0.3"/>
    <row ht="15.75" customHeight="1" r="292" x14ac:dyDescent="0.3"/>
    <row ht="15.75" customHeight="1" r="293" x14ac:dyDescent="0.3"/>
    <row ht="15.75" customHeight="1" r="294" x14ac:dyDescent="0.3"/>
    <row ht="15.75" customHeight="1" r="295" x14ac:dyDescent="0.3"/>
    <row ht="15.75" customHeight="1" r="296" x14ac:dyDescent="0.3"/>
    <row ht="15.75" customHeight="1" r="297" x14ac:dyDescent="0.3"/>
    <row ht="15.75" customHeight="1" r="298" x14ac:dyDescent="0.3"/>
    <row ht="15.75" customHeight="1" r="299" x14ac:dyDescent="0.3"/>
    <row ht="15.75" customHeight="1" r="300" x14ac:dyDescent="0.3"/>
    <row ht="15.75" customHeight="1" r="301" x14ac:dyDescent="0.3"/>
    <row ht="15.75" customHeight="1" r="302" x14ac:dyDescent="0.3"/>
    <row ht="15.75" customHeight="1" r="303" x14ac:dyDescent="0.3"/>
    <row ht="15.75" customHeight="1" r="304" x14ac:dyDescent="0.3"/>
    <row ht="15.75" customHeight="1" r="305" x14ac:dyDescent="0.3"/>
    <row ht="15.75" customHeight="1" r="306" x14ac:dyDescent="0.3"/>
    <row ht="15.75" customHeight="1" r="307" x14ac:dyDescent="0.3"/>
    <row ht="15.75" customHeight="1" r="308" x14ac:dyDescent="0.3"/>
    <row ht="15.75" customHeight="1" r="309" x14ac:dyDescent="0.3"/>
    <row ht="15.75" customHeight="1" r="310" x14ac:dyDescent="0.3"/>
    <row ht="15.75" customHeight="1" r="311" x14ac:dyDescent="0.3"/>
    <row ht="15.75" customHeight="1" r="312" x14ac:dyDescent="0.3"/>
    <row ht="15.75" customHeight="1" r="313" x14ac:dyDescent="0.3"/>
    <row ht="15.75" customHeight="1" r="314" x14ac:dyDescent="0.3"/>
    <row ht="15.75" customHeight="1" r="315" x14ac:dyDescent="0.3"/>
    <row ht="15.75" customHeight="1" r="316" x14ac:dyDescent="0.3"/>
    <row ht="15.75" customHeight="1" r="317" x14ac:dyDescent="0.3"/>
    <row ht="15.75" customHeight="1" r="318" x14ac:dyDescent="0.3"/>
    <row ht="15.75" customHeight="1" r="319" x14ac:dyDescent="0.3"/>
    <row ht="15.75" customHeight="1" r="320" x14ac:dyDescent="0.3"/>
    <row ht="15.75" customHeight="1" r="321" x14ac:dyDescent="0.3"/>
    <row ht="15.75" customHeight="1" r="322" x14ac:dyDescent="0.3"/>
    <row ht="15.75" customHeight="1" r="323" x14ac:dyDescent="0.3"/>
    <row ht="15.75" customHeight="1" r="324" x14ac:dyDescent="0.3"/>
    <row ht="15.75" customHeight="1" r="325" x14ac:dyDescent="0.3"/>
    <row ht="15.75" customHeight="1" r="326" x14ac:dyDescent="0.3"/>
    <row ht="15.75" customHeight="1" r="327" x14ac:dyDescent="0.3"/>
    <row ht="15.75" customHeight="1" r="328" x14ac:dyDescent="0.3"/>
    <row ht="15.75" customHeight="1" r="329" x14ac:dyDescent="0.3"/>
    <row ht="15.75" customHeight="1" r="330" x14ac:dyDescent="0.3"/>
    <row ht="15.75" customHeight="1" r="331" x14ac:dyDescent="0.3"/>
    <row ht="15.75" customHeight="1" r="332" x14ac:dyDescent="0.3"/>
    <row ht="15.75" customHeight="1" r="333" x14ac:dyDescent="0.3"/>
    <row ht="15.75" customHeight="1" r="334" x14ac:dyDescent="0.3"/>
    <row ht="15.75" customHeight="1" r="335" x14ac:dyDescent="0.3"/>
    <row ht="15.75" customHeight="1" r="336" x14ac:dyDescent="0.3"/>
    <row ht="15.75" customHeight="1" r="337" x14ac:dyDescent="0.3"/>
    <row ht="15.75" customHeight="1" r="338" x14ac:dyDescent="0.3"/>
    <row ht="15.75" customHeight="1" r="339" x14ac:dyDescent="0.3"/>
    <row ht="15.75" customHeight="1" r="340" x14ac:dyDescent="0.3"/>
    <row ht="15.75" customHeight="1" r="341" x14ac:dyDescent="0.3"/>
    <row ht="15.75" customHeight="1" r="342" x14ac:dyDescent="0.3"/>
    <row ht="15.75" customHeight="1" r="343" x14ac:dyDescent="0.3"/>
    <row ht="15.75" customHeight="1" r="344" x14ac:dyDescent="0.3"/>
    <row ht="15.75" customHeight="1" r="345" x14ac:dyDescent="0.3"/>
    <row ht="15.75" customHeight="1" r="346" x14ac:dyDescent="0.3"/>
    <row ht="15.75" customHeight="1" r="347" x14ac:dyDescent="0.3"/>
    <row ht="15.75" customHeight="1" r="348" x14ac:dyDescent="0.3"/>
    <row ht="15.75" customHeight="1" r="349" x14ac:dyDescent="0.3"/>
    <row ht="15.75" customHeight="1" r="350" x14ac:dyDescent="0.3"/>
    <row ht="15.75" customHeight="1" r="351" x14ac:dyDescent="0.3"/>
    <row ht="15.75" customHeight="1" r="352" x14ac:dyDescent="0.3"/>
    <row ht="15.75" customHeight="1" r="353" x14ac:dyDescent="0.3"/>
    <row ht="15.75" customHeight="1" r="354" x14ac:dyDescent="0.3"/>
    <row ht="15.75" customHeight="1" r="355" x14ac:dyDescent="0.3"/>
    <row ht="15.75" customHeight="1" r="356" x14ac:dyDescent="0.3"/>
    <row ht="15.75" customHeight="1" r="357" x14ac:dyDescent="0.3"/>
    <row ht="15.75" customHeight="1" r="358" x14ac:dyDescent="0.3"/>
    <row ht="15.75" customHeight="1" r="359" x14ac:dyDescent="0.3"/>
    <row ht="15.75" customHeight="1" r="360" x14ac:dyDescent="0.3"/>
    <row ht="15.75" customHeight="1" r="361" x14ac:dyDescent="0.3"/>
    <row ht="15.75" customHeight="1" r="362" x14ac:dyDescent="0.3"/>
    <row ht="15.75" customHeight="1" r="363" x14ac:dyDescent="0.3"/>
    <row ht="15.75" customHeight="1" r="364" x14ac:dyDescent="0.3"/>
    <row ht="15.75" customHeight="1" r="365" x14ac:dyDescent="0.3"/>
    <row ht="15.75" customHeight="1" r="366" x14ac:dyDescent="0.3"/>
    <row ht="15.75" customHeight="1" r="367" x14ac:dyDescent="0.3"/>
    <row ht="15.75" customHeight="1" r="368" x14ac:dyDescent="0.3"/>
    <row ht="15.75" customHeight="1" r="369" x14ac:dyDescent="0.3"/>
    <row ht="15.75" customHeight="1" r="370" x14ac:dyDescent="0.3"/>
    <row ht="15.75" customHeight="1" r="371" x14ac:dyDescent="0.3"/>
    <row ht="15.75" customHeight="1" r="372" x14ac:dyDescent="0.3"/>
    <row ht="15.75" customHeight="1" r="373" x14ac:dyDescent="0.3"/>
    <row ht="15.75" customHeight="1" r="374" x14ac:dyDescent="0.3"/>
    <row ht="15.75" customHeight="1" r="375" x14ac:dyDescent="0.3"/>
    <row ht="15.75" customHeight="1" r="376" x14ac:dyDescent="0.3"/>
    <row ht="15.75" customHeight="1" r="377" x14ac:dyDescent="0.3"/>
    <row ht="15.75" customHeight="1" r="378" x14ac:dyDescent="0.3"/>
    <row ht="15.75" customHeight="1" r="379" x14ac:dyDescent="0.3"/>
    <row ht="15.75" customHeight="1" r="380" x14ac:dyDescent="0.3"/>
    <row ht="15.75" customHeight="1" r="381" x14ac:dyDescent="0.3"/>
    <row ht="15.75" customHeight="1" r="382" x14ac:dyDescent="0.3"/>
    <row ht="15.75" customHeight="1" r="383" x14ac:dyDescent="0.3"/>
    <row ht="15.75" customHeight="1" r="384" x14ac:dyDescent="0.3"/>
    <row ht="15.75" customHeight="1" r="385" x14ac:dyDescent="0.3"/>
    <row ht="15.75" customHeight="1" r="386" x14ac:dyDescent="0.3"/>
    <row ht="15.75" customHeight="1" r="387" x14ac:dyDescent="0.3"/>
    <row ht="15.75" customHeight="1" r="388" x14ac:dyDescent="0.3"/>
    <row ht="15.75" customHeight="1" r="389" x14ac:dyDescent="0.3"/>
    <row ht="15.75" customHeight="1" r="390" x14ac:dyDescent="0.3"/>
    <row ht="15.75" customHeight="1" r="391" x14ac:dyDescent="0.3"/>
    <row ht="15.75" customHeight="1" r="392" x14ac:dyDescent="0.3"/>
    <row ht="15.75" customHeight="1" r="393" x14ac:dyDescent="0.3"/>
    <row ht="15.75" customHeight="1" r="394" x14ac:dyDescent="0.3"/>
    <row ht="15.75" customHeight="1" r="395" x14ac:dyDescent="0.3"/>
    <row ht="15.75" customHeight="1" r="396" x14ac:dyDescent="0.3"/>
    <row ht="15.75" customHeight="1" r="397" x14ac:dyDescent="0.3"/>
    <row ht="15.75" customHeight="1" r="398" x14ac:dyDescent="0.3"/>
    <row ht="15.75" customHeight="1" r="399" x14ac:dyDescent="0.3"/>
    <row ht="15.75" customHeight="1" r="400" x14ac:dyDescent="0.3"/>
    <row ht="15.75" customHeight="1" r="401" x14ac:dyDescent="0.3"/>
    <row ht="15.75" customHeight="1" r="402" x14ac:dyDescent="0.3"/>
    <row ht="15.75" customHeight="1" r="403" x14ac:dyDescent="0.3"/>
    <row ht="15.75" customHeight="1" r="404" x14ac:dyDescent="0.3"/>
    <row ht="15.75" customHeight="1" r="405" x14ac:dyDescent="0.3"/>
    <row ht="15.75" customHeight="1" r="406" x14ac:dyDescent="0.3"/>
    <row ht="15.75" customHeight="1" r="407" x14ac:dyDescent="0.3"/>
    <row ht="15.75" customHeight="1" r="408" x14ac:dyDescent="0.3"/>
    <row ht="15.75" customHeight="1" r="409" x14ac:dyDescent="0.3"/>
    <row ht="15.75" customHeight="1" r="410" x14ac:dyDescent="0.3"/>
    <row ht="15.75" customHeight="1" r="411" x14ac:dyDescent="0.3"/>
    <row ht="15.75" customHeight="1" r="412" x14ac:dyDescent="0.3"/>
    <row ht="15.75" customHeight="1" r="413" x14ac:dyDescent="0.3"/>
    <row ht="15.75" customHeight="1" r="414" x14ac:dyDescent="0.3"/>
    <row ht="15.75" customHeight="1" r="415" x14ac:dyDescent="0.3"/>
    <row ht="15.75" customHeight="1" r="416" x14ac:dyDescent="0.3"/>
    <row ht="15.75" customHeight="1" r="417" x14ac:dyDescent="0.3"/>
    <row ht="15.75" customHeight="1" r="418" x14ac:dyDescent="0.3"/>
    <row ht="15.75" customHeight="1" r="419" x14ac:dyDescent="0.3"/>
    <row ht="15.75" customHeight="1" r="420" x14ac:dyDescent="0.3"/>
    <row ht="15.75" customHeight="1" r="421" x14ac:dyDescent="0.3"/>
    <row ht="15.75" customHeight="1" r="422" x14ac:dyDescent="0.3"/>
    <row ht="15.75" customHeight="1" r="423" x14ac:dyDescent="0.3"/>
    <row ht="15.75" customHeight="1" r="424" x14ac:dyDescent="0.3"/>
    <row ht="15.75" customHeight="1" r="425" x14ac:dyDescent="0.3"/>
    <row ht="15.75" customHeight="1" r="426" x14ac:dyDescent="0.3"/>
    <row ht="15.75" customHeight="1" r="427" x14ac:dyDescent="0.3"/>
    <row ht="15.75" customHeight="1" r="428" x14ac:dyDescent="0.3"/>
    <row ht="15.75" customHeight="1" r="429" x14ac:dyDescent="0.3"/>
    <row ht="15.75" customHeight="1" r="430" x14ac:dyDescent="0.3"/>
    <row ht="15.75" customHeight="1" r="431" x14ac:dyDescent="0.3"/>
    <row ht="15.75" customHeight="1" r="432" x14ac:dyDescent="0.3"/>
    <row ht="15.75" customHeight="1" r="433" x14ac:dyDescent="0.3"/>
    <row ht="15.75" customHeight="1" r="434" x14ac:dyDescent="0.3"/>
    <row ht="15.75" customHeight="1" r="435" x14ac:dyDescent="0.3"/>
    <row ht="15.75" customHeight="1" r="436" x14ac:dyDescent="0.3"/>
    <row ht="15.75" customHeight="1" r="437" x14ac:dyDescent="0.3"/>
    <row ht="15.75" customHeight="1" r="438" x14ac:dyDescent="0.3"/>
    <row ht="15.75" customHeight="1" r="439" x14ac:dyDescent="0.3"/>
    <row ht="15.75" customHeight="1" r="440" x14ac:dyDescent="0.3"/>
    <row ht="15.75" customHeight="1" r="441" x14ac:dyDescent="0.3"/>
    <row ht="15.75" customHeight="1" r="442" x14ac:dyDescent="0.3"/>
    <row ht="15.75" customHeight="1" r="443" x14ac:dyDescent="0.3"/>
    <row ht="15.75" customHeight="1" r="444" x14ac:dyDescent="0.3"/>
    <row ht="15.75" customHeight="1" r="445" x14ac:dyDescent="0.3"/>
    <row ht="15.75" customHeight="1" r="446" x14ac:dyDescent="0.3"/>
    <row ht="15.75" customHeight="1" r="447" x14ac:dyDescent="0.3"/>
    <row ht="15.75" customHeight="1" r="448" x14ac:dyDescent="0.3"/>
    <row ht="15.75" customHeight="1" r="449" x14ac:dyDescent="0.3"/>
    <row ht="15.75" customHeight="1" r="450" x14ac:dyDescent="0.3"/>
    <row ht="15.75" customHeight="1" r="451" x14ac:dyDescent="0.3"/>
    <row ht="15.75" customHeight="1" r="452" x14ac:dyDescent="0.3"/>
    <row ht="15.75" customHeight="1" r="453" x14ac:dyDescent="0.3"/>
    <row ht="15.75" customHeight="1" r="454" x14ac:dyDescent="0.3"/>
    <row ht="15.75" customHeight="1" r="455" x14ac:dyDescent="0.3"/>
    <row ht="15.75" customHeight="1" r="456" x14ac:dyDescent="0.3"/>
    <row ht="15.75" customHeight="1" r="457" x14ac:dyDescent="0.3"/>
    <row ht="15.75" customHeight="1" r="458" x14ac:dyDescent="0.3"/>
    <row ht="15.75" customHeight="1" r="459" x14ac:dyDescent="0.3"/>
    <row ht="15.75" customHeight="1" r="460" x14ac:dyDescent="0.3"/>
    <row ht="15.75" customHeight="1" r="461" x14ac:dyDescent="0.3"/>
    <row ht="15.75" customHeight="1" r="462" x14ac:dyDescent="0.3"/>
    <row ht="15.75" customHeight="1" r="463" x14ac:dyDescent="0.3"/>
    <row ht="15.75" customHeight="1" r="464" x14ac:dyDescent="0.3"/>
    <row ht="15.75" customHeight="1" r="465" x14ac:dyDescent="0.3"/>
    <row ht="15.75" customHeight="1" r="466" x14ac:dyDescent="0.3"/>
    <row ht="15.75" customHeight="1" r="467" x14ac:dyDescent="0.3"/>
    <row ht="15.75" customHeight="1" r="468" x14ac:dyDescent="0.3"/>
    <row ht="15.75" customHeight="1" r="469" x14ac:dyDescent="0.3"/>
    <row ht="15.75" customHeight="1" r="470" x14ac:dyDescent="0.3"/>
    <row ht="15.75" customHeight="1" r="471" x14ac:dyDescent="0.3"/>
    <row ht="15.75" customHeight="1" r="472" x14ac:dyDescent="0.3"/>
    <row ht="15.75" customHeight="1" r="473" x14ac:dyDescent="0.3"/>
    <row ht="15.75" customHeight="1" r="474" x14ac:dyDescent="0.3"/>
    <row ht="15.75" customHeight="1" r="475" x14ac:dyDescent="0.3"/>
    <row ht="15.75" customHeight="1" r="476" x14ac:dyDescent="0.3"/>
    <row ht="15.75" customHeight="1" r="477" x14ac:dyDescent="0.3"/>
    <row ht="15.75" customHeight="1" r="478" x14ac:dyDescent="0.3"/>
    <row ht="15.75" customHeight="1" r="479" x14ac:dyDescent="0.3"/>
    <row ht="15.75" customHeight="1" r="480" x14ac:dyDescent="0.3"/>
    <row ht="15.75" customHeight="1" r="481" x14ac:dyDescent="0.3"/>
    <row ht="15.75" customHeight="1" r="482" x14ac:dyDescent="0.3"/>
    <row ht="15.75" customHeight="1" r="483" x14ac:dyDescent="0.3"/>
    <row ht="15.75" customHeight="1" r="484" x14ac:dyDescent="0.3"/>
    <row ht="15.75" customHeight="1" r="485" x14ac:dyDescent="0.3"/>
    <row ht="15.75" customHeight="1" r="486" x14ac:dyDescent="0.3"/>
    <row ht="15.75" customHeight="1" r="487" x14ac:dyDescent="0.3"/>
    <row ht="15.75" customHeight="1" r="488" x14ac:dyDescent="0.3"/>
    <row ht="15.75" customHeight="1" r="489" x14ac:dyDescent="0.3"/>
    <row ht="15.75" customHeight="1" r="490" x14ac:dyDescent="0.3"/>
    <row ht="15.75" customHeight="1" r="491" x14ac:dyDescent="0.3"/>
    <row ht="15.75" customHeight="1" r="492" x14ac:dyDescent="0.3"/>
    <row ht="15.75" customHeight="1" r="493" x14ac:dyDescent="0.3"/>
    <row ht="15.75" customHeight="1" r="494" x14ac:dyDescent="0.3"/>
    <row ht="15.75" customHeight="1" r="495" x14ac:dyDescent="0.3"/>
    <row ht="15.75" customHeight="1" r="496" x14ac:dyDescent="0.3"/>
    <row ht="15.75" customHeight="1" r="497" x14ac:dyDescent="0.3"/>
    <row ht="15.75" customHeight="1" r="498" x14ac:dyDescent="0.3"/>
    <row ht="15.75" customHeight="1" r="499" x14ac:dyDescent="0.3"/>
    <row ht="15.75" customHeight="1" r="500" x14ac:dyDescent="0.3"/>
    <row ht="15.75" customHeight="1" r="501" x14ac:dyDescent="0.3"/>
    <row ht="15.75" customHeight="1" r="502" x14ac:dyDescent="0.3"/>
    <row ht="15.75" customHeight="1" r="503" x14ac:dyDescent="0.3"/>
    <row ht="15.75" customHeight="1" r="504" x14ac:dyDescent="0.3"/>
    <row ht="15.75" customHeight="1" r="505" x14ac:dyDescent="0.3"/>
    <row ht="15.75" customHeight="1" r="506" x14ac:dyDescent="0.3"/>
    <row ht="15.75" customHeight="1" r="507" x14ac:dyDescent="0.3"/>
    <row ht="15.75" customHeight="1" r="508" x14ac:dyDescent="0.3"/>
    <row ht="15.75" customHeight="1" r="509" x14ac:dyDescent="0.3"/>
    <row ht="15.75" customHeight="1" r="510" x14ac:dyDescent="0.3"/>
    <row ht="15.75" customHeight="1" r="511" x14ac:dyDescent="0.3"/>
    <row ht="15.75" customHeight="1" r="512" x14ac:dyDescent="0.3"/>
    <row ht="15.75" customHeight="1" r="513" x14ac:dyDescent="0.3"/>
    <row ht="15.75" customHeight="1" r="514" x14ac:dyDescent="0.3"/>
    <row ht="15.75" customHeight="1" r="515" x14ac:dyDescent="0.3"/>
    <row ht="15.75" customHeight="1" r="516" x14ac:dyDescent="0.3"/>
    <row ht="15.75" customHeight="1" r="517" x14ac:dyDescent="0.3"/>
    <row ht="15.75" customHeight="1" r="518" x14ac:dyDescent="0.3"/>
    <row ht="15.75" customHeight="1" r="519" x14ac:dyDescent="0.3"/>
    <row ht="15.75" customHeight="1" r="520" x14ac:dyDescent="0.3"/>
    <row ht="15.75" customHeight="1" r="521" x14ac:dyDescent="0.3"/>
    <row ht="15.75" customHeight="1" r="522" x14ac:dyDescent="0.3"/>
    <row ht="15.75" customHeight="1" r="523" x14ac:dyDescent="0.3"/>
    <row ht="15.75" customHeight="1" r="524" x14ac:dyDescent="0.3"/>
    <row ht="15.75" customHeight="1" r="525" x14ac:dyDescent="0.3"/>
    <row ht="15.75" customHeight="1" r="526" x14ac:dyDescent="0.3"/>
    <row ht="15.75" customHeight="1" r="527" x14ac:dyDescent="0.3"/>
    <row ht="15.75" customHeight="1" r="528" x14ac:dyDescent="0.3"/>
    <row ht="15.75" customHeight="1" r="529" x14ac:dyDescent="0.3"/>
    <row ht="15.75" customHeight="1" r="530" x14ac:dyDescent="0.3"/>
    <row ht="15.75" customHeight="1" r="531" x14ac:dyDescent="0.3"/>
    <row ht="15.75" customHeight="1" r="532" x14ac:dyDescent="0.3"/>
    <row ht="15.75" customHeight="1" r="533" x14ac:dyDescent="0.3"/>
    <row ht="15.75" customHeight="1" r="534" x14ac:dyDescent="0.3"/>
    <row ht="15.75" customHeight="1" r="535" x14ac:dyDescent="0.3"/>
    <row ht="15.75" customHeight="1" r="536" x14ac:dyDescent="0.3"/>
    <row ht="15.75" customHeight="1" r="537" x14ac:dyDescent="0.3"/>
    <row ht="15.75" customHeight="1" r="538" x14ac:dyDescent="0.3"/>
    <row ht="15.75" customHeight="1" r="539" x14ac:dyDescent="0.3"/>
    <row ht="15.75" customHeight="1" r="540" x14ac:dyDescent="0.3"/>
    <row ht="15.75" customHeight="1" r="541" x14ac:dyDescent="0.3"/>
    <row ht="15.75" customHeight="1" r="542" x14ac:dyDescent="0.3"/>
    <row ht="15.75" customHeight="1" r="543" x14ac:dyDescent="0.3"/>
    <row ht="15.75" customHeight="1" r="544" x14ac:dyDescent="0.3"/>
    <row ht="15.75" customHeight="1" r="545" x14ac:dyDescent="0.3"/>
    <row ht="15.75" customHeight="1" r="546" x14ac:dyDescent="0.3"/>
    <row ht="15.75" customHeight="1" r="547" x14ac:dyDescent="0.3"/>
    <row ht="15.75" customHeight="1" r="548" x14ac:dyDescent="0.3"/>
    <row ht="15.75" customHeight="1" r="549" x14ac:dyDescent="0.3"/>
    <row ht="15.75" customHeight="1" r="550" x14ac:dyDescent="0.3"/>
    <row ht="15.75" customHeight="1" r="551" x14ac:dyDescent="0.3"/>
    <row ht="15.75" customHeight="1" r="552" x14ac:dyDescent="0.3"/>
    <row ht="15.75" customHeight="1" r="553" x14ac:dyDescent="0.3"/>
    <row ht="15.75" customHeight="1" r="554" x14ac:dyDescent="0.3"/>
    <row ht="15.75" customHeight="1" r="555" x14ac:dyDescent="0.3"/>
    <row ht="15.75" customHeight="1" r="556" x14ac:dyDescent="0.3"/>
    <row ht="15.75" customHeight="1" r="557" x14ac:dyDescent="0.3"/>
    <row ht="15.75" customHeight="1" r="558" x14ac:dyDescent="0.3"/>
    <row ht="15.75" customHeight="1" r="559" x14ac:dyDescent="0.3"/>
    <row ht="15.75" customHeight="1" r="560" x14ac:dyDescent="0.3"/>
    <row ht="15.75" customHeight="1" r="561" x14ac:dyDescent="0.3"/>
    <row ht="15.75" customHeight="1" r="562" x14ac:dyDescent="0.3"/>
    <row ht="15.75" customHeight="1" r="563" x14ac:dyDescent="0.3"/>
    <row ht="15.75" customHeight="1" r="564" x14ac:dyDescent="0.3"/>
    <row ht="15.75" customHeight="1" r="565" x14ac:dyDescent="0.3"/>
    <row ht="15.75" customHeight="1" r="566" x14ac:dyDescent="0.3"/>
    <row ht="15.75" customHeight="1" r="567" x14ac:dyDescent="0.3"/>
    <row ht="15.75" customHeight="1" r="568" x14ac:dyDescent="0.3"/>
    <row ht="15.75" customHeight="1" r="569" x14ac:dyDescent="0.3"/>
    <row ht="15.75" customHeight="1" r="570" x14ac:dyDescent="0.3"/>
    <row ht="15.75" customHeight="1" r="571" x14ac:dyDescent="0.3"/>
    <row ht="15.75" customHeight="1" r="572" x14ac:dyDescent="0.3"/>
    <row ht="15.75" customHeight="1" r="573" x14ac:dyDescent="0.3"/>
    <row ht="15.75" customHeight="1" r="574" x14ac:dyDescent="0.3"/>
    <row ht="15.75" customHeight="1" r="575" x14ac:dyDescent="0.3"/>
    <row ht="15.75" customHeight="1" r="576" x14ac:dyDescent="0.3"/>
    <row ht="15.75" customHeight="1" r="577" x14ac:dyDescent="0.3"/>
    <row ht="15.75" customHeight="1" r="578" x14ac:dyDescent="0.3"/>
    <row ht="15.75" customHeight="1" r="579" x14ac:dyDescent="0.3"/>
    <row ht="15.75" customHeight="1" r="580" x14ac:dyDescent="0.3"/>
    <row ht="15.75" customHeight="1" r="581" x14ac:dyDescent="0.3"/>
    <row ht="15.75" customHeight="1" r="582" x14ac:dyDescent="0.3"/>
    <row ht="15.75" customHeight="1" r="583" x14ac:dyDescent="0.3"/>
    <row ht="15.75" customHeight="1" r="584" x14ac:dyDescent="0.3"/>
    <row ht="15.75" customHeight="1" r="585" x14ac:dyDescent="0.3"/>
    <row ht="15.75" customHeight="1" r="586" x14ac:dyDescent="0.3"/>
    <row ht="15.75" customHeight="1" r="587" x14ac:dyDescent="0.3"/>
    <row ht="15.75" customHeight="1" r="588" x14ac:dyDescent="0.3"/>
    <row ht="15.75" customHeight="1" r="589" x14ac:dyDescent="0.3"/>
    <row ht="15.75" customHeight="1" r="590" x14ac:dyDescent="0.3"/>
    <row ht="15.75" customHeight="1" r="591" x14ac:dyDescent="0.3"/>
    <row ht="15.75" customHeight="1" r="592" x14ac:dyDescent="0.3"/>
    <row ht="15.75" customHeight="1" r="593" x14ac:dyDescent="0.3"/>
    <row ht="15.75" customHeight="1" r="594" x14ac:dyDescent="0.3"/>
    <row ht="15.75" customHeight="1" r="595" x14ac:dyDescent="0.3"/>
    <row ht="15.75" customHeight="1" r="596" x14ac:dyDescent="0.3"/>
    <row ht="15.75" customHeight="1" r="597" x14ac:dyDescent="0.3"/>
    <row ht="15.75" customHeight="1" r="598" x14ac:dyDescent="0.3"/>
    <row ht="15.75" customHeight="1" r="599" x14ac:dyDescent="0.3"/>
    <row ht="15.75" customHeight="1" r="600" x14ac:dyDescent="0.3"/>
    <row ht="15.75" customHeight="1" r="601" x14ac:dyDescent="0.3"/>
    <row ht="15.75" customHeight="1" r="602" x14ac:dyDescent="0.3"/>
    <row ht="15.75" customHeight="1" r="603" x14ac:dyDescent="0.3"/>
    <row ht="15.75" customHeight="1" r="604" x14ac:dyDescent="0.3"/>
    <row ht="15.75" customHeight="1" r="605" x14ac:dyDescent="0.3"/>
    <row ht="15.75" customHeight="1" r="606" x14ac:dyDescent="0.3"/>
    <row ht="15.75" customHeight="1" r="607" x14ac:dyDescent="0.3"/>
    <row ht="15.75" customHeight="1" r="608" x14ac:dyDescent="0.3"/>
    <row ht="15.75" customHeight="1" r="609" x14ac:dyDescent="0.3"/>
    <row ht="15.75" customHeight="1" r="610" x14ac:dyDescent="0.3"/>
    <row ht="15.75" customHeight="1" r="611" x14ac:dyDescent="0.3"/>
    <row ht="15.75" customHeight="1" r="612" x14ac:dyDescent="0.3"/>
    <row ht="15.75" customHeight="1" r="613" x14ac:dyDescent="0.3"/>
    <row ht="15.75" customHeight="1" r="614" x14ac:dyDescent="0.3"/>
    <row ht="15.75" customHeight="1" r="615" x14ac:dyDescent="0.3"/>
    <row ht="15.75" customHeight="1" r="616" x14ac:dyDescent="0.3"/>
    <row ht="15.75" customHeight="1" r="617" x14ac:dyDescent="0.3"/>
    <row ht="15.75" customHeight="1" r="618" x14ac:dyDescent="0.3"/>
    <row ht="15.75" customHeight="1" r="619" x14ac:dyDescent="0.3"/>
    <row ht="15.75" customHeight="1" r="620" x14ac:dyDescent="0.3"/>
    <row ht="15.75" customHeight="1" r="621" x14ac:dyDescent="0.3"/>
    <row ht="15.75" customHeight="1" r="622" x14ac:dyDescent="0.3"/>
    <row ht="15.75" customHeight="1" r="623" x14ac:dyDescent="0.3"/>
    <row ht="15.75" customHeight="1" r="624" x14ac:dyDescent="0.3"/>
    <row ht="15.75" customHeight="1" r="625" x14ac:dyDescent="0.3"/>
    <row ht="15.75" customHeight="1" r="626" x14ac:dyDescent="0.3"/>
    <row ht="15.75" customHeight="1" r="627" x14ac:dyDescent="0.3"/>
    <row ht="15.75" customHeight="1" r="628" x14ac:dyDescent="0.3"/>
    <row ht="15.75" customHeight="1" r="629" x14ac:dyDescent="0.3"/>
    <row ht="15.75" customHeight="1" r="630" x14ac:dyDescent="0.3"/>
    <row ht="15.75" customHeight="1" r="631" x14ac:dyDescent="0.3"/>
    <row ht="15.75" customHeight="1" r="632" x14ac:dyDescent="0.3"/>
    <row ht="15.75" customHeight="1" r="633" x14ac:dyDescent="0.3"/>
    <row ht="15.75" customHeight="1" r="634" x14ac:dyDescent="0.3"/>
    <row ht="15.75" customHeight="1" r="635" x14ac:dyDescent="0.3"/>
    <row ht="15.75" customHeight="1" r="636" x14ac:dyDescent="0.3"/>
    <row ht="15.75" customHeight="1" r="637" x14ac:dyDescent="0.3"/>
    <row ht="15.75" customHeight="1" r="638" x14ac:dyDescent="0.3"/>
    <row ht="15.75" customHeight="1" r="639" x14ac:dyDescent="0.3"/>
    <row ht="15.75" customHeight="1" r="640" x14ac:dyDescent="0.3"/>
    <row ht="15.75" customHeight="1" r="641" x14ac:dyDescent="0.3"/>
    <row ht="15.75" customHeight="1" r="642" x14ac:dyDescent="0.3"/>
    <row ht="15.75" customHeight="1" r="643" x14ac:dyDescent="0.3"/>
    <row ht="15.75" customHeight="1" r="644" x14ac:dyDescent="0.3"/>
    <row ht="15.75" customHeight="1" r="645" x14ac:dyDescent="0.3"/>
    <row ht="15.75" customHeight="1" r="646" x14ac:dyDescent="0.3"/>
    <row ht="15.75" customHeight="1" r="647" x14ac:dyDescent="0.3"/>
    <row ht="15.75" customHeight="1" r="648" x14ac:dyDescent="0.3"/>
    <row ht="15.75" customHeight="1" r="649" x14ac:dyDescent="0.3"/>
    <row ht="15.75" customHeight="1" r="650" x14ac:dyDescent="0.3"/>
    <row ht="15.75" customHeight="1" r="651" x14ac:dyDescent="0.3"/>
    <row ht="15.75" customHeight="1" r="652" x14ac:dyDescent="0.3"/>
    <row ht="15.75" customHeight="1" r="653" x14ac:dyDescent="0.3"/>
    <row ht="15.75" customHeight="1" r="654" x14ac:dyDescent="0.3"/>
    <row ht="15.75" customHeight="1" r="655" x14ac:dyDescent="0.3"/>
    <row ht="15.75" customHeight="1" r="656" x14ac:dyDescent="0.3"/>
    <row ht="15.75" customHeight="1" r="657" x14ac:dyDescent="0.3"/>
    <row ht="15.75" customHeight="1" r="658" x14ac:dyDescent="0.3"/>
    <row ht="15.75" customHeight="1" r="659" x14ac:dyDescent="0.3"/>
    <row ht="15.75" customHeight="1" r="660" x14ac:dyDescent="0.3"/>
    <row ht="15.75" customHeight="1" r="661" x14ac:dyDescent="0.3"/>
    <row ht="15.75" customHeight="1" r="662" x14ac:dyDescent="0.3"/>
    <row ht="15.75" customHeight="1" r="663" x14ac:dyDescent="0.3"/>
    <row ht="15.75" customHeight="1" r="664" x14ac:dyDescent="0.3"/>
    <row ht="15.75" customHeight="1" r="665" x14ac:dyDescent="0.3"/>
    <row ht="15.75" customHeight="1" r="666" x14ac:dyDescent="0.3"/>
    <row ht="15.75" customHeight="1" r="667" x14ac:dyDescent="0.3"/>
    <row ht="15.75" customHeight="1" r="668" x14ac:dyDescent="0.3"/>
    <row ht="15.75" customHeight="1" r="669" x14ac:dyDescent="0.3"/>
    <row ht="15.75" customHeight="1" r="670" x14ac:dyDescent="0.3"/>
    <row ht="15.75" customHeight="1" r="671" x14ac:dyDescent="0.3"/>
    <row ht="15.75" customHeight="1" r="672" x14ac:dyDescent="0.3"/>
    <row ht="15.75" customHeight="1" r="673" x14ac:dyDescent="0.3"/>
    <row ht="15.75" customHeight="1" r="674" x14ac:dyDescent="0.3"/>
    <row ht="15.75" customHeight="1" r="675" x14ac:dyDescent="0.3"/>
    <row ht="15.75" customHeight="1" r="676" x14ac:dyDescent="0.3"/>
    <row ht="15.75" customHeight="1" r="677" x14ac:dyDescent="0.3"/>
    <row ht="15.75" customHeight="1" r="678" x14ac:dyDescent="0.3"/>
    <row ht="15.75" customHeight="1" r="679" x14ac:dyDescent="0.3"/>
    <row ht="15.75" customHeight="1" r="680" x14ac:dyDescent="0.3"/>
    <row ht="15.75" customHeight="1" r="681" x14ac:dyDescent="0.3"/>
    <row ht="15.75" customHeight="1" r="682" x14ac:dyDescent="0.3"/>
    <row ht="15.75" customHeight="1" r="683" x14ac:dyDescent="0.3"/>
    <row ht="15.75" customHeight="1" r="684" x14ac:dyDescent="0.3"/>
    <row ht="15.75" customHeight="1" r="685" x14ac:dyDescent="0.3"/>
    <row ht="15.75" customHeight="1" r="686" x14ac:dyDescent="0.3"/>
    <row ht="15.75" customHeight="1" r="687" x14ac:dyDescent="0.3"/>
    <row ht="15.75" customHeight="1" r="688" x14ac:dyDescent="0.3"/>
    <row ht="15.75" customHeight="1" r="689" x14ac:dyDescent="0.3"/>
    <row ht="15.75" customHeight="1" r="690" x14ac:dyDescent="0.3"/>
    <row ht="15.75" customHeight="1" r="691" x14ac:dyDescent="0.3"/>
    <row ht="15.75" customHeight="1" r="692" x14ac:dyDescent="0.3"/>
    <row ht="15.75" customHeight="1" r="693" x14ac:dyDescent="0.3"/>
    <row ht="15.75" customHeight="1" r="694" x14ac:dyDescent="0.3"/>
    <row ht="15.75" customHeight="1" r="695" x14ac:dyDescent="0.3"/>
    <row ht="15.75" customHeight="1" r="696" x14ac:dyDescent="0.3"/>
    <row ht="15.75" customHeight="1" r="697" x14ac:dyDescent="0.3"/>
    <row ht="15.75" customHeight="1" r="698" x14ac:dyDescent="0.3"/>
    <row ht="15.75" customHeight="1" r="699" x14ac:dyDescent="0.3"/>
    <row ht="15.75" customHeight="1" r="700" x14ac:dyDescent="0.3"/>
    <row ht="15.75" customHeight="1" r="701" x14ac:dyDescent="0.3"/>
    <row ht="15.75" customHeight="1" r="702" x14ac:dyDescent="0.3"/>
    <row ht="15.75" customHeight="1" r="703" x14ac:dyDescent="0.3"/>
    <row ht="15.75" customHeight="1" r="704" x14ac:dyDescent="0.3"/>
    <row ht="15.75" customHeight="1" r="705" x14ac:dyDescent="0.3"/>
    <row ht="15.75" customHeight="1" r="706" x14ac:dyDescent="0.3"/>
    <row ht="15.75" customHeight="1" r="707" x14ac:dyDescent="0.3"/>
    <row ht="15.75" customHeight="1" r="708" x14ac:dyDescent="0.3"/>
    <row ht="15.75" customHeight="1" r="709" x14ac:dyDescent="0.3"/>
    <row ht="15.75" customHeight="1" r="710" x14ac:dyDescent="0.3"/>
    <row ht="15.75" customHeight="1" r="711" x14ac:dyDescent="0.3"/>
    <row ht="15.75" customHeight="1" r="712" x14ac:dyDescent="0.3"/>
    <row ht="15.75" customHeight="1" r="713" x14ac:dyDescent="0.3"/>
    <row ht="15.75" customHeight="1" r="714" x14ac:dyDescent="0.3"/>
    <row ht="15.75" customHeight="1" r="715" x14ac:dyDescent="0.3"/>
    <row ht="15.75" customHeight="1" r="716" x14ac:dyDescent="0.3"/>
    <row ht="15.75" customHeight="1" r="717" x14ac:dyDescent="0.3"/>
    <row ht="15.75" customHeight="1" r="718" x14ac:dyDescent="0.3"/>
    <row ht="15.75" customHeight="1" r="719" x14ac:dyDescent="0.3"/>
    <row ht="15.75" customHeight="1" r="720" x14ac:dyDescent="0.3"/>
    <row ht="15.75" customHeight="1" r="721" x14ac:dyDescent="0.3"/>
    <row ht="15.75" customHeight="1" r="722" x14ac:dyDescent="0.3"/>
    <row ht="15.75" customHeight="1" r="723" x14ac:dyDescent="0.3"/>
    <row ht="15.75" customHeight="1" r="724" x14ac:dyDescent="0.3"/>
    <row ht="15.75" customHeight="1" r="725" x14ac:dyDescent="0.3"/>
    <row ht="15.75" customHeight="1" r="726" x14ac:dyDescent="0.3"/>
    <row ht="15.75" customHeight="1" r="727" x14ac:dyDescent="0.3"/>
    <row ht="15.75" customHeight="1" r="728" x14ac:dyDescent="0.3"/>
    <row ht="15.75" customHeight="1" r="729" x14ac:dyDescent="0.3"/>
    <row ht="15.75" customHeight="1" r="730" x14ac:dyDescent="0.3"/>
    <row ht="15.75" customHeight="1" r="731" x14ac:dyDescent="0.3"/>
    <row ht="15.75" customHeight="1" r="732" x14ac:dyDescent="0.3"/>
    <row ht="15.75" customHeight="1" r="733" x14ac:dyDescent="0.3"/>
    <row ht="15.75" customHeight="1" r="734" x14ac:dyDescent="0.3"/>
    <row ht="15.75" customHeight="1" r="735" x14ac:dyDescent="0.3"/>
    <row ht="15.75" customHeight="1" r="736" x14ac:dyDescent="0.3"/>
    <row ht="15.75" customHeight="1" r="737" x14ac:dyDescent="0.3"/>
    <row ht="15.75" customHeight="1" r="738" x14ac:dyDescent="0.3"/>
    <row ht="15.75" customHeight="1" r="739" x14ac:dyDescent="0.3"/>
    <row ht="15.75" customHeight="1" r="740" x14ac:dyDescent="0.3"/>
    <row ht="15.75" customHeight="1" r="741" x14ac:dyDescent="0.3"/>
    <row ht="15.75" customHeight="1" r="742" x14ac:dyDescent="0.3"/>
    <row ht="15.75" customHeight="1" r="743" x14ac:dyDescent="0.3"/>
    <row ht="15.75" customHeight="1" r="744" x14ac:dyDescent="0.3"/>
    <row ht="15.75" customHeight="1" r="745" x14ac:dyDescent="0.3"/>
    <row ht="15.75" customHeight="1" r="746" x14ac:dyDescent="0.3"/>
    <row ht="15.75" customHeight="1" r="747" x14ac:dyDescent="0.3"/>
    <row ht="15.75" customHeight="1" r="748" x14ac:dyDescent="0.3"/>
    <row ht="15.75" customHeight="1" r="749" x14ac:dyDescent="0.3"/>
    <row ht="15.75" customHeight="1" r="750" x14ac:dyDescent="0.3"/>
    <row ht="15.75" customHeight="1" r="751" x14ac:dyDescent="0.3"/>
    <row ht="15.75" customHeight="1" r="752" x14ac:dyDescent="0.3"/>
    <row ht="15.75" customHeight="1" r="753" x14ac:dyDescent="0.3"/>
    <row ht="15.75" customHeight="1" r="754" x14ac:dyDescent="0.3"/>
    <row ht="15.75" customHeight="1" r="755" x14ac:dyDescent="0.3"/>
    <row ht="15.75" customHeight="1" r="756" x14ac:dyDescent="0.3"/>
    <row ht="15.75" customHeight="1" r="757" x14ac:dyDescent="0.3"/>
    <row ht="15.75" customHeight="1" r="758" x14ac:dyDescent="0.3"/>
    <row ht="15.75" customHeight="1" r="759" x14ac:dyDescent="0.3"/>
    <row ht="15.75" customHeight="1" r="760" x14ac:dyDescent="0.3"/>
    <row ht="15.75" customHeight="1" r="761" x14ac:dyDescent="0.3"/>
    <row ht="15.75" customHeight="1" r="762" x14ac:dyDescent="0.3"/>
    <row ht="15.75" customHeight="1" r="763" x14ac:dyDescent="0.3"/>
    <row ht="15.75" customHeight="1" r="764" x14ac:dyDescent="0.3"/>
    <row ht="15.75" customHeight="1" r="765" x14ac:dyDescent="0.3"/>
    <row ht="15.75" customHeight="1" r="766" x14ac:dyDescent="0.3"/>
    <row ht="15.75" customHeight="1" r="767" x14ac:dyDescent="0.3"/>
    <row ht="15.75" customHeight="1" r="768" x14ac:dyDescent="0.3"/>
    <row ht="15.75" customHeight="1" r="769" x14ac:dyDescent="0.3"/>
    <row ht="15.75" customHeight="1" r="770" x14ac:dyDescent="0.3"/>
    <row ht="15.75" customHeight="1" r="771" x14ac:dyDescent="0.3"/>
    <row ht="15.75" customHeight="1" r="772" x14ac:dyDescent="0.3"/>
    <row ht="15.75" customHeight="1" r="773" x14ac:dyDescent="0.3"/>
    <row ht="15.75" customHeight="1" r="774" x14ac:dyDescent="0.3"/>
    <row ht="15.75" customHeight="1" r="775" x14ac:dyDescent="0.3"/>
    <row ht="15.75" customHeight="1" r="776" x14ac:dyDescent="0.3"/>
    <row ht="15.75" customHeight="1" r="777" x14ac:dyDescent="0.3"/>
    <row ht="15.75" customHeight="1" r="778" x14ac:dyDescent="0.3"/>
    <row ht="15.75" customHeight="1" r="779" x14ac:dyDescent="0.3"/>
    <row ht="15.75" customHeight="1" r="780" x14ac:dyDescent="0.3"/>
    <row ht="15.75" customHeight="1" r="781" x14ac:dyDescent="0.3"/>
    <row ht="15.75" customHeight="1" r="782" x14ac:dyDescent="0.3"/>
    <row ht="15.75" customHeight="1" r="783" x14ac:dyDescent="0.3"/>
    <row ht="15.75" customHeight="1" r="784" x14ac:dyDescent="0.3"/>
    <row ht="15.75" customHeight="1" r="785" x14ac:dyDescent="0.3"/>
    <row ht="15.75" customHeight="1" r="786" x14ac:dyDescent="0.3"/>
    <row ht="15.75" customHeight="1" r="787" x14ac:dyDescent="0.3"/>
    <row ht="15.75" customHeight="1" r="788" x14ac:dyDescent="0.3"/>
    <row ht="15.75" customHeight="1" r="789" x14ac:dyDescent="0.3"/>
    <row ht="15.75" customHeight="1" r="790" x14ac:dyDescent="0.3"/>
    <row ht="15.75" customHeight="1" r="791" x14ac:dyDescent="0.3"/>
    <row ht="15.75" customHeight="1" r="792" x14ac:dyDescent="0.3"/>
    <row ht="15.75" customHeight="1" r="793" x14ac:dyDescent="0.3"/>
    <row ht="15.75" customHeight="1" r="794" x14ac:dyDescent="0.3"/>
    <row ht="15.75" customHeight="1" r="795" x14ac:dyDescent="0.3"/>
    <row ht="15.75" customHeight="1" r="796" x14ac:dyDescent="0.3"/>
    <row ht="15.75" customHeight="1" r="797" x14ac:dyDescent="0.3"/>
    <row ht="15.75" customHeight="1" r="798" x14ac:dyDescent="0.3"/>
    <row ht="15.75" customHeight="1" r="799" x14ac:dyDescent="0.3"/>
    <row ht="15.75" customHeight="1" r="800" x14ac:dyDescent="0.3"/>
    <row ht="15.75" customHeight="1" r="801" x14ac:dyDescent="0.3"/>
    <row ht="15.75" customHeight="1" r="802" x14ac:dyDescent="0.3"/>
    <row ht="15.75" customHeight="1" r="803" x14ac:dyDescent="0.3"/>
    <row ht="15.75" customHeight="1" r="804" x14ac:dyDescent="0.3"/>
    <row ht="15.75" customHeight="1" r="805" x14ac:dyDescent="0.3"/>
    <row ht="15.75" customHeight="1" r="806" x14ac:dyDescent="0.3"/>
    <row ht="15.75" customHeight="1" r="807" x14ac:dyDescent="0.3"/>
    <row ht="15.75" customHeight="1" r="808" x14ac:dyDescent="0.3"/>
    <row ht="15.75" customHeight="1" r="809" x14ac:dyDescent="0.3"/>
    <row ht="15.75" customHeight="1" r="810" x14ac:dyDescent="0.3"/>
    <row ht="15.75" customHeight="1" r="811" x14ac:dyDescent="0.3"/>
    <row ht="15.75" customHeight="1" r="812" x14ac:dyDescent="0.3"/>
    <row ht="15.75" customHeight="1" r="813" x14ac:dyDescent="0.3"/>
    <row ht="15.75" customHeight="1" r="814" x14ac:dyDescent="0.3"/>
    <row ht="15.75" customHeight="1" r="815" x14ac:dyDescent="0.3"/>
    <row ht="15.75" customHeight="1" r="816" x14ac:dyDescent="0.3"/>
    <row ht="15.75" customHeight="1" r="817" x14ac:dyDescent="0.3"/>
    <row ht="15.75" customHeight="1" r="818" x14ac:dyDescent="0.3"/>
    <row ht="15.75" customHeight="1" r="819" x14ac:dyDescent="0.3"/>
    <row ht="15.75" customHeight="1" r="820" x14ac:dyDescent="0.3"/>
    <row ht="15.75" customHeight="1" r="821" x14ac:dyDescent="0.3"/>
    <row ht="15.75" customHeight="1" r="822" x14ac:dyDescent="0.3"/>
    <row ht="15.75" customHeight="1" r="823" x14ac:dyDescent="0.3"/>
    <row ht="15.75" customHeight="1" r="824" x14ac:dyDescent="0.3"/>
    <row ht="15.75" customHeight="1" r="825" x14ac:dyDescent="0.3"/>
    <row ht="15.75" customHeight="1" r="826" x14ac:dyDescent="0.3"/>
    <row ht="15.75" customHeight="1" r="827" x14ac:dyDescent="0.3"/>
    <row ht="15.75" customHeight="1" r="828" x14ac:dyDescent="0.3"/>
    <row ht="15.75" customHeight="1" r="829" x14ac:dyDescent="0.3"/>
    <row ht="15.75" customHeight="1" r="830" x14ac:dyDescent="0.3"/>
    <row ht="15.75" customHeight="1" r="831" x14ac:dyDescent="0.3"/>
    <row ht="15.75" customHeight="1" r="832" x14ac:dyDescent="0.3"/>
    <row ht="15.75" customHeight="1" r="833" x14ac:dyDescent="0.3"/>
    <row ht="15.75" customHeight="1" r="834" x14ac:dyDescent="0.3"/>
    <row ht="15.75" customHeight="1" r="835" x14ac:dyDescent="0.3"/>
    <row ht="15.75" customHeight="1" r="836" x14ac:dyDescent="0.3"/>
    <row ht="15.75" customHeight="1" r="837" x14ac:dyDescent="0.3"/>
    <row ht="15.75" customHeight="1" r="838" x14ac:dyDescent="0.3"/>
    <row ht="15.75" customHeight="1" r="839" x14ac:dyDescent="0.3"/>
    <row ht="15.75" customHeight="1" r="840" x14ac:dyDescent="0.3"/>
    <row ht="15.75" customHeight="1" r="841" x14ac:dyDescent="0.3"/>
    <row ht="15.75" customHeight="1" r="842" x14ac:dyDescent="0.3"/>
    <row ht="15.75" customHeight="1" r="843" x14ac:dyDescent="0.3"/>
    <row ht="15.75" customHeight="1" r="844" x14ac:dyDescent="0.3"/>
    <row ht="15.75" customHeight="1" r="845" x14ac:dyDescent="0.3"/>
    <row ht="15.75" customHeight="1" r="846" x14ac:dyDescent="0.3"/>
    <row ht="15.75" customHeight="1" r="847" x14ac:dyDescent="0.3"/>
    <row ht="15.75" customHeight="1" r="848" x14ac:dyDescent="0.3"/>
    <row ht="15.75" customHeight="1" r="849" x14ac:dyDescent="0.3"/>
    <row ht="15.75" customHeight="1" r="850" x14ac:dyDescent="0.3"/>
    <row ht="15.75" customHeight="1" r="851" x14ac:dyDescent="0.3"/>
    <row ht="15.75" customHeight="1" r="852" x14ac:dyDescent="0.3"/>
    <row ht="15.75" customHeight="1" r="853" x14ac:dyDescent="0.3"/>
    <row ht="15.75" customHeight="1" r="854" x14ac:dyDescent="0.3"/>
    <row ht="15.75" customHeight="1" r="855" x14ac:dyDescent="0.3"/>
    <row ht="15.75" customHeight="1" r="856" x14ac:dyDescent="0.3"/>
    <row ht="15.75" customHeight="1" r="857" x14ac:dyDescent="0.3"/>
    <row ht="15.75" customHeight="1" r="858" x14ac:dyDescent="0.3"/>
    <row ht="15.75" customHeight="1" r="859" x14ac:dyDescent="0.3"/>
    <row ht="15.75" customHeight="1" r="860" x14ac:dyDescent="0.3"/>
    <row ht="15.75" customHeight="1" r="861" x14ac:dyDescent="0.3"/>
    <row ht="15.75" customHeight="1" r="862" x14ac:dyDescent="0.3"/>
    <row ht="15.75" customHeight="1" r="863" x14ac:dyDescent="0.3"/>
    <row ht="15.75" customHeight="1" r="864" x14ac:dyDescent="0.3"/>
    <row ht="15.75" customHeight="1" r="865" x14ac:dyDescent="0.3"/>
    <row ht="15.75" customHeight="1" r="866" x14ac:dyDescent="0.3"/>
    <row ht="15.75" customHeight="1" r="867" x14ac:dyDescent="0.3"/>
    <row ht="15.75" customHeight="1" r="868" x14ac:dyDescent="0.3"/>
    <row ht="15.75" customHeight="1" r="869" x14ac:dyDescent="0.3"/>
    <row ht="15.75" customHeight="1" r="870" x14ac:dyDescent="0.3"/>
    <row ht="15.75" customHeight="1" r="871" x14ac:dyDescent="0.3"/>
    <row ht="15.75" customHeight="1" r="872" x14ac:dyDescent="0.3"/>
    <row ht="15.75" customHeight="1" r="873" x14ac:dyDescent="0.3"/>
    <row ht="15.75" customHeight="1" r="874" x14ac:dyDescent="0.3"/>
    <row ht="15.75" customHeight="1" r="875" x14ac:dyDescent="0.3"/>
    <row ht="15.75" customHeight="1" r="876" x14ac:dyDescent="0.3"/>
    <row ht="15.75" customHeight="1" r="877" x14ac:dyDescent="0.3"/>
    <row ht="15.75" customHeight="1" r="878" x14ac:dyDescent="0.3"/>
    <row ht="15.75" customHeight="1" r="879" x14ac:dyDescent="0.3"/>
    <row ht="15.75" customHeight="1" r="880" x14ac:dyDescent="0.3"/>
    <row ht="15.75" customHeight="1" r="881" x14ac:dyDescent="0.3"/>
    <row ht="15.75" customHeight="1" r="882" x14ac:dyDescent="0.3"/>
    <row ht="15.75" customHeight="1" r="883" x14ac:dyDescent="0.3"/>
    <row ht="15.75" customHeight="1" r="884" x14ac:dyDescent="0.3"/>
    <row ht="15.75" customHeight="1" r="885" x14ac:dyDescent="0.3"/>
    <row ht="15.75" customHeight="1" r="886" x14ac:dyDescent="0.3"/>
    <row ht="15.75" customHeight="1" r="887" x14ac:dyDescent="0.3"/>
    <row ht="15.75" customHeight="1" r="888" x14ac:dyDescent="0.3"/>
    <row ht="15.75" customHeight="1" r="889" x14ac:dyDescent="0.3"/>
    <row ht="15.75" customHeight="1" r="890" x14ac:dyDescent="0.3"/>
    <row ht="15.75" customHeight="1" r="891" x14ac:dyDescent="0.3"/>
    <row ht="15.75" customHeight="1" r="892" x14ac:dyDescent="0.3"/>
    <row ht="15.75" customHeight="1" r="893" x14ac:dyDescent="0.3"/>
    <row ht="15.75" customHeight="1" r="894" x14ac:dyDescent="0.3"/>
    <row ht="15.75" customHeight="1" r="895" x14ac:dyDescent="0.3"/>
    <row ht="15.75" customHeight="1" r="896" x14ac:dyDescent="0.3"/>
    <row ht="15.75" customHeight="1" r="897" x14ac:dyDescent="0.3"/>
    <row ht="15.75" customHeight="1" r="898" x14ac:dyDescent="0.3"/>
    <row ht="15.75" customHeight="1" r="899" x14ac:dyDescent="0.3"/>
    <row ht="15.75" customHeight="1" r="900" x14ac:dyDescent="0.3"/>
    <row ht="15.75" customHeight="1" r="901" x14ac:dyDescent="0.3"/>
    <row ht="15.75" customHeight="1" r="902" x14ac:dyDescent="0.3"/>
    <row ht="15.75" customHeight="1" r="903" x14ac:dyDescent="0.3"/>
    <row ht="15.75" customHeight="1" r="904" x14ac:dyDescent="0.3"/>
    <row ht="15.75" customHeight="1" r="905" x14ac:dyDescent="0.3"/>
    <row ht="15.75" customHeight="1" r="906" x14ac:dyDescent="0.3"/>
    <row ht="15.75" customHeight="1" r="907" x14ac:dyDescent="0.3"/>
    <row ht="15.75" customHeight="1" r="908" x14ac:dyDescent="0.3"/>
    <row ht="15.75" customHeight="1" r="909" x14ac:dyDescent="0.3"/>
    <row ht="15.75" customHeight="1" r="910" x14ac:dyDescent="0.3"/>
    <row ht="15.75" customHeight="1" r="911" x14ac:dyDescent="0.3"/>
    <row ht="15.75" customHeight="1" r="912" x14ac:dyDescent="0.3"/>
    <row ht="15.75" customHeight="1" r="913" x14ac:dyDescent="0.3"/>
    <row ht="15.75" customHeight="1" r="914" x14ac:dyDescent="0.3"/>
    <row ht="15.75" customHeight="1" r="915" x14ac:dyDescent="0.3"/>
    <row ht="15.75" customHeight="1" r="916" x14ac:dyDescent="0.3"/>
    <row ht="15.75" customHeight="1" r="917" x14ac:dyDescent="0.3"/>
    <row ht="15.75" customHeight="1" r="918" x14ac:dyDescent="0.3"/>
    <row ht="15.75" customHeight="1" r="919" x14ac:dyDescent="0.3"/>
    <row ht="15.75" customHeight="1" r="920" x14ac:dyDescent="0.3"/>
    <row ht="15.75" customHeight="1" r="921" x14ac:dyDescent="0.3"/>
    <row ht="15.75" customHeight="1" r="922" x14ac:dyDescent="0.3"/>
    <row ht="15.75" customHeight="1" r="923" x14ac:dyDescent="0.3"/>
    <row ht="15.75" customHeight="1" r="924" x14ac:dyDescent="0.3"/>
    <row ht="15.75" customHeight="1" r="925" x14ac:dyDescent="0.3"/>
    <row ht="15.75" customHeight="1" r="926" x14ac:dyDescent="0.3"/>
    <row ht="15.75" customHeight="1" r="927" x14ac:dyDescent="0.3"/>
    <row ht="15.75" customHeight="1" r="928" x14ac:dyDescent="0.3"/>
    <row ht="15.75" customHeight="1" r="929" x14ac:dyDescent="0.3"/>
    <row ht="15.75" customHeight="1" r="930" x14ac:dyDescent="0.3"/>
    <row ht="15.75" customHeight="1" r="931" x14ac:dyDescent="0.3"/>
    <row ht="15.75" customHeight="1" r="932" x14ac:dyDescent="0.3"/>
    <row ht="15.75" customHeight="1" r="933" x14ac:dyDescent="0.3"/>
    <row ht="15.75" customHeight="1" r="934" x14ac:dyDescent="0.3"/>
    <row ht="15.75" customHeight="1" r="935" x14ac:dyDescent="0.3"/>
    <row ht="15.75" customHeight="1" r="936" x14ac:dyDescent="0.3"/>
    <row ht="15.75" customHeight="1" r="937" x14ac:dyDescent="0.3"/>
    <row ht="15.75" customHeight="1" r="938" x14ac:dyDescent="0.3"/>
    <row ht="15.75" customHeight="1" r="939" x14ac:dyDescent="0.3"/>
    <row ht="15.75" customHeight="1" r="940" x14ac:dyDescent="0.3"/>
    <row ht="15.75" customHeight="1" r="941" x14ac:dyDescent="0.3"/>
    <row ht="15.75" customHeight="1" r="942" x14ac:dyDescent="0.3"/>
    <row ht="15.75" customHeight="1" r="943" x14ac:dyDescent="0.3"/>
    <row ht="15.75" customHeight="1" r="944" x14ac:dyDescent="0.3"/>
    <row ht="15.75" customHeight="1" r="945" x14ac:dyDescent="0.3"/>
    <row ht="15.75" customHeight="1" r="946" x14ac:dyDescent="0.3"/>
    <row ht="15.75" customHeight="1" r="947" x14ac:dyDescent="0.3"/>
    <row ht="15.75" customHeight="1" r="948" x14ac:dyDescent="0.3"/>
    <row ht="15.75" customHeight="1" r="949" x14ac:dyDescent="0.3"/>
    <row ht="15.75" customHeight="1" r="950" x14ac:dyDescent="0.3"/>
    <row ht="15.75" customHeight="1" r="951" x14ac:dyDescent="0.3"/>
    <row ht="15.75" customHeight="1" r="952" x14ac:dyDescent="0.3"/>
    <row ht="15.75" customHeight="1" r="953" x14ac:dyDescent="0.3"/>
    <row ht="15.75" customHeight="1" r="954" x14ac:dyDescent="0.3"/>
    <row ht="15.75" customHeight="1" r="955" x14ac:dyDescent="0.3"/>
    <row ht="15.75" customHeight="1" r="956" x14ac:dyDescent="0.3"/>
    <row ht="15.75" customHeight="1" r="957" x14ac:dyDescent="0.3"/>
    <row ht="15.75" customHeight="1" r="958" x14ac:dyDescent="0.3"/>
    <row ht="15.75" customHeight="1" r="959" x14ac:dyDescent="0.3"/>
    <row ht="15.75" customHeight="1" r="960" x14ac:dyDescent="0.3"/>
    <row ht="15.75" customHeight="1" r="961" x14ac:dyDescent="0.3"/>
    <row ht="15.75" customHeight="1" r="962" x14ac:dyDescent="0.3"/>
    <row ht="15.75" customHeight="1" r="963" x14ac:dyDescent="0.3"/>
    <row ht="15.75" customHeight="1" r="964" x14ac:dyDescent="0.3"/>
    <row ht="15.75" customHeight="1" r="965" x14ac:dyDescent="0.3"/>
    <row ht="15.75" customHeight="1" r="966" x14ac:dyDescent="0.3"/>
    <row ht="15.75" customHeight="1" r="967" x14ac:dyDescent="0.3"/>
    <row ht="15.75" customHeight="1" r="968" x14ac:dyDescent="0.3"/>
    <row ht="15.75" customHeight="1" r="969" x14ac:dyDescent="0.3"/>
    <row ht="15.75" customHeight="1" r="970" x14ac:dyDescent="0.3"/>
    <row ht="15.75" customHeight="1" r="971" x14ac:dyDescent="0.3"/>
    <row ht="15.75" customHeight="1" r="972" x14ac:dyDescent="0.3"/>
    <row ht="15.75" customHeight="1" r="973" x14ac:dyDescent="0.3"/>
    <row ht="15.75" customHeight="1" r="974" x14ac:dyDescent="0.3"/>
    <row ht="15.75" customHeight="1" r="975" x14ac:dyDescent="0.3"/>
    <row ht="15.75" customHeight="1" r="976" x14ac:dyDescent="0.3"/>
    <row ht="15.75" customHeight="1" r="977" x14ac:dyDescent="0.3"/>
    <row ht="15.75" customHeight="1" r="978" x14ac:dyDescent="0.3"/>
    <row ht="15.75" customHeight="1" r="979" x14ac:dyDescent="0.3"/>
    <row ht="15.75" customHeight="1" r="980" x14ac:dyDescent="0.3"/>
    <row ht="15.75" customHeight="1" r="981" x14ac:dyDescent="0.3"/>
    <row ht="15.75" customHeight="1" r="982" x14ac:dyDescent="0.3"/>
    <row ht="15.75" customHeight="1" r="983" x14ac:dyDescent="0.3"/>
    <row ht="15.75" customHeight="1" r="984" x14ac:dyDescent="0.3"/>
    <row ht="15.75" customHeight="1" r="985" x14ac:dyDescent="0.3"/>
    <row ht="15.75" customHeight="1" r="986" x14ac:dyDescent="0.3"/>
    <row ht="15.75" customHeight="1" r="987" x14ac:dyDescent="0.3"/>
    <row ht="15.75" customHeight="1" r="988" x14ac:dyDescent="0.3"/>
    <row ht="15.75" customHeight="1" r="989" x14ac:dyDescent="0.3"/>
    <row ht="15.75" customHeight="1" r="990" x14ac:dyDescent="0.3"/>
    <row ht="15.75" customHeight="1" r="991" x14ac:dyDescent="0.3"/>
    <row ht="15.75" customHeight="1" r="992" x14ac:dyDescent="0.3"/>
    <row ht="15.75" customHeight="1" r="993" x14ac:dyDescent="0.3"/>
    <row ht="15.75" customHeight="1" r="994" x14ac:dyDescent="0.3"/>
    <row ht="15.75" customHeight="1" r="995" x14ac:dyDescent="0.3"/>
    <row ht="15.75" customHeight="1" r="996" x14ac:dyDescent="0.3"/>
    <row ht="15.75" customHeight="1" r="997" x14ac:dyDescent="0.3"/>
    <row ht="15.75" customHeight="1" r="998" x14ac:dyDescent="0.3"/>
    <row ht="15.75" customHeight="1" r="999" x14ac:dyDescent="0.3"/>
    <row ht="15.75" customHeight="1" r="1000" x14ac:dyDescent="0.3"/>
    <row ht="15.75" customHeight="1" r="1001" x14ac:dyDescent="0.3"/>
  </sheetData>
  <mergeCells count="12">
    <mergeCell ref="C8:H8"/>
    <mergeCell ref="C9:H9"/>
    <mergeCell ref="C10:H10"/>
    <mergeCell ref="A11:H11"/>
    <mergeCell ref="A12:H12"/>
    <mergeCell ref="C6:H6"/>
    <mergeCell ref="C7:H7"/>
    <mergeCell ref="A1:H1"/>
    <mergeCell ref="A2:H2"/>
    <mergeCell ref="A3:H3"/>
    <mergeCell ref="C4:H4"/>
    <mergeCell ref="C5:H5"/>
  </mergeCells>
  <pageMargins left="0.7" right="0.7" top="0.75" bottom="0.75" header="0" footer="0"/>
  <pageSetup orientation="landscape"/>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Views>
    <sheetView workbookViewId="0">
      <pane xSplit="2" ySplit="8" topLeftCell="C9" activePane="bottomRight" state="frozen"/>
      <selection pane="topRight" activeCell="C1" sqref="C1"/>
      <selection pane="bottomLeft" activeCell="A9" sqref="A9"/>
      <selection pane="bottomRight" activeCell="E20" sqref="E20"/>
    </sheetView>
  </sheetViews>
  <sheetFormatPr baseColWidth="8" defaultColWidth="14.44140625" defaultRowHeight="15"/>
  <cols>
    <col min="1" max="1" width="9.02" customWidth="1"/>
    <col min="2" max="2" width="66" customWidth="1"/>
    <col min="3" max="17" width="13.33203125" customWidth="1"/>
    <col min="18" max="32" width="13.6640625" customWidth="1"/>
  </cols>
  <sheetData>
    <row ht="17.4" r="1" spans="1:32" x14ac:dyDescent="0.3">
      <c r="A1" s="60" t="s">
        <v>20</v>
      </c>
      <c r="B1" s="61"/>
      <c r="C1" s="11"/>
      <c r="D1" s="11"/>
      <c r="E1" s="11"/>
      <c r="F1" s="11"/>
      <c r="G1" s="11"/>
      <c r="H1" s="11"/>
      <c r="I1" s="11"/>
      <c r="J1" s="11"/>
      <c r="K1" s="11"/>
      <c r="L1" s="11"/>
      <c r="M1" s="11"/>
      <c r="N1" s="11"/>
      <c r="O1" s="11"/>
      <c r="P1" s="11"/>
      <c r="Q1" s="11"/>
      <c r="R1" s="11"/>
      <c r="S1" s="12"/>
      <c r="T1" s="12"/>
      <c r="U1" s="12"/>
      <c r="V1" s="12"/>
      <c r="W1" s="12"/>
      <c r="X1" s="12"/>
      <c r="Y1" s="12"/>
      <c r="Z1" s="12"/>
      <c r="AA1" s="12"/>
      <c r="AB1" s="12"/>
      <c r="AC1" s="12"/>
      <c r="AD1" s="12"/>
      <c r="AE1" s="12"/>
      <c r="AF1" s="12"/>
    </row>
    <row ht="14.4" r="2" spans="1:32" x14ac:dyDescent="0.3">
      <c r="A2" s="62" t="s">
        <v>21</v>
      </c>
      <c r="B2" s="61"/>
      <c r="C2" s="11"/>
      <c r="D2" s="11"/>
      <c r="E2" s="11"/>
      <c r="F2" s="11"/>
      <c r="G2" s="11"/>
      <c r="H2" s="11"/>
      <c r="I2" s="11"/>
      <c r="J2" s="11"/>
      <c r="K2" s="11"/>
      <c r="L2" s="11"/>
      <c r="M2" s="11"/>
      <c r="N2" s="11"/>
      <c r="O2" s="11"/>
      <c r="P2" s="11"/>
      <c r="Q2" s="11"/>
      <c r="R2" s="11"/>
      <c r="S2" s="12"/>
      <c r="T2" s="12"/>
      <c r="U2" s="12"/>
      <c r="V2" s="12"/>
      <c r="W2" s="12"/>
      <c r="X2" s="12"/>
      <c r="Y2" s="12"/>
      <c r="Z2" s="12"/>
      <c r="AA2" s="12"/>
      <c r="AB2" s="12"/>
      <c r="AC2" s="12"/>
      <c r="AD2" s="12"/>
      <c r="AE2" s="12"/>
      <c r="AF2" s="12"/>
    </row>
    <row ht="14.4" r="3" spans="1:32" x14ac:dyDescent="0.3">
      <c r="A3" s="62" t="s">
        <v>22</v>
      </c>
      <c r="B3" s="61"/>
      <c r="C3" s="12"/>
      <c r="D3" s="12"/>
      <c r="E3" s="12"/>
      <c r="F3" s="12"/>
      <c r="G3" s="12"/>
      <c r="H3" s="12"/>
      <c r="I3" s="12"/>
      <c r="J3" s="12"/>
      <c r="K3" s="12"/>
      <c r="L3" s="12"/>
      <c r="M3" s="12"/>
      <c r="N3" s="12"/>
      <c r="O3" s="12"/>
      <c r="P3" s="12"/>
      <c r="Q3" s="12"/>
      <c r="R3" s="11"/>
      <c r="S3" s="12"/>
      <c r="T3" s="12"/>
      <c r="U3" s="12"/>
      <c r="V3" s="12"/>
      <c r="W3" s="12"/>
      <c r="X3" s="12"/>
      <c r="Y3" s="12"/>
      <c r="Z3" s="12"/>
      <c r="AA3" s="12"/>
      <c r="AB3" s="12"/>
      <c r="AC3" s="12"/>
      <c r="AD3" s="12"/>
      <c r="AE3" s="12"/>
      <c r="AF3" s="12"/>
    </row>
    <row ht="28.5" customHeight="1" r="4" spans="1:32" x14ac:dyDescent="0.3">
      <c r="A4" s="63" t="s">
        <v>23</v>
      </c>
      <c r="B4" s="61"/>
      <c r="C4" s="64"/>
      <c r="D4" s="65"/>
      <c r="E4" s="65"/>
      <c r="F4" s="66"/>
      <c r="G4" s="13"/>
      <c r="H4" s="14"/>
      <c r="I4" s="14"/>
      <c r="J4" s="14"/>
      <c r="K4" s="14"/>
      <c r="L4" s="14"/>
      <c r="M4" s="14"/>
      <c r="N4" s="14"/>
      <c r="O4" s="14"/>
      <c r="P4" s="14"/>
      <c r="Q4" s="14"/>
      <c r="R4" s="12"/>
      <c r="S4" s="12"/>
      <c r="T4" s="12"/>
      <c r="U4" s="12"/>
      <c r="V4" s="12"/>
      <c r="W4" s="12"/>
      <c r="X4" s="12"/>
      <c r="Y4" s="12"/>
      <c r="Z4" s="12"/>
      <c r="AA4" s="12"/>
      <c r="AB4" s="12"/>
      <c r="AC4" s="12"/>
      <c r="AD4" s="12"/>
      <c r="AE4" s="12"/>
      <c r="AF4" s="12"/>
    </row>
    <row ht="14.4" r="5" spans="1:32" x14ac:dyDescent="0.3">
      <c r="A5" s="63" t="s">
        <v>24</v>
      </c>
      <c r="B5" s="61"/>
      <c r="C5" s="67"/>
      <c r="D5" s="68"/>
      <c r="E5" s="11"/>
      <c r="F5" s="11"/>
      <c r="G5" s="12"/>
      <c r="H5" s="12"/>
      <c r="I5" s="12"/>
      <c r="J5" s="12"/>
      <c r="K5" s="12"/>
      <c r="L5" s="12"/>
      <c r="M5" s="12"/>
      <c r="N5" s="12"/>
      <c r="O5" s="12"/>
      <c r="P5" s="12"/>
      <c r="Q5" s="12"/>
      <c r="R5" s="12"/>
      <c r="S5" s="12"/>
      <c r="T5" s="12"/>
      <c r="U5" s="12"/>
      <c r="V5" s="12"/>
      <c r="W5" s="12"/>
      <c r="X5" s="12"/>
      <c r="Y5" s="12"/>
      <c r="Z5" s="12"/>
      <c r="AA5" s="12"/>
      <c r="AB5" s="12"/>
      <c r="AC5" s="12"/>
      <c r="AD5" s="12"/>
      <c r="AE5" s="12"/>
      <c r="AF5" s="12"/>
    </row>
    <row ht="14.4" r="6" spans="1:32" x14ac:dyDescent="0.3">
      <c r="A6" s="54"/>
      <c r="B6" s="55"/>
      <c r="C6" s="15"/>
      <c r="D6" s="15"/>
      <c r="E6" s="15"/>
      <c r="F6" s="15"/>
      <c r="G6" s="15"/>
      <c r="H6" s="15"/>
      <c r="I6" s="15"/>
      <c r="J6" s="15"/>
      <c r="K6" s="15"/>
      <c r="L6" s="15"/>
      <c r="M6" s="15"/>
      <c r="N6" s="15"/>
      <c r="O6" s="15"/>
      <c r="P6" s="15"/>
      <c r="Q6" s="15"/>
      <c r="R6" s="15"/>
      <c r="S6" s="16"/>
      <c r="T6" s="16"/>
      <c r="U6" s="16"/>
      <c r="V6" s="16"/>
      <c r="W6" s="16"/>
      <c r="X6" s="16"/>
      <c r="Y6" s="16"/>
      <c r="Z6" s="16"/>
      <c r="AA6" s="16"/>
      <c r="AB6" s="16"/>
      <c r="AC6" s="16"/>
      <c r="AD6" s="16"/>
      <c r="AE6" s="16"/>
      <c r="AF6" s="16"/>
    </row>
    <row ht="55.8" r="7" spans="1:32" x14ac:dyDescent="0.3">
      <c r="A7" s="17" t="s">
        <v>25</v>
      </c>
      <c r="B7" s="18" t="s">
        <v>26</v>
      </c>
      <c r="C7" s="19" t="s">
        <v>27</v>
      </c>
      <c r="D7" s="19" t="s">
        <v>28</v>
      </c>
      <c r="E7" s="19" t="s">
        <v>29</v>
      </c>
      <c r="F7" s="19" t="s">
        <v>30</v>
      </c>
      <c r="G7" s="19" t="s">
        <v>31</v>
      </c>
      <c r="H7" s="19" t="s">
        <v>32</v>
      </c>
      <c r="I7" s="19" t="s">
        <v>33</v>
      </c>
      <c r="J7" s="19" t="s">
        <v>34</v>
      </c>
      <c r="K7" s="19" t="s">
        <v>35</v>
      </c>
      <c r="L7" s="19" t="s">
        <v>36</v>
      </c>
      <c r="M7" s="19" t="s">
        <v>37</v>
      </c>
      <c r="N7" s="19" t="s">
        <v>38</v>
      </c>
      <c r="O7" s="19" t="s">
        <v>39</v>
      </c>
      <c r="P7" s="19" t="s">
        <v>40</v>
      </c>
      <c r="Q7" s="19" t="s">
        <v>41</v>
      </c>
      <c r="R7" s="19" t="s">
        <v>42</v>
      </c>
      <c r="S7" s="19" t="s">
        <v>43</v>
      </c>
      <c r="T7" s="19" t="s">
        <v>44</v>
      </c>
      <c r="U7" s="19" t="s">
        <v>45</v>
      </c>
      <c r="V7" s="19" t="s">
        <v>46</v>
      </c>
      <c r="W7" s="19" t="s">
        <v>47</v>
      </c>
      <c r="X7" s="19" t="s">
        <v>48</v>
      </c>
      <c r="Y7" s="19" t="s">
        <v>49</v>
      </c>
      <c r="Z7" s="19" t="s">
        <v>50</v>
      </c>
      <c r="AA7" s="19" t="s">
        <v>51</v>
      </c>
      <c r="AB7" s="19" t="s">
        <v>52</v>
      </c>
      <c r="AC7" s="19" t="s">
        <v>53</v>
      </c>
      <c r="AD7" s="19" t="s">
        <v>54</v>
      </c>
      <c r="AE7" s="19" t="s">
        <v>55</v>
      </c>
      <c r="AF7" s="20" t="s">
        <v>56</v>
      </c>
    </row>
    <row ht="16.5" customHeight="1" r="8" spans="1:32" x14ac:dyDescent="0.3">
      <c r="A8" s="56"/>
      <c r="B8" s="39"/>
      <c r="C8" s="57"/>
      <c r="D8" s="21"/>
      <c r="E8" s="22"/>
      <c r="F8" s="22"/>
      <c r="G8" s="22"/>
      <c r="H8" s="22"/>
      <c r="I8" s="22"/>
      <c r="J8" s="22"/>
      <c r="K8" s="22"/>
      <c r="L8" s="22"/>
      <c r="M8" s="22"/>
      <c r="N8" s="22"/>
      <c r="O8" s="22"/>
      <c r="P8" s="22"/>
      <c r="Q8" s="22"/>
      <c r="R8" s="58"/>
      <c r="S8" s="39"/>
      <c r="T8" s="39"/>
      <c r="U8" s="39"/>
      <c r="V8" s="39"/>
      <c r="W8" s="39"/>
      <c r="X8" s="39"/>
      <c r="Y8" s="39"/>
      <c r="Z8" s="39"/>
      <c r="AA8" s="39"/>
      <c r="AB8" s="39"/>
      <c r="AC8" s="39"/>
      <c r="AD8" s="39"/>
      <c r="AE8" s="39"/>
      <c r="AF8" s="59"/>
    </row>
    <row ht="16.5" customHeight="1" r="9" spans="1:32" x14ac:dyDescent="0.3">
      <c r="A9" s="23" t="s">
        <v>57</v>
      </c>
      <c r="B9" s="24" t="s">
        <v>58</v>
      </c>
      <c r="C9" s="25"/>
      <c r="D9" s="26">
        <f>SUM(C9)*$D$8</f>
        <v>0</v>
      </c>
      <c r="E9" s="26">
        <f>SUM(C9:D9)*$E$8</f>
        <v>0</v>
      </c>
      <c r="F9" s="26">
        <f>SUM(C9:E9)*$F$8</f>
        <v>0</v>
      </c>
      <c r="G9" s="27"/>
      <c r="H9" s="27"/>
      <c r="I9" s="27"/>
      <c r="J9" s="27"/>
      <c r="K9" s="27"/>
      <c r="L9" s="27"/>
      <c r="M9" s="27"/>
      <c r="N9" s="27"/>
      <c r="O9" s="27"/>
      <c r="P9" s="27"/>
      <c r="Q9" s="26">
        <f>SUM(C9:F9)*$Q$8</f>
        <v>0</v>
      </c>
      <c r="R9" s="28">
        <f>ROUND(SUM(C9:Q9)*1.0441,2)</f>
        <v>0</v>
      </c>
      <c r="S9" s="28">
        <f>ROUND(R9*1.0441,2)</f>
        <v>0</v>
      </c>
      <c r="T9" s="28">
        <f>ROUND(S9*1.0441,2)</f>
        <v>0</v>
      </c>
      <c r="U9" s="28">
        <f>ROUND(T9*1.0441,2)</f>
        <v>0</v>
      </c>
      <c r="V9" s="28">
        <f>ROUND(U9*1.0441,2)</f>
        <v>0</v>
      </c>
      <c r="W9" s="28">
        <f>ROUND(V9*1.0441,2)</f>
        <v>0</v>
      </c>
      <c r="X9" s="28">
        <f>ROUND(W9*1.0441,2)</f>
        <v>0</v>
      </c>
      <c r="Y9" s="28">
        <f>ROUND(X9*1.0441,2)</f>
        <v>0</v>
      </c>
      <c r="Z9" s="28">
        <f>ROUND(Y9*1.0441,2)</f>
        <v>0</v>
      </c>
      <c r="AA9" s="28">
        <f>ROUND(Z9*1.0441,2)</f>
        <v>0</v>
      </c>
      <c r="AB9" s="28">
        <f>ROUND(AA9*1.0441,2)</f>
        <v>0</v>
      </c>
      <c r="AC9" s="28">
        <f>ROUND(AB9*1.0441,2)</f>
        <v>0</v>
      </c>
      <c r="AD9" s="28">
        <f>ROUND(AC9*1.0441,2)</f>
        <v>0</v>
      </c>
      <c r="AE9" s="28">
        <f>ROUND(AD9*1.0441,2)</f>
        <v>0</v>
      </c>
      <c r="AF9" s="29">
        <f>ROUND(AE9*1.0441,2)</f>
        <v>0</v>
      </c>
    </row>
    <row ht="16.5" customHeight="1" r="10" spans="1:32" x14ac:dyDescent="0.3">
      <c r="A10" s="30">
        <v>2666211</v>
      </c>
      <c r="B10" s="24" t="s">
        <v>59</v>
      </c>
      <c r="C10" s="25"/>
      <c r="D10" s="26">
        <f>SUM(C10)*$D$8</f>
        <v>0</v>
      </c>
      <c r="E10" s="26">
        <f>SUM(C10:D10)*$E$8</f>
        <v>0</v>
      </c>
      <c r="F10" s="26">
        <f>SUM(C10:E10)*$F$8</f>
        <v>0</v>
      </c>
      <c r="G10" s="27"/>
      <c r="H10" s="27"/>
      <c r="I10" s="27"/>
      <c r="J10" s="27"/>
      <c r="K10" s="27"/>
      <c r="L10" s="27"/>
      <c r="M10" s="27"/>
      <c r="N10" s="27"/>
      <c r="O10" s="27"/>
      <c r="P10" s="27"/>
      <c r="Q10" s="26">
        <f>SUM(C10:F10)*$Q$8</f>
        <v>0</v>
      </c>
      <c r="R10" s="28">
        <f>ROUND(SUM(C10:Q10)*1.0441,2)</f>
        <v>0</v>
      </c>
      <c r="S10" s="28">
        <f>ROUND(R10*1.0441,2)</f>
        <v>0</v>
      </c>
      <c r="T10" s="28">
        <f>ROUND(S10*1.0441,2)</f>
        <v>0</v>
      </c>
      <c r="U10" s="28">
        <f>ROUND(T10*1.0441,2)</f>
        <v>0</v>
      </c>
      <c r="V10" s="28">
        <f>ROUND(U10*1.0441,2)</f>
        <v>0</v>
      </c>
      <c r="W10" s="28">
        <f>ROUND(V10*1.0441,2)</f>
        <v>0</v>
      </c>
      <c r="X10" s="28">
        <f>ROUND(W10*1.0441,2)</f>
        <v>0</v>
      </c>
      <c r="Y10" s="28">
        <f>ROUND(X10*1.0441,2)</f>
        <v>0</v>
      </c>
      <c r="Z10" s="28">
        <f>ROUND(Y10*1.0441,2)</f>
        <v>0</v>
      </c>
      <c r="AA10" s="28">
        <f>ROUND(Z10*1.0441,2)</f>
        <v>0</v>
      </c>
      <c r="AB10" s="28">
        <f>ROUND(AA10*1.0441,2)</f>
        <v>0</v>
      </c>
      <c r="AC10" s="28">
        <f>ROUND(AB10*1.0441,2)</f>
        <v>0</v>
      </c>
      <c r="AD10" s="28">
        <f>ROUND(AC10*1.0441,2)</f>
        <v>0</v>
      </c>
      <c r="AE10" s="28">
        <f>ROUND(AD10*1.0441,2)</f>
        <v>0</v>
      </c>
      <c r="AF10" s="29">
        <f>ROUND(AE10*1.0441,2)</f>
        <v>0</v>
      </c>
    </row>
    <row ht="16.5" customHeight="1" r="11" spans="1:32" x14ac:dyDescent="0.3">
      <c r="A11" s="23" t="s">
        <v>60</v>
      </c>
      <c r="B11" s="24" t="s">
        <v>61</v>
      </c>
      <c r="C11" s="25"/>
      <c r="D11" s="26">
        <f>SUM(C11)*$D$8</f>
        <v>0</v>
      </c>
      <c r="E11" s="26">
        <f>SUM(C11:D11)*$E$8</f>
        <v>0</v>
      </c>
      <c r="F11" s="26">
        <f>SUM(C11:E11)*$F$8</f>
        <v>0</v>
      </c>
      <c r="G11" s="27"/>
      <c r="H11" s="27"/>
      <c r="I11" s="27"/>
      <c r="J11" s="27"/>
      <c r="K11" s="27"/>
      <c r="L11" s="27"/>
      <c r="M11" s="27"/>
      <c r="N11" s="27"/>
      <c r="O11" s="27"/>
      <c r="P11" s="27"/>
      <c r="Q11" s="26">
        <f>SUM(C11:F11)*$Q$8</f>
        <v>0</v>
      </c>
      <c r="R11" s="28">
        <f>ROUND(SUM(C11:Q11)*1.0441,2)</f>
        <v>0</v>
      </c>
      <c r="S11" s="28">
        <f>ROUND(R11*1.0441,2)</f>
        <v>0</v>
      </c>
      <c r="T11" s="28">
        <f>ROUND(S11*1.0441,2)</f>
        <v>0</v>
      </c>
      <c r="U11" s="28">
        <f>ROUND(T11*1.0441,2)</f>
        <v>0</v>
      </c>
      <c r="V11" s="28">
        <f>ROUND(U11*1.0441,2)</f>
        <v>0</v>
      </c>
      <c r="W11" s="28">
        <f>ROUND(V11*1.0441,2)</f>
        <v>0</v>
      </c>
      <c r="X11" s="28">
        <f>ROUND(W11*1.0441,2)</f>
        <v>0</v>
      </c>
      <c r="Y11" s="28">
        <f>ROUND(X11*1.0441,2)</f>
        <v>0</v>
      </c>
      <c r="Z11" s="28">
        <f>ROUND(Y11*1.0441,2)</f>
        <v>0</v>
      </c>
      <c r="AA11" s="28">
        <f>ROUND(Z11*1.0441,2)</f>
        <v>0</v>
      </c>
      <c r="AB11" s="28">
        <f>ROUND(AA11*1.0441,2)</f>
        <v>0</v>
      </c>
      <c r="AC11" s="28">
        <f>ROUND(AB11*1.0441,2)</f>
        <v>0</v>
      </c>
      <c r="AD11" s="28">
        <f>ROUND(AC11*1.0441,2)</f>
        <v>0</v>
      </c>
      <c r="AE11" s="28">
        <f>ROUND(AD11*1.0441,2)</f>
        <v>0</v>
      </c>
      <c r="AF11" s="29">
        <f>ROUND(AE11*1.0441,2)</f>
        <v>0</v>
      </c>
    </row>
    <row ht="16.5" customHeight="1" r="12" spans="1:32" x14ac:dyDescent="0.3">
      <c r="A12" s="23" t="s">
        <v>62</v>
      </c>
      <c r="B12" s="24" t="s">
        <v>63</v>
      </c>
      <c r="C12" s="25"/>
      <c r="D12" s="26">
        <f>SUM(C12)*$D$8</f>
        <v>0</v>
      </c>
      <c r="E12" s="26">
        <f>SUM(C12:D12)*$E$8</f>
        <v>0</v>
      </c>
      <c r="F12" s="26">
        <f>SUM(C12:E12)*$F$8</f>
        <v>0</v>
      </c>
      <c r="G12" s="27"/>
      <c r="H12" s="27"/>
      <c r="I12" s="27"/>
      <c r="J12" s="27"/>
      <c r="K12" s="27"/>
      <c r="L12" s="27"/>
      <c r="M12" s="27"/>
      <c r="N12" s="27"/>
      <c r="O12" s="27"/>
      <c r="P12" s="27"/>
      <c r="Q12" s="26">
        <f>SUM(C12:F12)*$Q$8</f>
        <v>0</v>
      </c>
      <c r="R12" s="28">
        <f>ROUND(SUM(C12:Q12)*1.0441,2)</f>
        <v>0</v>
      </c>
      <c r="S12" s="28">
        <f>ROUND(R12*1.0441,2)</f>
        <v>0</v>
      </c>
      <c r="T12" s="28">
        <f>ROUND(S12*1.0441,2)</f>
        <v>0</v>
      </c>
      <c r="U12" s="28">
        <f>ROUND(T12*1.0441,2)</f>
        <v>0</v>
      </c>
      <c r="V12" s="28">
        <f>ROUND(U12*1.0441,2)</f>
        <v>0</v>
      </c>
      <c r="W12" s="28">
        <f>ROUND(V12*1.0441,2)</f>
        <v>0</v>
      </c>
      <c r="X12" s="28">
        <f>ROUND(W12*1.0441,2)</f>
        <v>0</v>
      </c>
      <c r="Y12" s="28">
        <f>ROUND(X12*1.0441,2)</f>
        <v>0</v>
      </c>
      <c r="Z12" s="28">
        <f>ROUND(Y12*1.0441,2)</f>
        <v>0</v>
      </c>
      <c r="AA12" s="28">
        <f>ROUND(Z12*1.0441,2)</f>
        <v>0</v>
      </c>
      <c r="AB12" s="28">
        <f>ROUND(AA12*1.0441,2)</f>
        <v>0</v>
      </c>
      <c r="AC12" s="28">
        <f>ROUND(AB12*1.0441,2)</f>
        <v>0</v>
      </c>
      <c r="AD12" s="28">
        <f>ROUND(AC12*1.0441,2)</f>
        <v>0</v>
      </c>
      <c r="AE12" s="28">
        <f>ROUND(AD12*1.0441,2)</f>
        <v>0</v>
      </c>
      <c r="AF12" s="29">
        <f>ROUND(AE12*1.0441,2)</f>
        <v>0</v>
      </c>
    </row>
    <row ht="16.5" customHeight="1" r="13" spans="1:32" x14ac:dyDescent="0.3">
      <c r="A13" s="23" t="s">
        <v>64</v>
      </c>
      <c r="B13" s="24" t="s">
        <v>65</v>
      </c>
      <c r="C13" s="25"/>
      <c r="D13" s="26">
        <f>SUM(C13)*$D$8</f>
        <v>0</v>
      </c>
      <c r="E13" s="26">
        <f>SUM(C13:D13)*$E$8</f>
        <v>0</v>
      </c>
      <c r="F13" s="26">
        <f>SUM(C13:E13)*$F$8</f>
        <v>0</v>
      </c>
      <c r="G13" s="27"/>
      <c r="H13" s="27"/>
      <c r="I13" s="27"/>
      <c r="J13" s="27"/>
      <c r="K13" s="27"/>
      <c r="L13" s="27"/>
      <c r="M13" s="27"/>
      <c r="N13" s="27"/>
      <c r="O13" s="27"/>
      <c r="P13" s="27"/>
      <c r="Q13" s="26">
        <f>SUM(C13:F13)*$Q$8</f>
        <v>0</v>
      </c>
      <c r="R13" s="28">
        <f>ROUND(SUM(C13:Q13)*1.0441,2)</f>
        <v>0</v>
      </c>
      <c r="S13" s="28">
        <f>ROUND(R13*1.0441,2)</f>
        <v>0</v>
      </c>
      <c r="T13" s="28">
        <f>ROUND(S13*1.0441,2)</f>
        <v>0</v>
      </c>
      <c r="U13" s="28">
        <f>ROUND(T13*1.0441,2)</f>
        <v>0</v>
      </c>
      <c r="V13" s="28">
        <f>ROUND(U13*1.0441,2)</f>
        <v>0</v>
      </c>
      <c r="W13" s="28">
        <f>ROUND(V13*1.0441,2)</f>
        <v>0</v>
      </c>
      <c r="X13" s="28">
        <f>ROUND(W13*1.0441,2)</f>
        <v>0</v>
      </c>
      <c r="Y13" s="28">
        <f>ROUND(X13*1.0441,2)</f>
        <v>0</v>
      </c>
      <c r="Z13" s="28">
        <f>ROUND(Y13*1.0441,2)</f>
        <v>0</v>
      </c>
      <c r="AA13" s="28">
        <f>ROUND(Z13*1.0441,2)</f>
        <v>0</v>
      </c>
      <c r="AB13" s="28">
        <f>ROUND(AA13*1.0441,2)</f>
        <v>0</v>
      </c>
      <c r="AC13" s="28">
        <f>ROUND(AB13*1.0441,2)</f>
        <v>0</v>
      </c>
      <c r="AD13" s="28">
        <f>ROUND(AC13*1.0441,2)</f>
        <v>0</v>
      </c>
      <c r="AE13" s="28">
        <f>ROUND(AD13*1.0441,2)</f>
        <v>0</v>
      </c>
      <c r="AF13" s="29">
        <f>ROUND(AE13*1.0441,2)</f>
        <v>0</v>
      </c>
    </row>
    <row ht="16.5" customHeight="1" r="14" spans="1:32" x14ac:dyDescent="0.3">
      <c r="A14" s="30">
        <v>406456</v>
      </c>
      <c r="B14" s="24" t="s">
        <v>66</v>
      </c>
      <c r="C14" s="25"/>
      <c r="D14" s="26">
        <f>SUM(C14)*$D$8</f>
        <v>0</v>
      </c>
      <c r="E14" s="26">
        <f>SUM(C14:D14)*$E$8</f>
        <v>0</v>
      </c>
      <c r="F14" s="26">
        <f>SUM(C14:E14)*$F$8</f>
        <v>0</v>
      </c>
      <c r="G14" s="27"/>
      <c r="H14" s="27"/>
      <c r="I14" s="27"/>
      <c r="J14" s="27"/>
      <c r="K14" s="27"/>
      <c r="L14" s="27"/>
      <c r="M14" s="27"/>
      <c r="N14" s="27"/>
      <c r="O14" s="27"/>
      <c r="P14" s="27"/>
      <c r="Q14" s="26">
        <f>SUM(C14:F14)*$Q$8</f>
        <v>0</v>
      </c>
      <c r="R14" s="28">
        <f>ROUND(SUM(C14:Q14)*1.0441,2)</f>
        <v>0</v>
      </c>
      <c r="S14" s="28">
        <f>ROUND(R14*1.0441,2)</f>
        <v>0</v>
      </c>
      <c r="T14" s="28">
        <f>ROUND(S14*1.0441,2)</f>
        <v>0</v>
      </c>
      <c r="U14" s="28">
        <f>ROUND(T14*1.0441,2)</f>
        <v>0</v>
      </c>
      <c r="V14" s="28">
        <f>ROUND(U14*1.0441,2)</f>
        <v>0</v>
      </c>
      <c r="W14" s="28">
        <f>ROUND(V14*1.0441,2)</f>
        <v>0</v>
      </c>
      <c r="X14" s="28">
        <f>ROUND(W14*1.0441,2)</f>
        <v>0</v>
      </c>
      <c r="Y14" s="28">
        <f>ROUND(X14*1.0441,2)</f>
        <v>0</v>
      </c>
      <c r="Z14" s="28">
        <f>ROUND(Y14*1.0441,2)</f>
        <v>0</v>
      </c>
      <c r="AA14" s="28">
        <f>ROUND(Z14*1.0441,2)</f>
        <v>0</v>
      </c>
      <c r="AB14" s="28">
        <f>ROUND(AA14*1.0441,2)</f>
        <v>0</v>
      </c>
      <c r="AC14" s="28">
        <f>ROUND(AB14*1.0441,2)</f>
        <v>0</v>
      </c>
      <c r="AD14" s="28">
        <f>ROUND(AC14*1.0441,2)</f>
        <v>0</v>
      </c>
      <c r="AE14" s="28">
        <f>ROUND(AD14*1.0441,2)</f>
        <v>0</v>
      </c>
      <c r="AF14" s="29">
        <f>ROUND(AE14*1.0441,2)</f>
        <v>0</v>
      </c>
    </row>
    <row ht="16.5" customHeight="1" r="15" spans="1:32" x14ac:dyDescent="0.3">
      <c r="A15" s="30" t="s">
        <v>67</v>
      </c>
      <c r="B15" s="24" t="s">
        <v>68</v>
      </c>
      <c r="C15" s="25"/>
      <c r="D15" s="26">
        <f>SUM(C15)*$D$8</f>
        <v>0</v>
      </c>
      <c r="E15" s="26">
        <f>SUM(C15:D15)*$E$8</f>
        <v>0</v>
      </c>
      <c r="F15" s="26">
        <f>SUM(C15:E15)*$F$8</f>
        <v>0</v>
      </c>
      <c r="G15" s="27"/>
      <c r="H15" s="27"/>
      <c r="I15" s="27"/>
      <c r="J15" s="27"/>
      <c r="K15" s="27"/>
      <c r="L15" s="27"/>
      <c r="M15" s="27"/>
      <c r="N15" s="27"/>
      <c r="O15" s="27"/>
      <c r="P15" s="27"/>
      <c r="Q15" s="26">
        <f>SUM(C15:F15)*$Q$8</f>
        <v>0</v>
      </c>
      <c r="R15" s="28">
        <f>ROUND(SUM(C15:Q15)*1.0441,2)</f>
        <v>0</v>
      </c>
      <c r="S15" s="28">
        <f>ROUND(R15*1.0441,2)</f>
        <v>0</v>
      </c>
      <c r="T15" s="28">
        <f>ROUND(S15*1.0441,2)</f>
        <v>0</v>
      </c>
      <c r="U15" s="28">
        <f>ROUND(T15*1.0441,2)</f>
        <v>0</v>
      </c>
      <c r="V15" s="28">
        <f>ROUND(U15*1.0441,2)</f>
        <v>0</v>
      </c>
      <c r="W15" s="28">
        <f>ROUND(V15*1.0441,2)</f>
        <v>0</v>
      </c>
      <c r="X15" s="28">
        <f>ROUND(W15*1.0441,2)</f>
        <v>0</v>
      </c>
      <c r="Y15" s="28">
        <f>ROUND(X15*1.0441,2)</f>
        <v>0</v>
      </c>
      <c r="Z15" s="28">
        <f>ROUND(Y15*1.0441,2)</f>
        <v>0</v>
      </c>
      <c r="AA15" s="28">
        <f>ROUND(Z15*1.0441,2)</f>
        <v>0</v>
      </c>
      <c r="AB15" s="28">
        <f>ROUND(AA15*1.0441,2)</f>
        <v>0</v>
      </c>
      <c r="AC15" s="28">
        <f>ROUND(AB15*1.0441,2)</f>
        <v>0</v>
      </c>
      <c r="AD15" s="28">
        <f>ROUND(AC15*1.0441,2)</f>
        <v>0</v>
      </c>
      <c r="AE15" s="28">
        <f>ROUND(AD15*1.0441,2)</f>
        <v>0</v>
      </c>
      <c r="AF15" s="29">
        <f>ROUND(AE15*1.0441,2)</f>
        <v>0</v>
      </c>
    </row>
    <row ht="16.5" customHeight="1" r="16" spans="1:32" x14ac:dyDescent="0.3">
      <c r="A16" s="23" t="s">
        <v>69</v>
      </c>
      <c r="B16" s="24" t="s">
        <v>70</v>
      </c>
      <c r="C16" s="25"/>
      <c r="D16" s="26">
        <f>SUM(C16)*$D$8</f>
        <v>0</v>
      </c>
      <c r="E16" s="26">
        <f>SUM(C16:D16)*$E$8</f>
        <v>0</v>
      </c>
      <c r="F16" s="26">
        <f>SUM(C16:E16)*$F$8</f>
        <v>0</v>
      </c>
      <c r="G16" s="27"/>
      <c r="H16" s="27"/>
      <c r="I16" s="27"/>
      <c r="J16" s="27"/>
      <c r="K16" s="27"/>
      <c r="L16" s="27"/>
      <c r="M16" s="27"/>
      <c r="N16" s="27"/>
      <c r="O16" s="27"/>
      <c r="P16" s="27"/>
      <c r="Q16" s="26">
        <f>SUM(C16:F16)*$Q$8</f>
        <v>0</v>
      </c>
      <c r="R16" s="28">
        <f>ROUND(SUM(C16:Q16)*1.0441,2)</f>
        <v>0</v>
      </c>
      <c r="S16" s="28">
        <f>ROUND(R16*1.0441,2)</f>
        <v>0</v>
      </c>
      <c r="T16" s="28">
        <f>ROUND(S16*1.0441,2)</f>
        <v>0</v>
      </c>
      <c r="U16" s="28">
        <f>ROUND(T16*1.0441,2)</f>
        <v>0</v>
      </c>
      <c r="V16" s="28">
        <f>ROUND(U16*1.0441,2)</f>
        <v>0</v>
      </c>
      <c r="W16" s="28">
        <f>ROUND(V16*1.0441,2)</f>
        <v>0</v>
      </c>
      <c r="X16" s="28">
        <f>ROUND(W16*1.0441,2)</f>
        <v>0</v>
      </c>
      <c r="Y16" s="28">
        <f>ROUND(X16*1.0441,2)</f>
        <v>0</v>
      </c>
      <c r="Z16" s="28">
        <f>ROUND(Y16*1.0441,2)</f>
        <v>0</v>
      </c>
      <c r="AA16" s="28">
        <f>ROUND(Z16*1.0441,2)</f>
        <v>0</v>
      </c>
      <c r="AB16" s="28">
        <f>ROUND(AA16*1.0441,2)</f>
        <v>0</v>
      </c>
      <c r="AC16" s="28">
        <f>ROUND(AB16*1.0441,2)</f>
        <v>0</v>
      </c>
      <c r="AD16" s="28">
        <f>ROUND(AC16*1.0441,2)</f>
        <v>0</v>
      </c>
      <c r="AE16" s="28">
        <f>ROUND(AD16*1.0441,2)</f>
        <v>0</v>
      </c>
      <c r="AF16" s="29">
        <f>ROUND(AE16*1.0441,2)</f>
        <v>0</v>
      </c>
    </row>
    <row ht="16.5" customHeight="1" r="17" spans="1:32" x14ac:dyDescent="0.3">
      <c r="A17" s="23" t="s">
        <v>71</v>
      </c>
      <c r="B17" s="24" t="s">
        <v>72</v>
      </c>
      <c r="C17" s="25"/>
      <c r="D17" s="26">
        <f>SUM(C17)*$D$8</f>
        <v>0</v>
      </c>
      <c r="E17" s="26">
        <f>SUM(C17:D17)*$E$8</f>
        <v>0</v>
      </c>
      <c r="F17" s="26">
        <f>SUM(C17:E17)*$F$8</f>
        <v>0</v>
      </c>
      <c r="G17" s="27"/>
      <c r="H17" s="27"/>
      <c r="I17" s="27"/>
      <c r="J17" s="27"/>
      <c r="K17" s="27"/>
      <c r="L17" s="27"/>
      <c r="M17" s="27"/>
      <c r="N17" s="27"/>
      <c r="O17" s="27"/>
      <c r="P17" s="27"/>
      <c r="Q17" s="26">
        <f>SUM(C17:F17)*$Q$8</f>
        <v>0</v>
      </c>
      <c r="R17" s="28">
        <f>ROUND(SUM(C17:Q17)*1.0441,2)</f>
        <v>0</v>
      </c>
      <c r="S17" s="28">
        <f>ROUND(R17*1.0441,2)</f>
        <v>0</v>
      </c>
      <c r="T17" s="28">
        <f>ROUND(S17*1.0441,2)</f>
        <v>0</v>
      </c>
      <c r="U17" s="28">
        <f>ROUND(T17*1.0441,2)</f>
        <v>0</v>
      </c>
      <c r="V17" s="28">
        <f>ROUND(U17*1.0441,2)</f>
        <v>0</v>
      </c>
      <c r="W17" s="28">
        <f>ROUND(V17*1.0441,2)</f>
        <v>0</v>
      </c>
      <c r="X17" s="28">
        <f>ROUND(W17*1.0441,2)</f>
        <v>0</v>
      </c>
      <c r="Y17" s="28">
        <f>ROUND(X17*1.0441,2)</f>
        <v>0</v>
      </c>
      <c r="Z17" s="28">
        <f>ROUND(Y17*1.0441,2)</f>
        <v>0</v>
      </c>
      <c r="AA17" s="28">
        <f>ROUND(Z17*1.0441,2)</f>
        <v>0</v>
      </c>
      <c r="AB17" s="28">
        <f>ROUND(AA17*1.0441,2)</f>
        <v>0</v>
      </c>
      <c r="AC17" s="28">
        <f>ROUND(AB17*1.0441,2)</f>
        <v>0</v>
      </c>
      <c r="AD17" s="28">
        <f>ROUND(AC17*1.0441,2)</f>
        <v>0</v>
      </c>
      <c r="AE17" s="28">
        <f>ROUND(AD17*1.0441,2)</f>
        <v>0</v>
      </c>
      <c r="AF17" s="29">
        <f>ROUND(AE17*1.0441,2)</f>
        <v>0</v>
      </c>
    </row>
    <row ht="16.5" customHeight="1" r="18" spans="1:32" x14ac:dyDescent="0.3">
      <c r="A18" s="23" t="s">
        <v>73</v>
      </c>
      <c r="B18" s="24" t="s">
        <v>74</v>
      </c>
      <c r="C18" s="25"/>
      <c r="D18" s="26">
        <f>SUM(C18)*$D$8</f>
        <v>0</v>
      </c>
      <c r="E18" s="26">
        <f>SUM(C18:D18)*$E$8</f>
        <v>0</v>
      </c>
      <c r="F18" s="26">
        <f>SUM(C18:E18)*$F$8</f>
        <v>0</v>
      </c>
      <c r="G18" s="27"/>
      <c r="H18" s="27"/>
      <c r="I18" s="27"/>
      <c r="J18" s="27"/>
      <c r="K18" s="27"/>
      <c r="L18" s="27"/>
      <c r="M18" s="27"/>
      <c r="N18" s="27"/>
      <c r="O18" s="27"/>
      <c r="P18" s="27"/>
      <c r="Q18" s="26">
        <f>SUM(C18:F18)*$Q$8</f>
        <v>0</v>
      </c>
      <c r="R18" s="28">
        <f>ROUND(SUM(C18:Q18)*1.0441,2)</f>
        <v>0</v>
      </c>
      <c r="S18" s="28">
        <f>ROUND(R18*1.0441,2)</f>
        <v>0</v>
      </c>
      <c r="T18" s="28">
        <f>ROUND(S18*1.0441,2)</f>
        <v>0</v>
      </c>
      <c r="U18" s="28">
        <f>ROUND(T18*1.0441,2)</f>
        <v>0</v>
      </c>
      <c r="V18" s="28">
        <f>ROUND(U18*1.0441,2)</f>
        <v>0</v>
      </c>
      <c r="W18" s="28">
        <f>ROUND(V18*1.0441,2)</f>
        <v>0</v>
      </c>
      <c r="X18" s="28">
        <f>ROUND(W18*1.0441,2)</f>
        <v>0</v>
      </c>
      <c r="Y18" s="28">
        <f>ROUND(X18*1.0441,2)</f>
        <v>0</v>
      </c>
      <c r="Z18" s="28">
        <f>ROUND(Y18*1.0441,2)</f>
        <v>0</v>
      </c>
      <c r="AA18" s="28">
        <f>ROUND(Z18*1.0441,2)</f>
        <v>0</v>
      </c>
      <c r="AB18" s="28">
        <f>ROUND(AA18*1.0441,2)</f>
        <v>0</v>
      </c>
      <c r="AC18" s="28">
        <f>ROUND(AB18*1.0441,2)</f>
        <v>0</v>
      </c>
      <c r="AD18" s="28">
        <f>ROUND(AC18*1.0441,2)</f>
        <v>0</v>
      </c>
      <c r="AE18" s="28">
        <f>ROUND(AD18*1.0441,2)</f>
        <v>0</v>
      </c>
      <c r="AF18" s="29">
        <f>ROUND(AE18*1.0441,2)</f>
        <v>0</v>
      </c>
    </row>
    <row ht="16.5" customHeight="1" r="19" spans="1:32" x14ac:dyDescent="0.3">
      <c r="A19" s="23" t="s">
        <v>75</v>
      </c>
      <c r="B19" s="24" t="s">
        <v>76</v>
      </c>
      <c r="C19" s="25"/>
      <c r="D19" s="26">
        <f>SUM(C19)*$D$8</f>
        <v>0</v>
      </c>
      <c r="E19" s="26">
        <f>SUM(C19:D19)*$E$8</f>
        <v>0</v>
      </c>
      <c r="F19" s="26">
        <f>SUM(C19:E19)*$F$8</f>
        <v>0</v>
      </c>
      <c r="G19" s="27"/>
      <c r="H19" s="27"/>
      <c r="I19" s="27"/>
      <c r="J19" s="27"/>
      <c r="K19" s="27"/>
      <c r="L19" s="27"/>
      <c r="M19" s="27"/>
      <c r="N19" s="27"/>
      <c r="O19" s="27"/>
      <c r="P19" s="27"/>
      <c r="Q19" s="26">
        <f>SUM(C19:F19)*$Q$8</f>
        <v>0</v>
      </c>
      <c r="R19" s="28">
        <f>ROUND(SUM(C19:Q19)*1.0441,2)</f>
        <v>0</v>
      </c>
      <c r="S19" s="28">
        <f>ROUND(R19*1.0441,2)</f>
        <v>0</v>
      </c>
      <c r="T19" s="28">
        <f>ROUND(S19*1.0441,2)</f>
        <v>0</v>
      </c>
      <c r="U19" s="28">
        <f>ROUND(T19*1.0441,2)</f>
        <v>0</v>
      </c>
      <c r="V19" s="28">
        <f>ROUND(U19*1.0441,2)</f>
        <v>0</v>
      </c>
      <c r="W19" s="28">
        <f>ROUND(V19*1.0441,2)</f>
        <v>0</v>
      </c>
      <c r="X19" s="28">
        <f>ROUND(W19*1.0441,2)</f>
        <v>0</v>
      </c>
      <c r="Y19" s="28">
        <f>ROUND(X19*1.0441,2)</f>
        <v>0</v>
      </c>
      <c r="Z19" s="28">
        <f>ROUND(Y19*1.0441,2)</f>
        <v>0</v>
      </c>
      <c r="AA19" s="28">
        <f>ROUND(Z19*1.0441,2)</f>
        <v>0</v>
      </c>
      <c r="AB19" s="28">
        <f>ROUND(AA19*1.0441,2)</f>
        <v>0</v>
      </c>
      <c r="AC19" s="28">
        <f>ROUND(AB19*1.0441,2)</f>
        <v>0</v>
      </c>
      <c r="AD19" s="28">
        <f>ROUND(AC19*1.0441,2)</f>
        <v>0</v>
      </c>
      <c r="AE19" s="28">
        <f>ROUND(AD19*1.0441,2)</f>
        <v>0</v>
      </c>
      <c r="AF19" s="29">
        <f>ROUND(AE19*1.0441,2)</f>
        <v>0</v>
      </c>
    </row>
    <row ht="16.5" customHeight="1" r="20" spans="1:32" x14ac:dyDescent="0.3">
      <c r="A20" s="23" t="s">
        <v>77</v>
      </c>
      <c r="B20" s="24" t="s">
        <v>78</v>
      </c>
      <c r="C20" s="25"/>
      <c r="D20" s="26">
        <f>SUM(C20)*$D$8</f>
        <v>0</v>
      </c>
      <c r="E20" s="26">
        <f>SUM(C20:D20)*$E$8</f>
        <v>0</v>
      </c>
      <c r="F20" s="26">
        <f>SUM(C20:E20)*$F$8</f>
        <v>0</v>
      </c>
      <c r="G20" s="27"/>
      <c r="H20" s="27"/>
      <c r="I20" s="27"/>
      <c r="J20" s="27"/>
      <c r="K20" s="27"/>
      <c r="L20" s="27"/>
      <c r="M20" s="27"/>
      <c r="N20" s="27"/>
      <c r="O20" s="27"/>
      <c r="P20" s="27"/>
      <c r="Q20" s="26">
        <f>SUM(C20:F20)*$Q$8</f>
        <v>0</v>
      </c>
      <c r="R20" s="28">
        <f>ROUND(SUM(C20:Q20)*1.0441,2)</f>
        <v>0</v>
      </c>
      <c r="S20" s="28">
        <f>ROUND(R20*1.0441,2)</f>
        <v>0</v>
      </c>
      <c r="T20" s="28">
        <f>ROUND(S20*1.0441,2)</f>
        <v>0</v>
      </c>
      <c r="U20" s="28">
        <f>ROUND(T20*1.0441,2)</f>
        <v>0</v>
      </c>
      <c r="V20" s="28">
        <f>ROUND(U20*1.0441,2)</f>
        <v>0</v>
      </c>
      <c r="W20" s="28">
        <f>ROUND(V20*1.0441,2)</f>
        <v>0</v>
      </c>
      <c r="X20" s="28">
        <f>ROUND(W20*1.0441,2)</f>
        <v>0</v>
      </c>
      <c r="Y20" s="28">
        <f>ROUND(X20*1.0441,2)</f>
        <v>0</v>
      </c>
      <c r="Z20" s="28">
        <f>ROUND(Y20*1.0441,2)</f>
        <v>0</v>
      </c>
      <c r="AA20" s="28">
        <f>ROUND(Z20*1.0441,2)</f>
        <v>0</v>
      </c>
      <c r="AB20" s="28">
        <f>ROUND(AA20*1.0441,2)</f>
        <v>0</v>
      </c>
      <c r="AC20" s="28">
        <f>ROUND(AB20*1.0441,2)</f>
        <v>0</v>
      </c>
      <c r="AD20" s="28">
        <f>ROUND(AC20*1.0441,2)</f>
        <v>0</v>
      </c>
      <c r="AE20" s="28">
        <f>ROUND(AD20*1.0441,2)</f>
        <v>0</v>
      </c>
      <c r="AF20" s="29">
        <f>ROUND(AE20*1.0441,2)</f>
        <v>0</v>
      </c>
    </row>
    <row ht="16.5" customHeight="1" r="21" spans="1:32" x14ac:dyDescent="0.3">
      <c r="A21" s="23" t="s">
        <v>79</v>
      </c>
      <c r="B21" s="24" t="s">
        <v>80</v>
      </c>
      <c r="C21" s="25"/>
      <c r="D21" s="26">
        <f>SUM(C21)*$D$8</f>
        <v>0</v>
      </c>
      <c r="E21" s="26">
        <f>SUM(C21:D21)*$E$8</f>
        <v>0</v>
      </c>
      <c r="F21" s="26">
        <f>SUM(C21:E21)*$F$8</f>
        <v>0</v>
      </c>
      <c r="G21" s="27"/>
      <c r="H21" s="27"/>
      <c r="I21" s="27"/>
      <c r="J21" s="27"/>
      <c r="K21" s="27"/>
      <c r="L21" s="27"/>
      <c r="M21" s="27"/>
      <c r="N21" s="27"/>
      <c r="O21" s="27"/>
      <c r="P21" s="27"/>
      <c r="Q21" s="26">
        <f>SUM(C21:F21)*$Q$8</f>
        <v>0</v>
      </c>
      <c r="R21" s="28">
        <f>ROUND(SUM(C21:Q21)*1.0441,2)</f>
        <v>0</v>
      </c>
      <c r="S21" s="28">
        <f>ROUND(R21*1.0441,2)</f>
        <v>0</v>
      </c>
      <c r="T21" s="28">
        <f>ROUND(S21*1.0441,2)</f>
        <v>0</v>
      </c>
      <c r="U21" s="28">
        <f>ROUND(T21*1.0441,2)</f>
        <v>0</v>
      </c>
      <c r="V21" s="28">
        <f>ROUND(U21*1.0441,2)</f>
        <v>0</v>
      </c>
      <c r="W21" s="28">
        <f>ROUND(V21*1.0441,2)</f>
        <v>0</v>
      </c>
      <c r="X21" s="28">
        <f>ROUND(W21*1.0441,2)</f>
        <v>0</v>
      </c>
      <c r="Y21" s="28">
        <f>ROUND(X21*1.0441,2)</f>
        <v>0</v>
      </c>
      <c r="Z21" s="28">
        <f>ROUND(Y21*1.0441,2)</f>
        <v>0</v>
      </c>
      <c r="AA21" s="28">
        <f>ROUND(Z21*1.0441,2)</f>
        <v>0</v>
      </c>
      <c r="AB21" s="28">
        <f>ROUND(AA21*1.0441,2)</f>
        <v>0</v>
      </c>
      <c r="AC21" s="28">
        <f>ROUND(AB21*1.0441,2)</f>
        <v>0</v>
      </c>
      <c r="AD21" s="28">
        <f>ROUND(AC21*1.0441,2)</f>
        <v>0</v>
      </c>
      <c r="AE21" s="28">
        <f>ROUND(AD21*1.0441,2)</f>
        <v>0</v>
      </c>
      <c r="AF21" s="29">
        <f>ROUND(AE21*1.0441,2)</f>
        <v>0</v>
      </c>
    </row>
    <row ht="16.5" customHeight="1" r="22" spans="1:32" x14ac:dyDescent="0.3">
      <c r="A22" s="30">
        <v>449919</v>
      </c>
      <c r="B22" s="24" t="s">
        <v>81</v>
      </c>
      <c r="C22" s="25"/>
      <c r="D22" s="26">
        <f>SUM(C22)*$D$8</f>
        <v>0</v>
      </c>
      <c r="E22" s="26">
        <f>SUM(C22:D22)*$E$8</f>
        <v>0</v>
      </c>
      <c r="F22" s="26">
        <f>SUM(C22:E22)*$F$8</f>
        <v>0</v>
      </c>
      <c r="G22" s="27"/>
      <c r="H22" s="27"/>
      <c r="I22" s="27"/>
      <c r="J22" s="27"/>
      <c r="K22" s="27"/>
      <c r="L22" s="27"/>
      <c r="M22" s="27"/>
      <c r="N22" s="27"/>
      <c r="O22" s="27"/>
      <c r="P22" s="27"/>
      <c r="Q22" s="26">
        <f>SUM(C22:F22)*$Q$8</f>
        <v>0</v>
      </c>
      <c r="R22" s="28">
        <f>ROUND(SUM(C22:Q22)*1.0441,2)</f>
        <v>0</v>
      </c>
      <c r="S22" s="28">
        <f>ROUND(R22*1.0441,2)</f>
        <v>0</v>
      </c>
      <c r="T22" s="28">
        <f>ROUND(S22*1.0441,2)</f>
        <v>0</v>
      </c>
      <c r="U22" s="28">
        <f>ROUND(T22*1.0441,2)</f>
        <v>0</v>
      </c>
      <c r="V22" s="28">
        <f>ROUND(U22*1.0441,2)</f>
        <v>0</v>
      </c>
      <c r="W22" s="28">
        <f>ROUND(V22*1.0441,2)</f>
        <v>0</v>
      </c>
      <c r="X22" s="28">
        <f>ROUND(W22*1.0441,2)</f>
        <v>0</v>
      </c>
      <c r="Y22" s="28">
        <f>ROUND(X22*1.0441,2)</f>
        <v>0</v>
      </c>
      <c r="Z22" s="28">
        <f>ROUND(Y22*1.0441,2)</f>
        <v>0</v>
      </c>
      <c r="AA22" s="28">
        <f>ROUND(Z22*1.0441,2)</f>
        <v>0</v>
      </c>
      <c r="AB22" s="28">
        <f>ROUND(AA22*1.0441,2)</f>
        <v>0</v>
      </c>
      <c r="AC22" s="28">
        <f>ROUND(AB22*1.0441,2)</f>
        <v>0</v>
      </c>
      <c r="AD22" s="28">
        <f>ROUND(AC22*1.0441,2)</f>
        <v>0</v>
      </c>
      <c r="AE22" s="28">
        <f>ROUND(AD22*1.0441,2)</f>
        <v>0</v>
      </c>
      <c r="AF22" s="29">
        <f>ROUND(AE22*1.0441,2)</f>
        <v>0</v>
      </c>
    </row>
    <row ht="16.5" customHeight="1" r="23" spans="1:32" x14ac:dyDescent="0.3">
      <c r="A23" s="23" t="s">
        <v>82</v>
      </c>
      <c r="B23" s="24" t="s">
        <v>83</v>
      </c>
      <c r="C23" s="25"/>
      <c r="D23" s="26">
        <f>SUM(C23)*$D$8</f>
        <v>0</v>
      </c>
      <c r="E23" s="26">
        <f>SUM(C23:D23)*$E$8</f>
        <v>0</v>
      </c>
      <c r="F23" s="26">
        <f>SUM(C23:E23)*$F$8</f>
        <v>0</v>
      </c>
      <c r="G23" s="27"/>
      <c r="H23" s="27"/>
      <c r="I23" s="27"/>
      <c r="J23" s="27"/>
      <c r="K23" s="27"/>
      <c r="L23" s="27"/>
      <c r="M23" s="27"/>
      <c r="N23" s="27"/>
      <c r="O23" s="27"/>
      <c r="P23" s="27"/>
      <c r="Q23" s="26">
        <f>SUM(C23:F23)*$Q$8</f>
        <v>0</v>
      </c>
      <c r="R23" s="28">
        <f>ROUND(SUM(C23:Q23)*1.0441,2)</f>
        <v>0</v>
      </c>
      <c r="S23" s="28">
        <f>ROUND(R23*1.0441,2)</f>
        <v>0</v>
      </c>
      <c r="T23" s="28">
        <f>ROUND(S23*1.0441,2)</f>
        <v>0</v>
      </c>
      <c r="U23" s="28">
        <f>ROUND(T23*1.0441,2)</f>
        <v>0</v>
      </c>
      <c r="V23" s="28">
        <f>ROUND(U23*1.0441,2)</f>
        <v>0</v>
      </c>
      <c r="W23" s="28">
        <f>ROUND(V23*1.0441,2)</f>
        <v>0</v>
      </c>
      <c r="X23" s="28">
        <f>ROUND(W23*1.0441,2)</f>
        <v>0</v>
      </c>
      <c r="Y23" s="28">
        <f>ROUND(X23*1.0441,2)</f>
        <v>0</v>
      </c>
      <c r="Z23" s="28">
        <f>ROUND(Y23*1.0441,2)</f>
        <v>0</v>
      </c>
      <c r="AA23" s="28">
        <f>ROUND(Z23*1.0441,2)</f>
        <v>0</v>
      </c>
      <c r="AB23" s="28">
        <f>ROUND(AA23*1.0441,2)</f>
        <v>0</v>
      </c>
      <c r="AC23" s="28">
        <f>ROUND(AB23*1.0441,2)</f>
        <v>0</v>
      </c>
      <c r="AD23" s="28">
        <f>ROUND(AC23*1.0441,2)</f>
        <v>0</v>
      </c>
      <c r="AE23" s="28">
        <f>ROUND(AD23*1.0441,2)</f>
        <v>0</v>
      </c>
      <c r="AF23" s="29">
        <f>ROUND(AE23*1.0441,2)</f>
        <v>0</v>
      </c>
    </row>
    <row ht="16.5" customHeight="1" r="24" spans="1:32" x14ac:dyDescent="0.3">
      <c r="A24" s="23" t="s">
        <v>84</v>
      </c>
      <c r="B24" s="24" t="s">
        <v>85</v>
      </c>
      <c r="C24" s="25"/>
      <c r="D24" s="26">
        <f>SUM(C24)*$D$8</f>
        <v>0</v>
      </c>
      <c r="E24" s="26">
        <f>SUM(C24:D24)*$E$8</f>
        <v>0</v>
      </c>
      <c r="F24" s="26">
        <f>SUM(C24:E24)*$F$8</f>
        <v>0</v>
      </c>
      <c r="G24" s="27"/>
      <c r="H24" s="27"/>
      <c r="I24" s="27"/>
      <c r="J24" s="27"/>
      <c r="K24" s="27"/>
      <c r="L24" s="27"/>
      <c r="M24" s="27"/>
      <c r="N24" s="27"/>
      <c r="O24" s="27"/>
      <c r="P24" s="27"/>
      <c r="Q24" s="26">
        <f>SUM(C24:F24)*$Q$8</f>
        <v>0</v>
      </c>
      <c r="R24" s="28">
        <f>ROUND(SUM(C24:Q24)*1.0441,2)</f>
        <v>0</v>
      </c>
      <c r="S24" s="28">
        <f>ROUND(R24*1.0441,2)</f>
        <v>0</v>
      </c>
      <c r="T24" s="28">
        <f>ROUND(S24*1.0441,2)</f>
        <v>0</v>
      </c>
      <c r="U24" s="28">
        <f>ROUND(T24*1.0441,2)</f>
        <v>0</v>
      </c>
      <c r="V24" s="28">
        <f>ROUND(U24*1.0441,2)</f>
        <v>0</v>
      </c>
      <c r="W24" s="28">
        <f>ROUND(V24*1.0441,2)</f>
        <v>0</v>
      </c>
      <c r="X24" s="28">
        <f>ROUND(W24*1.0441,2)</f>
        <v>0</v>
      </c>
      <c r="Y24" s="28">
        <f>ROUND(X24*1.0441,2)</f>
        <v>0</v>
      </c>
      <c r="Z24" s="28">
        <f>ROUND(Y24*1.0441,2)</f>
        <v>0</v>
      </c>
      <c r="AA24" s="28">
        <f>ROUND(Z24*1.0441,2)</f>
        <v>0</v>
      </c>
      <c r="AB24" s="28">
        <f>ROUND(AA24*1.0441,2)</f>
        <v>0</v>
      </c>
      <c r="AC24" s="28">
        <f>ROUND(AB24*1.0441,2)</f>
        <v>0</v>
      </c>
      <c r="AD24" s="28">
        <f>ROUND(AC24*1.0441,2)</f>
        <v>0</v>
      </c>
      <c r="AE24" s="28">
        <f>ROUND(AD24*1.0441,2)</f>
        <v>0</v>
      </c>
      <c r="AF24" s="29">
        <f>ROUND(AE24*1.0441,2)</f>
        <v>0</v>
      </c>
    </row>
    <row ht="16.5" customHeight="1" r="25" spans="1:32" x14ac:dyDescent="0.3">
      <c r="A25" s="23" t="s">
        <v>86</v>
      </c>
      <c r="B25" s="24" t="s">
        <v>87</v>
      </c>
      <c r="C25" s="25"/>
      <c r="D25" s="26">
        <f>SUM(C25)*$D$8</f>
        <v>0</v>
      </c>
      <c r="E25" s="26">
        <f>SUM(C25:D25)*$E$8</f>
        <v>0</v>
      </c>
      <c r="F25" s="26">
        <f>SUM(C25:E25)*$F$8</f>
        <v>0</v>
      </c>
      <c r="G25" s="27"/>
      <c r="H25" s="27"/>
      <c r="I25" s="27"/>
      <c r="J25" s="27"/>
      <c r="K25" s="27"/>
      <c r="L25" s="27"/>
      <c r="M25" s="27"/>
      <c r="N25" s="27"/>
      <c r="O25" s="27"/>
      <c r="P25" s="27"/>
      <c r="Q25" s="26">
        <f>SUM(C25:F25)*$Q$8</f>
        <v>0</v>
      </c>
      <c r="R25" s="28">
        <f>ROUND(SUM(C25:Q25)*1.0441,2)</f>
        <v>0</v>
      </c>
      <c r="S25" s="28">
        <f>ROUND(R25*1.0441,2)</f>
        <v>0</v>
      </c>
      <c r="T25" s="28">
        <f>ROUND(S25*1.0441,2)</f>
        <v>0</v>
      </c>
      <c r="U25" s="28">
        <f>ROUND(T25*1.0441,2)</f>
        <v>0</v>
      </c>
      <c r="V25" s="28">
        <f>ROUND(U25*1.0441,2)</f>
        <v>0</v>
      </c>
      <c r="W25" s="28">
        <f>ROUND(V25*1.0441,2)</f>
        <v>0</v>
      </c>
      <c r="X25" s="28">
        <f>ROUND(W25*1.0441,2)</f>
        <v>0</v>
      </c>
      <c r="Y25" s="28">
        <f>ROUND(X25*1.0441,2)</f>
        <v>0</v>
      </c>
      <c r="Z25" s="28">
        <f>ROUND(Y25*1.0441,2)</f>
        <v>0</v>
      </c>
      <c r="AA25" s="28">
        <f>ROUND(Z25*1.0441,2)</f>
        <v>0</v>
      </c>
      <c r="AB25" s="28">
        <f>ROUND(AA25*1.0441,2)</f>
        <v>0</v>
      </c>
      <c r="AC25" s="28">
        <f>ROUND(AB25*1.0441,2)</f>
        <v>0</v>
      </c>
      <c r="AD25" s="28">
        <f>ROUND(AC25*1.0441,2)</f>
        <v>0</v>
      </c>
      <c r="AE25" s="28">
        <f>ROUND(AD25*1.0441,2)</f>
        <v>0</v>
      </c>
      <c r="AF25" s="29">
        <f>ROUND(AE25*1.0441,2)</f>
        <v>0</v>
      </c>
    </row>
    <row ht="16.5" customHeight="1" r="26" spans="1:32" x14ac:dyDescent="0.3">
      <c r="A26" s="23" t="s">
        <v>88</v>
      </c>
      <c r="B26" s="24" t="s">
        <v>89</v>
      </c>
      <c r="C26" s="25"/>
      <c r="D26" s="26">
        <f>SUM(C26)*$D$8</f>
        <v>0</v>
      </c>
      <c r="E26" s="26">
        <f>SUM(C26:D26)*$E$8</f>
        <v>0</v>
      </c>
      <c r="F26" s="26">
        <f>SUM(C26:E26)*$F$8</f>
        <v>0</v>
      </c>
      <c r="G26" s="27"/>
      <c r="H26" s="27"/>
      <c r="I26" s="27"/>
      <c r="J26" s="27"/>
      <c r="K26" s="27"/>
      <c r="L26" s="27"/>
      <c r="M26" s="27"/>
      <c r="N26" s="27"/>
      <c r="O26" s="27"/>
      <c r="P26" s="27"/>
      <c r="Q26" s="26">
        <f>SUM(C26:F26)*$Q$8</f>
        <v>0</v>
      </c>
      <c r="R26" s="28">
        <f>ROUND(SUM(C26:Q26)*1.0441,2)</f>
        <v>0</v>
      </c>
      <c r="S26" s="28">
        <f>ROUND(R26*1.0441,2)</f>
        <v>0</v>
      </c>
      <c r="T26" s="28">
        <f>ROUND(S26*1.0441,2)</f>
        <v>0</v>
      </c>
      <c r="U26" s="28">
        <f>ROUND(T26*1.0441,2)</f>
        <v>0</v>
      </c>
      <c r="V26" s="28">
        <f>ROUND(U26*1.0441,2)</f>
        <v>0</v>
      </c>
      <c r="W26" s="28">
        <f>ROUND(V26*1.0441,2)</f>
        <v>0</v>
      </c>
      <c r="X26" s="28">
        <f>ROUND(W26*1.0441,2)</f>
        <v>0</v>
      </c>
      <c r="Y26" s="28">
        <f>ROUND(X26*1.0441,2)</f>
        <v>0</v>
      </c>
      <c r="Z26" s="28">
        <f>ROUND(Y26*1.0441,2)</f>
        <v>0</v>
      </c>
      <c r="AA26" s="28">
        <f>ROUND(Z26*1.0441,2)</f>
        <v>0</v>
      </c>
      <c r="AB26" s="28">
        <f>ROUND(AA26*1.0441,2)</f>
        <v>0</v>
      </c>
      <c r="AC26" s="28">
        <f>ROUND(AB26*1.0441,2)</f>
        <v>0</v>
      </c>
      <c r="AD26" s="28">
        <f>ROUND(AC26*1.0441,2)</f>
        <v>0</v>
      </c>
      <c r="AE26" s="28">
        <f>ROUND(AD26*1.0441,2)</f>
        <v>0</v>
      </c>
      <c r="AF26" s="29">
        <f>ROUND(AE26*1.0441,2)</f>
        <v>0</v>
      </c>
    </row>
    <row ht="16.5" customHeight="1" r="27" spans="1:32" x14ac:dyDescent="0.3">
      <c r="A27" s="23" t="s">
        <v>90</v>
      </c>
      <c r="B27" s="24" t="s">
        <v>91</v>
      </c>
      <c r="C27" s="25"/>
      <c r="D27" s="26">
        <f>SUM(C27)*$D$8</f>
        <v>0</v>
      </c>
      <c r="E27" s="26">
        <f>SUM(C27:D27)*$E$8</f>
        <v>0</v>
      </c>
      <c r="F27" s="26">
        <f>SUM(C27:E27)*$F$8</f>
        <v>0</v>
      </c>
      <c r="G27" s="27"/>
      <c r="H27" s="27"/>
      <c r="I27" s="27"/>
      <c r="J27" s="27"/>
      <c r="K27" s="27"/>
      <c r="L27" s="27"/>
      <c r="M27" s="27"/>
      <c r="N27" s="27"/>
      <c r="O27" s="27"/>
      <c r="P27" s="27"/>
      <c r="Q27" s="26">
        <f>SUM(C27:F27)*$Q$8</f>
        <v>0</v>
      </c>
      <c r="R27" s="28">
        <f>ROUND(SUM(C27:Q27)*1.0441,2)</f>
        <v>0</v>
      </c>
      <c r="S27" s="28">
        <f>ROUND(R27*1.0441,2)</f>
        <v>0</v>
      </c>
      <c r="T27" s="28">
        <f>ROUND(S27*1.0441,2)</f>
        <v>0</v>
      </c>
      <c r="U27" s="28">
        <f>ROUND(T27*1.0441,2)</f>
        <v>0</v>
      </c>
      <c r="V27" s="28">
        <f>ROUND(U27*1.0441,2)</f>
        <v>0</v>
      </c>
      <c r="W27" s="28">
        <f>ROUND(V27*1.0441,2)</f>
        <v>0</v>
      </c>
      <c r="X27" s="28">
        <f>ROUND(W27*1.0441,2)</f>
        <v>0</v>
      </c>
      <c r="Y27" s="28">
        <f>ROUND(X27*1.0441,2)</f>
        <v>0</v>
      </c>
      <c r="Z27" s="28">
        <f>ROUND(Y27*1.0441,2)</f>
        <v>0</v>
      </c>
      <c r="AA27" s="28">
        <f>ROUND(Z27*1.0441,2)</f>
        <v>0</v>
      </c>
      <c r="AB27" s="28">
        <f>ROUND(AA27*1.0441,2)</f>
        <v>0</v>
      </c>
      <c r="AC27" s="28">
        <f>ROUND(AB27*1.0441,2)</f>
        <v>0</v>
      </c>
      <c r="AD27" s="28">
        <f>ROUND(AC27*1.0441,2)</f>
        <v>0</v>
      </c>
      <c r="AE27" s="28">
        <f>ROUND(AD27*1.0441,2)</f>
        <v>0</v>
      </c>
      <c r="AF27" s="29">
        <f>ROUND(AE27*1.0441,2)</f>
        <v>0</v>
      </c>
    </row>
    <row ht="16.5" customHeight="1" r="28" spans="1:32" x14ac:dyDescent="0.3">
      <c r="A28" s="31" t="s">
        <v>92</v>
      </c>
      <c r="B28" s="32" t="s">
        <v>93</v>
      </c>
      <c r="C28" s="33"/>
      <c r="D28" s="34">
        <f>SUM(C28)*$D$8</f>
        <v>0</v>
      </c>
      <c r="E28" s="34">
        <f>SUM(C28:D28)*$E$8</f>
        <v>0</v>
      </c>
      <c r="F28" s="34">
        <f>SUM(C28:E28)*$F$8</f>
        <v>0</v>
      </c>
      <c r="G28" s="35"/>
      <c r="H28" s="35"/>
      <c r="I28" s="35"/>
      <c r="J28" s="35"/>
      <c r="K28" s="35"/>
      <c r="L28" s="35"/>
      <c r="M28" s="35"/>
      <c r="N28" s="35"/>
      <c r="O28" s="35"/>
      <c r="P28" s="35"/>
      <c r="Q28" s="34">
        <f>SUM(C28:F28)*$Q$8</f>
        <v>0</v>
      </c>
      <c r="R28" s="36">
        <f>ROUND(SUM(C28:Q28)*1.0441,2)</f>
        <v>0</v>
      </c>
      <c r="S28" s="36">
        <f>ROUND(R28*1.0441,2)</f>
        <v>0</v>
      </c>
      <c r="T28" s="36">
        <f>ROUND(S28*1.0441,2)</f>
        <v>0</v>
      </c>
      <c r="U28" s="36">
        <f>ROUND(T28*1.0441,2)</f>
        <v>0</v>
      </c>
      <c r="V28" s="36">
        <f>ROUND(U28*1.0441,2)</f>
        <v>0</v>
      </c>
      <c r="W28" s="36">
        <f>ROUND(V28*1.0441,2)</f>
        <v>0</v>
      </c>
      <c r="X28" s="36">
        <f>ROUND(W28*1.0441,2)</f>
        <v>0</v>
      </c>
      <c r="Y28" s="36">
        <f>ROUND(X28*1.0441,2)</f>
        <v>0</v>
      </c>
      <c r="Z28" s="36">
        <f>ROUND(Y28*1.0441,2)</f>
        <v>0</v>
      </c>
      <c r="AA28" s="36">
        <f>ROUND(Z28*1.0441,2)</f>
        <v>0</v>
      </c>
      <c r="AB28" s="36">
        <f>ROUND(AA28*1.0441,2)</f>
        <v>0</v>
      </c>
      <c r="AC28" s="36">
        <f>ROUND(AB28*1.0441,2)</f>
        <v>0</v>
      </c>
      <c r="AD28" s="36">
        <f>ROUND(AC28*1.0441,2)</f>
        <v>0</v>
      </c>
      <c r="AE28" s="36">
        <f>ROUND(AD28*1.0441,2)</f>
        <v>0</v>
      </c>
      <c r="AF28" s="37">
        <f>ROUND(AE28*1.0441,2)</f>
        <v>0</v>
      </c>
    </row>
    <row ht="15.75" customHeight="1" r="29" spans="1:32" x14ac:dyDescent="0.3"/>
    <row ht="15.75" customHeight="1" r="30" spans="1:32" x14ac:dyDescent="0.3"/>
    <row ht="15.75" customHeight="1" r="31" spans="1:32" x14ac:dyDescent="0.3"/>
    <row ht="15.75" customHeight="1" r="32" spans="1:32" x14ac:dyDescent="0.3"/>
    <row ht="15.75" customHeight="1" r="33" x14ac:dyDescent="0.3"/>
    <row ht="15.75" customHeight="1" r="34" x14ac:dyDescent="0.3"/>
    <row ht="15.75" customHeight="1" r="35" x14ac:dyDescent="0.3"/>
    <row ht="15.75" customHeight="1" r="36" x14ac:dyDescent="0.3"/>
    <row ht="15.75" customHeight="1" r="37" x14ac:dyDescent="0.3"/>
    <row ht="15.75" customHeight="1" r="38" x14ac:dyDescent="0.3"/>
    <row ht="15.75" customHeight="1" r="39" x14ac:dyDescent="0.3"/>
    <row ht="15.75" customHeight="1" r="40" x14ac:dyDescent="0.3"/>
    <row ht="15.75" customHeight="1" r="41" x14ac:dyDescent="0.3"/>
    <row ht="15.75" customHeight="1" r="42" x14ac:dyDescent="0.3"/>
    <row ht="15.75" customHeight="1" r="43" x14ac:dyDescent="0.3"/>
    <row ht="15.75" customHeight="1" r="44" x14ac:dyDescent="0.3"/>
    <row ht="15.75" customHeight="1" r="45" x14ac:dyDescent="0.3"/>
    <row ht="15.75" customHeight="1" r="46" x14ac:dyDescent="0.3"/>
    <row ht="15.75" customHeight="1" r="47" x14ac:dyDescent="0.3"/>
    <row ht="15.75" customHeight="1" r="48" x14ac:dyDescent="0.3"/>
    <row ht="15.75" customHeight="1" r="49" x14ac:dyDescent="0.3"/>
    <row ht="15.75" customHeight="1" r="50" x14ac:dyDescent="0.3"/>
    <row ht="15.75" customHeight="1" r="51" x14ac:dyDescent="0.3"/>
    <row ht="15.75" customHeight="1" r="52" x14ac:dyDescent="0.3"/>
    <row ht="15.75" customHeight="1" r="53" x14ac:dyDescent="0.3"/>
    <row ht="15.75" customHeight="1" r="54" x14ac:dyDescent="0.3"/>
    <row ht="15.75" customHeight="1" r="55" x14ac:dyDescent="0.3"/>
    <row ht="15.75" customHeight="1" r="56" x14ac:dyDescent="0.3"/>
    <row ht="15.75" customHeight="1" r="57" x14ac:dyDescent="0.3"/>
    <row ht="15.75" customHeight="1" r="58" x14ac:dyDescent="0.3"/>
    <row ht="15.75" customHeight="1" r="59" x14ac:dyDescent="0.3"/>
    <row ht="15.75" customHeight="1" r="60" x14ac:dyDescent="0.3"/>
    <row ht="15.75" customHeight="1" r="61" x14ac:dyDescent="0.3"/>
    <row ht="15.75" customHeight="1" r="62" x14ac:dyDescent="0.3"/>
    <row ht="15.75" customHeight="1" r="63" x14ac:dyDescent="0.3"/>
    <row ht="15.75" customHeight="1" r="64" x14ac:dyDescent="0.3"/>
    <row ht="15.75" customHeight="1" r="65" x14ac:dyDescent="0.3"/>
    <row ht="15.75" customHeight="1" r="66" x14ac:dyDescent="0.3"/>
    <row ht="15.75" customHeight="1" r="67" x14ac:dyDescent="0.3"/>
    <row ht="15.75" customHeight="1" r="68" x14ac:dyDescent="0.3"/>
    <row ht="15.75" customHeight="1" r="69" x14ac:dyDescent="0.3"/>
    <row ht="15.75" customHeight="1" r="70" x14ac:dyDescent="0.3"/>
    <row ht="15.75" customHeight="1" r="71" x14ac:dyDescent="0.3"/>
    <row ht="15.75" customHeight="1" r="72" x14ac:dyDescent="0.3"/>
    <row ht="15.75" customHeight="1" r="73" x14ac:dyDescent="0.3"/>
    <row ht="15.75" customHeight="1" r="74" x14ac:dyDescent="0.3"/>
    <row ht="15.75" customHeight="1" r="75" x14ac:dyDescent="0.3"/>
    <row ht="15.75" customHeight="1" r="76" x14ac:dyDescent="0.3"/>
    <row ht="15.75" customHeight="1" r="77" x14ac:dyDescent="0.3"/>
    <row ht="15.75" customHeight="1" r="78" x14ac:dyDescent="0.3"/>
    <row ht="15.75" customHeight="1" r="79" x14ac:dyDescent="0.3"/>
    <row ht="15.75" customHeight="1" r="80" x14ac:dyDescent="0.3"/>
    <row ht="15.75" customHeight="1" r="81" x14ac:dyDescent="0.3"/>
    <row ht="15.75" customHeight="1" r="82" x14ac:dyDescent="0.3"/>
    <row ht="15.75" customHeight="1" r="83" x14ac:dyDescent="0.3"/>
    <row ht="15.75" customHeight="1" r="84" x14ac:dyDescent="0.3"/>
    <row ht="15.75" customHeight="1" r="85" x14ac:dyDescent="0.3"/>
    <row ht="15.75" customHeight="1" r="86" x14ac:dyDescent="0.3"/>
    <row ht="15.75" customHeight="1" r="87" x14ac:dyDescent="0.3"/>
    <row ht="15.75" customHeight="1" r="88" x14ac:dyDescent="0.3"/>
    <row ht="15.75" customHeight="1" r="89" x14ac:dyDescent="0.3"/>
    <row ht="15.75" customHeight="1" r="90" x14ac:dyDescent="0.3"/>
    <row ht="15.75" customHeight="1" r="91" x14ac:dyDescent="0.3"/>
    <row ht="15.75" customHeight="1" r="92" x14ac:dyDescent="0.3"/>
    <row ht="15.75" customHeight="1" r="93" x14ac:dyDescent="0.3"/>
    <row ht="15.75" customHeight="1" r="94" x14ac:dyDescent="0.3"/>
    <row ht="15.75" customHeight="1" r="95" x14ac:dyDescent="0.3"/>
    <row ht="15.75" customHeight="1" r="96" x14ac:dyDescent="0.3"/>
    <row ht="15.75" customHeight="1" r="97" x14ac:dyDescent="0.3"/>
    <row ht="15.75" customHeight="1" r="98" x14ac:dyDescent="0.3"/>
    <row ht="15.75" customHeight="1" r="99" x14ac:dyDescent="0.3"/>
    <row ht="15.75" customHeight="1" r="100" x14ac:dyDescent="0.3"/>
    <row ht="15.75" customHeight="1" r="101" x14ac:dyDescent="0.3"/>
    <row ht="15.75" customHeight="1" r="102" x14ac:dyDescent="0.3"/>
    <row ht="15.75" customHeight="1" r="103" x14ac:dyDescent="0.3"/>
    <row ht="15.75" customHeight="1" r="104" x14ac:dyDescent="0.3"/>
    <row ht="15.75" customHeight="1" r="105" x14ac:dyDescent="0.3"/>
    <row ht="15.75" customHeight="1" r="106" x14ac:dyDescent="0.3"/>
    <row ht="15.75" customHeight="1" r="107" x14ac:dyDescent="0.3"/>
    <row ht="15.75" customHeight="1" r="108" x14ac:dyDescent="0.3"/>
    <row ht="15.75" customHeight="1" r="109" x14ac:dyDescent="0.3"/>
    <row ht="15.75" customHeight="1" r="110" x14ac:dyDescent="0.3"/>
    <row ht="15.75" customHeight="1" r="111" x14ac:dyDescent="0.3"/>
    <row ht="15.75" customHeight="1" r="112" x14ac:dyDescent="0.3"/>
    <row ht="15.75" customHeight="1" r="113" x14ac:dyDescent="0.3"/>
    <row ht="15.75" customHeight="1" r="114" x14ac:dyDescent="0.3"/>
    <row ht="15.75" customHeight="1" r="115" x14ac:dyDescent="0.3"/>
    <row ht="15.75" customHeight="1" r="116" x14ac:dyDescent="0.3"/>
    <row ht="15.75" customHeight="1" r="117" x14ac:dyDescent="0.3"/>
    <row ht="15.75" customHeight="1" r="118" x14ac:dyDescent="0.3"/>
    <row ht="15.75" customHeight="1" r="119" x14ac:dyDescent="0.3"/>
    <row ht="15.75" customHeight="1" r="120" x14ac:dyDescent="0.3"/>
    <row ht="15.75" customHeight="1" r="121" x14ac:dyDescent="0.3"/>
    <row ht="15.75" customHeight="1" r="122" x14ac:dyDescent="0.3"/>
    <row ht="15.75" customHeight="1" r="123" x14ac:dyDescent="0.3"/>
    <row ht="15.75" customHeight="1" r="124" x14ac:dyDescent="0.3"/>
    <row ht="15.75" customHeight="1" r="125" x14ac:dyDescent="0.3"/>
    <row ht="15.75" customHeight="1" r="126" x14ac:dyDescent="0.3"/>
    <row ht="15.75" customHeight="1" r="127" x14ac:dyDescent="0.3"/>
    <row ht="15.75" customHeight="1" r="128" x14ac:dyDescent="0.3"/>
    <row ht="15.75" customHeight="1" r="129" x14ac:dyDescent="0.3"/>
    <row ht="15.75" customHeight="1" r="130" x14ac:dyDescent="0.3"/>
    <row ht="15.75" customHeight="1" r="131" x14ac:dyDescent="0.3"/>
    <row ht="15.75" customHeight="1" r="132" x14ac:dyDescent="0.3"/>
    <row ht="15.75" customHeight="1" r="133" x14ac:dyDescent="0.3"/>
    <row ht="15.75" customHeight="1" r="134" x14ac:dyDescent="0.3"/>
    <row ht="15.75" customHeight="1" r="135" x14ac:dyDescent="0.3"/>
    <row ht="15.75" customHeight="1" r="136" x14ac:dyDescent="0.3"/>
    <row ht="15.75" customHeight="1" r="137" x14ac:dyDescent="0.3"/>
    <row ht="15.75" customHeight="1" r="138" x14ac:dyDescent="0.3"/>
    <row ht="15.75" customHeight="1" r="139" x14ac:dyDescent="0.3"/>
    <row ht="15.75" customHeight="1" r="140" x14ac:dyDescent="0.3"/>
    <row ht="15.75" customHeight="1" r="141" x14ac:dyDescent="0.3"/>
    <row ht="15.75" customHeight="1" r="142" x14ac:dyDescent="0.3"/>
    <row ht="15.75" customHeight="1" r="143" x14ac:dyDescent="0.3"/>
    <row ht="15.75" customHeight="1" r="144" x14ac:dyDescent="0.3"/>
    <row ht="15.75" customHeight="1" r="145" x14ac:dyDescent="0.3"/>
    <row ht="15.75" customHeight="1" r="146" x14ac:dyDescent="0.3"/>
    <row ht="15.75" customHeight="1" r="147" x14ac:dyDescent="0.3"/>
    <row ht="15.75" customHeight="1" r="148" x14ac:dyDescent="0.3"/>
    <row ht="15.75" customHeight="1" r="149" x14ac:dyDescent="0.3"/>
    <row ht="15.75" customHeight="1" r="150" x14ac:dyDescent="0.3"/>
    <row ht="15.75" customHeight="1" r="151" x14ac:dyDescent="0.3"/>
    <row ht="15.75" customHeight="1" r="152" x14ac:dyDescent="0.3"/>
    <row ht="15.75" customHeight="1" r="153" x14ac:dyDescent="0.3"/>
    <row ht="15.75" customHeight="1" r="154" x14ac:dyDescent="0.3"/>
    <row ht="15.75" customHeight="1" r="155" x14ac:dyDescent="0.3"/>
    <row ht="15.75" customHeight="1" r="156" x14ac:dyDescent="0.3"/>
    <row ht="15.75" customHeight="1" r="157" x14ac:dyDescent="0.3"/>
    <row ht="15.75" customHeight="1" r="158" x14ac:dyDescent="0.3"/>
    <row ht="15.75" customHeight="1" r="159" x14ac:dyDescent="0.3"/>
    <row ht="15.75" customHeight="1" r="160" x14ac:dyDescent="0.3"/>
    <row ht="15.75" customHeight="1" r="161" x14ac:dyDescent="0.3"/>
    <row ht="15.75" customHeight="1" r="162" x14ac:dyDescent="0.3"/>
    <row ht="15.75" customHeight="1" r="163" x14ac:dyDescent="0.3"/>
    <row ht="15.75" customHeight="1" r="164" x14ac:dyDescent="0.3"/>
    <row ht="15.75" customHeight="1" r="165" x14ac:dyDescent="0.3"/>
    <row ht="15.75" customHeight="1" r="166" x14ac:dyDescent="0.3"/>
    <row ht="15.75" customHeight="1" r="167" x14ac:dyDescent="0.3"/>
    <row ht="15.75" customHeight="1" r="168" x14ac:dyDescent="0.3"/>
    <row ht="15.75" customHeight="1" r="169" x14ac:dyDescent="0.3"/>
    <row ht="15.75" customHeight="1" r="170" x14ac:dyDescent="0.3"/>
    <row ht="15.75" customHeight="1" r="171" x14ac:dyDescent="0.3"/>
    <row ht="15.75" customHeight="1" r="172" x14ac:dyDescent="0.3"/>
    <row ht="15.75" customHeight="1" r="173" x14ac:dyDescent="0.3"/>
    <row ht="15.75" customHeight="1" r="174" x14ac:dyDescent="0.3"/>
    <row ht="15.75" customHeight="1" r="175" x14ac:dyDescent="0.3"/>
    <row ht="15.75" customHeight="1" r="176" x14ac:dyDescent="0.3"/>
    <row ht="15.75" customHeight="1" r="177" x14ac:dyDescent="0.3"/>
    <row ht="15.75" customHeight="1" r="178" x14ac:dyDescent="0.3"/>
    <row ht="15.75" customHeight="1" r="179" x14ac:dyDescent="0.3"/>
    <row ht="15.75" customHeight="1" r="180" x14ac:dyDescent="0.3"/>
    <row ht="15.75" customHeight="1" r="181" x14ac:dyDescent="0.3"/>
    <row ht="15.75" customHeight="1" r="182" x14ac:dyDescent="0.3"/>
    <row ht="15.75" customHeight="1" r="183" x14ac:dyDescent="0.3"/>
    <row ht="15.75" customHeight="1" r="184" x14ac:dyDescent="0.3"/>
    <row ht="15.75" customHeight="1" r="185" x14ac:dyDescent="0.3"/>
    <row ht="15.75" customHeight="1" r="186" x14ac:dyDescent="0.3"/>
    <row ht="15.75" customHeight="1" r="187" x14ac:dyDescent="0.3"/>
    <row ht="15.75" customHeight="1" r="188" x14ac:dyDescent="0.3"/>
    <row ht="15.75" customHeight="1" r="189" x14ac:dyDescent="0.3"/>
    <row ht="15.75" customHeight="1" r="190" x14ac:dyDescent="0.3"/>
    <row ht="15.75" customHeight="1" r="191" x14ac:dyDescent="0.3"/>
    <row ht="15.75" customHeight="1" r="192" x14ac:dyDescent="0.3"/>
    <row ht="15.75" customHeight="1" r="193" x14ac:dyDescent="0.3"/>
    <row ht="15.75" customHeight="1" r="194" x14ac:dyDescent="0.3"/>
    <row ht="15.75" customHeight="1" r="195" x14ac:dyDescent="0.3"/>
    <row ht="15.75" customHeight="1" r="196" x14ac:dyDescent="0.3"/>
    <row ht="15.75" customHeight="1" r="197" x14ac:dyDescent="0.3"/>
    <row ht="15.75" customHeight="1" r="198" x14ac:dyDescent="0.3"/>
    <row ht="15.75" customHeight="1" r="199" x14ac:dyDescent="0.3"/>
    <row ht="15.75" customHeight="1" r="200" x14ac:dyDescent="0.3"/>
    <row ht="15.75" customHeight="1" r="201" x14ac:dyDescent="0.3"/>
    <row ht="15.75" customHeight="1" r="202" x14ac:dyDescent="0.3"/>
    <row ht="15.75" customHeight="1" r="203" x14ac:dyDescent="0.3"/>
    <row ht="15.75" customHeight="1" r="204" x14ac:dyDescent="0.3"/>
    <row ht="15.75" customHeight="1" r="205" x14ac:dyDescent="0.3"/>
    <row ht="15.75" customHeight="1" r="206" x14ac:dyDescent="0.3"/>
    <row ht="15.75" customHeight="1" r="207" x14ac:dyDescent="0.3"/>
    <row ht="15.75" customHeight="1" r="208" x14ac:dyDescent="0.3"/>
    <row ht="15.75" customHeight="1" r="209" x14ac:dyDescent="0.3"/>
    <row ht="15.75" customHeight="1" r="210" x14ac:dyDescent="0.3"/>
    <row ht="15.75" customHeight="1" r="211" x14ac:dyDescent="0.3"/>
    <row ht="15.75" customHeight="1" r="212" x14ac:dyDescent="0.3"/>
    <row ht="15.75" customHeight="1" r="213" x14ac:dyDescent="0.3"/>
    <row ht="15.75" customHeight="1" r="214" x14ac:dyDescent="0.3"/>
    <row ht="15.75" customHeight="1" r="215" x14ac:dyDescent="0.3"/>
    <row ht="15.75" customHeight="1" r="216" x14ac:dyDescent="0.3"/>
    <row ht="15.75" customHeight="1" r="217" x14ac:dyDescent="0.3"/>
    <row ht="15.75" customHeight="1" r="218" x14ac:dyDescent="0.3"/>
    <row ht="15.75" customHeight="1" r="219" x14ac:dyDescent="0.3"/>
    <row ht="15.75" customHeight="1" r="220" x14ac:dyDescent="0.3"/>
    <row ht="15.75" customHeight="1" r="221" x14ac:dyDescent="0.3"/>
    <row ht="15.75" customHeight="1" r="222" x14ac:dyDescent="0.3"/>
    <row ht="15.75" customHeight="1" r="223" x14ac:dyDescent="0.3"/>
    <row ht="15.75" customHeight="1" r="224" x14ac:dyDescent="0.3"/>
    <row ht="15.75" customHeight="1" r="225" x14ac:dyDescent="0.3"/>
    <row ht="15.75" customHeight="1" r="226" x14ac:dyDescent="0.3"/>
    <row ht="15.75" customHeight="1" r="227" x14ac:dyDescent="0.3"/>
    <row ht="15.75" customHeight="1" r="228" x14ac:dyDescent="0.3"/>
    <row ht="15.75" customHeight="1" r="229" x14ac:dyDescent="0.3"/>
    <row ht="15.75" customHeight="1" r="230" x14ac:dyDescent="0.3"/>
    <row ht="15.75" customHeight="1" r="231" x14ac:dyDescent="0.3"/>
    <row ht="15.75" customHeight="1" r="232" x14ac:dyDescent="0.3"/>
    <row ht="15.75" customHeight="1" r="233" x14ac:dyDescent="0.3"/>
    <row ht="15.75" customHeight="1" r="234" x14ac:dyDescent="0.3"/>
    <row ht="15.75" customHeight="1" r="235" x14ac:dyDescent="0.3"/>
    <row ht="15.75" customHeight="1" r="236" x14ac:dyDescent="0.3"/>
    <row ht="15.75" customHeight="1" r="237" x14ac:dyDescent="0.3"/>
    <row ht="15.75" customHeight="1" r="238" x14ac:dyDescent="0.3"/>
    <row ht="15.75" customHeight="1" r="239" x14ac:dyDescent="0.3"/>
    <row ht="15.75" customHeight="1" r="240" x14ac:dyDescent="0.3"/>
    <row ht="15.75" customHeight="1" r="241" x14ac:dyDescent="0.3"/>
    <row ht="15.75" customHeight="1" r="242" x14ac:dyDescent="0.3"/>
    <row ht="15.75" customHeight="1" r="243" x14ac:dyDescent="0.3"/>
    <row ht="15.75" customHeight="1" r="244" x14ac:dyDescent="0.3"/>
    <row ht="15.75" customHeight="1" r="245" x14ac:dyDescent="0.3"/>
    <row ht="15.75" customHeight="1" r="246" x14ac:dyDescent="0.3"/>
    <row ht="15.75" customHeight="1" r="247" x14ac:dyDescent="0.3"/>
    <row ht="15.75" customHeight="1" r="248" x14ac:dyDescent="0.3"/>
    <row ht="15.75" customHeight="1" r="249" x14ac:dyDescent="0.3"/>
    <row ht="15.75" customHeight="1" r="250" x14ac:dyDescent="0.3"/>
    <row ht="15.75" customHeight="1" r="251" x14ac:dyDescent="0.3"/>
    <row ht="15.75" customHeight="1" r="252" x14ac:dyDescent="0.3"/>
    <row ht="15.75" customHeight="1" r="253" x14ac:dyDescent="0.3"/>
    <row ht="15.75" customHeight="1" r="254" x14ac:dyDescent="0.3"/>
    <row ht="15.75" customHeight="1" r="255" x14ac:dyDescent="0.3"/>
    <row ht="15.75" customHeight="1" r="256" x14ac:dyDescent="0.3"/>
    <row ht="15.75" customHeight="1" r="257" x14ac:dyDescent="0.3"/>
    <row ht="15.75" customHeight="1" r="258" x14ac:dyDescent="0.3"/>
    <row ht="15.75" customHeight="1" r="259" x14ac:dyDescent="0.3"/>
    <row ht="15.75" customHeight="1" r="260" x14ac:dyDescent="0.3"/>
    <row ht="15.75" customHeight="1" r="261" x14ac:dyDescent="0.3"/>
    <row ht="15.75" customHeight="1" r="262" x14ac:dyDescent="0.3"/>
    <row ht="15.75" customHeight="1" r="263" x14ac:dyDescent="0.3"/>
    <row ht="15.75" customHeight="1" r="264" x14ac:dyDescent="0.3"/>
    <row ht="15.75" customHeight="1" r="265" x14ac:dyDescent="0.3"/>
    <row ht="15.75" customHeight="1" r="266" x14ac:dyDescent="0.3"/>
    <row ht="15.75" customHeight="1" r="267" x14ac:dyDescent="0.3"/>
    <row ht="15.75" customHeight="1" r="268" x14ac:dyDescent="0.3"/>
    <row ht="15.75" customHeight="1" r="269" x14ac:dyDescent="0.3"/>
    <row ht="15.75" customHeight="1" r="270" x14ac:dyDescent="0.3"/>
    <row ht="15.75" customHeight="1" r="271" x14ac:dyDescent="0.3"/>
    <row ht="15.75" customHeight="1" r="272" x14ac:dyDescent="0.3"/>
    <row ht="15.75" customHeight="1" r="273" x14ac:dyDescent="0.3"/>
    <row ht="15.75" customHeight="1" r="274" x14ac:dyDescent="0.3"/>
    <row ht="15.75" customHeight="1" r="275" x14ac:dyDescent="0.3"/>
    <row ht="15.75" customHeight="1" r="276" x14ac:dyDescent="0.3"/>
    <row ht="15.75" customHeight="1" r="277" x14ac:dyDescent="0.3"/>
    <row ht="15.75" customHeight="1" r="278" x14ac:dyDescent="0.3"/>
    <row ht="15.75" customHeight="1" r="279" x14ac:dyDescent="0.3"/>
    <row ht="15.75" customHeight="1" r="280" x14ac:dyDescent="0.3"/>
    <row ht="15.75" customHeight="1" r="281" x14ac:dyDescent="0.3"/>
    <row ht="15.75" customHeight="1" r="282" x14ac:dyDescent="0.3"/>
    <row ht="15.75" customHeight="1" r="283" x14ac:dyDescent="0.3"/>
    <row ht="15.75" customHeight="1" r="284" x14ac:dyDescent="0.3"/>
    <row ht="15.75" customHeight="1" r="285" x14ac:dyDescent="0.3"/>
    <row ht="15.75" customHeight="1" r="286" x14ac:dyDescent="0.3"/>
    <row ht="15.75" customHeight="1" r="287" x14ac:dyDescent="0.3"/>
    <row ht="15.75" customHeight="1" r="288" x14ac:dyDescent="0.3"/>
    <row ht="15.75" customHeight="1" r="289" x14ac:dyDescent="0.3"/>
    <row ht="15.75" customHeight="1" r="290" x14ac:dyDescent="0.3"/>
    <row ht="15.75" customHeight="1" r="291" x14ac:dyDescent="0.3"/>
    <row ht="15.75" customHeight="1" r="292" x14ac:dyDescent="0.3"/>
    <row ht="15.75" customHeight="1" r="293" x14ac:dyDescent="0.3"/>
    <row ht="15.75" customHeight="1" r="294" x14ac:dyDescent="0.3"/>
    <row ht="15.75" customHeight="1" r="295" x14ac:dyDescent="0.3"/>
    <row ht="15.75" customHeight="1" r="296" x14ac:dyDescent="0.3"/>
    <row ht="15.75" customHeight="1" r="297" x14ac:dyDescent="0.3"/>
    <row ht="15.75" customHeight="1" r="298" x14ac:dyDescent="0.3"/>
    <row ht="15.75" customHeight="1" r="299" x14ac:dyDescent="0.3"/>
    <row ht="15.75" customHeight="1" r="300" x14ac:dyDescent="0.3"/>
    <row ht="15.75" customHeight="1" r="301" x14ac:dyDescent="0.3"/>
    <row ht="15.75" customHeight="1" r="302" x14ac:dyDescent="0.3"/>
    <row ht="15.75" customHeight="1" r="303" x14ac:dyDescent="0.3"/>
    <row ht="15.75" customHeight="1" r="304" x14ac:dyDescent="0.3"/>
    <row ht="15.75" customHeight="1" r="305" x14ac:dyDescent="0.3"/>
    <row ht="15.75" customHeight="1" r="306" x14ac:dyDescent="0.3"/>
    <row ht="15.75" customHeight="1" r="307" x14ac:dyDescent="0.3"/>
    <row ht="15.75" customHeight="1" r="308" x14ac:dyDescent="0.3"/>
    <row ht="15.75" customHeight="1" r="309" x14ac:dyDescent="0.3"/>
    <row ht="15.75" customHeight="1" r="310" x14ac:dyDescent="0.3"/>
    <row ht="15.75" customHeight="1" r="311" x14ac:dyDescent="0.3"/>
    <row ht="15.75" customHeight="1" r="312" x14ac:dyDescent="0.3"/>
    <row ht="15.75" customHeight="1" r="313" x14ac:dyDescent="0.3"/>
    <row ht="15.75" customHeight="1" r="314" x14ac:dyDescent="0.3"/>
    <row ht="15.75" customHeight="1" r="315" x14ac:dyDescent="0.3"/>
    <row ht="15.75" customHeight="1" r="316" x14ac:dyDescent="0.3"/>
    <row ht="15.75" customHeight="1" r="317" x14ac:dyDescent="0.3"/>
    <row ht="15.75" customHeight="1" r="318" x14ac:dyDescent="0.3"/>
    <row ht="15.75" customHeight="1" r="319" x14ac:dyDescent="0.3"/>
    <row ht="15.75" customHeight="1" r="320" x14ac:dyDescent="0.3"/>
    <row ht="15.75" customHeight="1" r="321" x14ac:dyDescent="0.3"/>
    <row ht="15.75" customHeight="1" r="322" x14ac:dyDescent="0.3"/>
    <row ht="15.75" customHeight="1" r="323" x14ac:dyDescent="0.3"/>
    <row ht="15.75" customHeight="1" r="324" x14ac:dyDescent="0.3"/>
    <row ht="15.75" customHeight="1" r="325" x14ac:dyDescent="0.3"/>
    <row ht="15.75" customHeight="1" r="326" x14ac:dyDescent="0.3"/>
    <row ht="15.75" customHeight="1" r="327" x14ac:dyDescent="0.3"/>
    <row ht="15.75" customHeight="1" r="328" x14ac:dyDescent="0.3"/>
    <row ht="15.75" customHeight="1" r="329" x14ac:dyDescent="0.3"/>
    <row ht="15.75" customHeight="1" r="330" x14ac:dyDescent="0.3"/>
    <row ht="15.75" customHeight="1" r="331" x14ac:dyDescent="0.3"/>
    <row ht="15.75" customHeight="1" r="332" x14ac:dyDescent="0.3"/>
    <row ht="15.75" customHeight="1" r="333" x14ac:dyDescent="0.3"/>
    <row ht="15.75" customHeight="1" r="334" x14ac:dyDescent="0.3"/>
    <row ht="15.75" customHeight="1" r="335" x14ac:dyDescent="0.3"/>
    <row ht="15.75" customHeight="1" r="336" x14ac:dyDescent="0.3"/>
    <row ht="15.75" customHeight="1" r="337" x14ac:dyDescent="0.3"/>
    <row ht="15.75" customHeight="1" r="338" x14ac:dyDescent="0.3"/>
    <row ht="15.75" customHeight="1" r="339" x14ac:dyDescent="0.3"/>
    <row ht="15.75" customHeight="1" r="340" x14ac:dyDescent="0.3"/>
    <row ht="15.75" customHeight="1" r="341" x14ac:dyDescent="0.3"/>
    <row ht="15.75" customHeight="1" r="342" x14ac:dyDescent="0.3"/>
    <row ht="15.75" customHeight="1" r="343" x14ac:dyDescent="0.3"/>
    <row ht="15.75" customHeight="1" r="344" x14ac:dyDescent="0.3"/>
    <row ht="15.75" customHeight="1" r="345" x14ac:dyDescent="0.3"/>
    <row ht="15.75" customHeight="1" r="346" x14ac:dyDescent="0.3"/>
    <row ht="15.75" customHeight="1" r="347" x14ac:dyDescent="0.3"/>
    <row ht="15.75" customHeight="1" r="348" x14ac:dyDescent="0.3"/>
    <row ht="15.75" customHeight="1" r="349" x14ac:dyDescent="0.3"/>
    <row ht="15.75" customHeight="1" r="350" x14ac:dyDescent="0.3"/>
    <row ht="15.75" customHeight="1" r="351" x14ac:dyDescent="0.3"/>
    <row ht="15.75" customHeight="1" r="352" x14ac:dyDescent="0.3"/>
    <row ht="15.75" customHeight="1" r="353" x14ac:dyDescent="0.3"/>
    <row ht="15.75" customHeight="1" r="354" x14ac:dyDescent="0.3"/>
    <row ht="15.75" customHeight="1" r="355" x14ac:dyDescent="0.3"/>
    <row ht="15.75" customHeight="1" r="356" x14ac:dyDescent="0.3"/>
    <row ht="15.75" customHeight="1" r="357" x14ac:dyDescent="0.3"/>
    <row ht="15.75" customHeight="1" r="358" x14ac:dyDescent="0.3"/>
    <row ht="15.75" customHeight="1" r="359" x14ac:dyDescent="0.3"/>
    <row ht="15.75" customHeight="1" r="360" x14ac:dyDescent="0.3"/>
    <row ht="15.75" customHeight="1" r="361" x14ac:dyDescent="0.3"/>
    <row ht="15.75" customHeight="1" r="362" x14ac:dyDescent="0.3"/>
    <row ht="15.75" customHeight="1" r="363" x14ac:dyDescent="0.3"/>
    <row ht="15.75" customHeight="1" r="364" x14ac:dyDescent="0.3"/>
    <row ht="15.75" customHeight="1" r="365" x14ac:dyDescent="0.3"/>
    <row ht="15.75" customHeight="1" r="366" x14ac:dyDescent="0.3"/>
    <row ht="15.75" customHeight="1" r="367" x14ac:dyDescent="0.3"/>
    <row ht="15.75" customHeight="1" r="368" x14ac:dyDescent="0.3"/>
    <row ht="15.75" customHeight="1" r="369" x14ac:dyDescent="0.3"/>
    <row ht="15.75" customHeight="1" r="370" x14ac:dyDescent="0.3"/>
    <row ht="15.75" customHeight="1" r="371" x14ac:dyDescent="0.3"/>
    <row ht="15.75" customHeight="1" r="372" x14ac:dyDescent="0.3"/>
    <row ht="15.75" customHeight="1" r="373" x14ac:dyDescent="0.3"/>
    <row ht="15.75" customHeight="1" r="374" x14ac:dyDescent="0.3"/>
    <row ht="15.75" customHeight="1" r="375" x14ac:dyDescent="0.3"/>
    <row ht="15.75" customHeight="1" r="376" x14ac:dyDescent="0.3"/>
    <row ht="15.75" customHeight="1" r="377" x14ac:dyDescent="0.3"/>
    <row ht="15.75" customHeight="1" r="378" x14ac:dyDescent="0.3"/>
    <row ht="15.75" customHeight="1" r="379" x14ac:dyDescent="0.3"/>
    <row ht="15.75" customHeight="1" r="380" x14ac:dyDescent="0.3"/>
    <row ht="15.75" customHeight="1" r="381" x14ac:dyDescent="0.3"/>
    <row ht="15.75" customHeight="1" r="382" x14ac:dyDescent="0.3"/>
    <row ht="15.75" customHeight="1" r="383" x14ac:dyDescent="0.3"/>
    <row ht="15.75" customHeight="1" r="384" x14ac:dyDescent="0.3"/>
    <row ht="15.75" customHeight="1" r="385" x14ac:dyDescent="0.3"/>
    <row ht="15.75" customHeight="1" r="386" x14ac:dyDescent="0.3"/>
    <row ht="15.75" customHeight="1" r="387" x14ac:dyDescent="0.3"/>
    <row ht="15.75" customHeight="1" r="388" x14ac:dyDescent="0.3"/>
    <row ht="15.75" customHeight="1" r="389" x14ac:dyDescent="0.3"/>
    <row ht="15.75" customHeight="1" r="390" x14ac:dyDescent="0.3"/>
    <row ht="15.75" customHeight="1" r="391" x14ac:dyDescent="0.3"/>
    <row ht="15.75" customHeight="1" r="392" x14ac:dyDescent="0.3"/>
    <row ht="15.75" customHeight="1" r="393" x14ac:dyDescent="0.3"/>
    <row ht="15.75" customHeight="1" r="394" x14ac:dyDescent="0.3"/>
    <row ht="15.75" customHeight="1" r="395" x14ac:dyDescent="0.3"/>
    <row ht="15.75" customHeight="1" r="396" x14ac:dyDescent="0.3"/>
    <row ht="15.75" customHeight="1" r="397" x14ac:dyDescent="0.3"/>
    <row ht="15.75" customHeight="1" r="398" x14ac:dyDescent="0.3"/>
    <row ht="15.75" customHeight="1" r="399" x14ac:dyDescent="0.3"/>
    <row ht="15.75" customHeight="1" r="400" x14ac:dyDescent="0.3"/>
    <row ht="15.75" customHeight="1" r="401" x14ac:dyDescent="0.3"/>
    <row ht="15.75" customHeight="1" r="402" x14ac:dyDescent="0.3"/>
    <row ht="15.75" customHeight="1" r="403" x14ac:dyDescent="0.3"/>
    <row ht="15.75" customHeight="1" r="404" x14ac:dyDescent="0.3"/>
    <row ht="15.75" customHeight="1" r="405" x14ac:dyDescent="0.3"/>
    <row ht="15.75" customHeight="1" r="406" x14ac:dyDescent="0.3"/>
    <row ht="15.75" customHeight="1" r="407" x14ac:dyDescent="0.3"/>
    <row ht="15.75" customHeight="1" r="408" x14ac:dyDescent="0.3"/>
    <row ht="15.75" customHeight="1" r="409" x14ac:dyDescent="0.3"/>
    <row ht="15.75" customHeight="1" r="410" x14ac:dyDescent="0.3"/>
    <row ht="15.75" customHeight="1" r="411" x14ac:dyDescent="0.3"/>
    <row ht="15.75" customHeight="1" r="412" x14ac:dyDescent="0.3"/>
    <row ht="15.75" customHeight="1" r="413" x14ac:dyDescent="0.3"/>
    <row ht="15.75" customHeight="1" r="414" x14ac:dyDescent="0.3"/>
    <row ht="15.75" customHeight="1" r="415" x14ac:dyDescent="0.3"/>
    <row ht="15.75" customHeight="1" r="416" x14ac:dyDescent="0.3"/>
    <row ht="15.75" customHeight="1" r="417" x14ac:dyDescent="0.3"/>
    <row ht="15.75" customHeight="1" r="418" x14ac:dyDescent="0.3"/>
    <row ht="15.75" customHeight="1" r="419" x14ac:dyDescent="0.3"/>
    <row ht="15.75" customHeight="1" r="420" x14ac:dyDescent="0.3"/>
    <row ht="15.75" customHeight="1" r="421" x14ac:dyDescent="0.3"/>
    <row ht="15.75" customHeight="1" r="422" x14ac:dyDescent="0.3"/>
    <row ht="15.75" customHeight="1" r="423" x14ac:dyDescent="0.3"/>
    <row ht="15.75" customHeight="1" r="424" x14ac:dyDescent="0.3"/>
    <row ht="15.75" customHeight="1" r="425" x14ac:dyDescent="0.3"/>
    <row ht="15.75" customHeight="1" r="426" x14ac:dyDescent="0.3"/>
    <row ht="15.75" customHeight="1" r="427" x14ac:dyDescent="0.3"/>
    <row ht="15.75" customHeight="1" r="428" x14ac:dyDescent="0.3"/>
    <row ht="15.75" customHeight="1" r="429" x14ac:dyDescent="0.3"/>
    <row ht="15.75" customHeight="1" r="430" x14ac:dyDescent="0.3"/>
    <row ht="15.75" customHeight="1" r="431" x14ac:dyDescent="0.3"/>
    <row ht="15.75" customHeight="1" r="432" x14ac:dyDescent="0.3"/>
    <row ht="15.75" customHeight="1" r="433" x14ac:dyDescent="0.3"/>
    <row ht="15.75" customHeight="1" r="434" x14ac:dyDescent="0.3"/>
    <row ht="15.75" customHeight="1" r="435" x14ac:dyDescent="0.3"/>
    <row ht="15.75" customHeight="1" r="436" x14ac:dyDescent="0.3"/>
    <row ht="15.75" customHeight="1" r="437" x14ac:dyDescent="0.3"/>
    <row ht="15.75" customHeight="1" r="438" x14ac:dyDescent="0.3"/>
    <row ht="15.75" customHeight="1" r="439" x14ac:dyDescent="0.3"/>
    <row ht="15.75" customHeight="1" r="440" x14ac:dyDescent="0.3"/>
    <row ht="15.75" customHeight="1" r="441" x14ac:dyDescent="0.3"/>
    <row ht="15.75" customHeight="1" r="442" x14ac:dyDescent="0.3"/>
    <row ht="15.75" customHeight="1" r="443" x14ac:dyDescent="0.3"/>
    <row ht="15.75" customHeight="1" r="444" x14ac:dyDescent="0.3"/>
    <row ht="15.75" customHeight="1" r="445" x14ac:dyDescent="0.3"/>
    <row ht="15.75" customHeight="1" r="446" x14ac:dyDescent="0.3"/>
    <row ht="15.75" customHeight="1" r="447" x14ac:dyDescent="0.3"/>
    <row ht="15.75" customHeight="1" r="448" x14ac:dyDescent="0.3"/>
    <row ht="15.75" customHeight="1" r="449" x14ac:dyDescent="0.3"/>
    <row ht="15.75" customHeight="1" r="450" x14ac:dyDescent="0.3"/>
    <row ht="15.75" customHeight="1" r="451" x14ac:dyDescent="0.3"/>
    <row ht="15.75" customHeight="1" r="452" x14ac:dyDescent="0.3"/>
    <row ht="15.75" customHeight="1" r="453" x14ac:dyDescent="0.3"/>
    <row ht="15.75" customHeight="1" r="454" x14ac:dyDescent="0.3"/>
    <row ht="15.75" customHeight="1" r="455" x14ac:dyDescent="0.3"/>
    <row ht="15.75" customHeight="1" r="456" x14ac:dyDescent="0.3"/>
    <row ht="15.75" customHeight="1" r="457" x14ac:dyDescent="0.3"/>
    <row ht="15.75" customHeight="1" r="458" x14ac:dyDescent="0.3"/>
    <row ht="15.75" customHeight="1" r="459" x14ac:dyDescent="0.3"/>
    <row ht="15.75" customHeight="1" r="460" x14ac:dyDescent="0.3"/>
    <row ht="15.75" customHeight="1" r="461" x14ac:dyDescent="0.3"/>
    <row ht="15.75" customHeight="1" r="462" x14ac:dyDescent="0.3"/>
    <row ht="15.75" customHeight="1" r="463" x14ac:dyDescent="0.3"/>
    <row ht="15.75" customHeight="1" r="464" x14ac:dyDescent="0.3"/>
    <row ht="15.75" customHeight="1" r="465" x14ac:dyDescent="0.3"/>
    <row ht="15.75" customHeight="1" r="466" x14ac:dyDescent="0.3"/>
    <row ht="15.75" customHeight="1" r="467" x14ac:dyDescent="0.3"/>
    <row ht="15.75" customHeight="1" r="468" x14ac:dyDescent="0.3"/>
    <row ht="15.75" customHeight="1" r="469" x14ac:dyDescent="0.3"/>
    <row ht="15.75" customHeight="1" r="470" x14ac:dyDescent="0.3"/>
    <row ht="15.75" customHeight="1" r="471" x14ac:dyDescent="0.3"/>
    <row ht="15.75" customHeight="1" r="472" x14ac:dyDescent="0.3"/>
    <row ht="15.75" customHeight="1" r="473" x14ac:dyDescent="0.3"/>
    <row ht="15.75" customHeight="1" r="474" x14ac:dyDescent="0.3"/>
    <row ht="15.75" customHeight="1" r="475" x14ac:dyDescent="0.3"/>
    <row ht="15.75" customHeight="1" r="476" x14ac:dyDescent="0.3"/>
    <row ht="15.75" customHeight="1" r="477" x14ac:dyDescent="0.3"/>
    <row ht="15.75" customHeight="1" r="478" x14ac:dyDescent="0.3"/>
    <row ht="15.75" customHeight="1" r="479" x14ac:dyDescent="0.3"/>
    <row ht="15.75" customHeight="1" r="480" x14ac:dyDescent="0.3"/>
    <row ht="15.75" customHeight="1" r="481" x14ac:dyDescent="0.3"/>
    <row ht="15.75" customHeight="1" r="482" x14ac:dyDescent="0.3"/>
    <row ht="15.75" customHeight="1" r="483" x14ac:dyDescent="0.3"/>
    <row ht="15.75" customHeight="1" r="484" x14ac:dyDescent="0.3"/>
    <row ht="15.75" customHeight="1" r="485" x14ac:dyDescent="0.3"/>
    <row ht="15.75" customHeight="1" r="486" x14ac:dyDescent="0.3"/>
    <row ht="15.75" customHeight="1" r="487" x14ac:dyDescent="0.3"/>
    <row ht="15.75" customHeight="1" r="488" x14ac:dyDescent="0.3"/>
    <row ht="15.75" customHeight="1" r="489" x14ac:dyDescent="0.3"/>
    <row ht="15.75" customHeight="1" r="490" x14ac:dyDescent="0.3"/>
    <row ht="15.75" customHeight="1" r="491" x14ac:dyDescent="0.3"/>
    <row ht="15.75" customHeight="1" r="492" x14ac:dyDescent="0.3"/>
    <row ht="15.75" customHeight="1" r="493" x14ac:dyDescent="0.3"/>
    <row ht="15.75" customHeight="1" r="494" x14ac:dyDescent="0.3"/>
    <row ht="15.75" customHeight="1" r="495" x14ac:dyDescent="0.3"/>
    <row ht="15.75" customHeight="1" r="496" x14ac:dyDescent="0.3"/>
    <row ht="15.75" customHeight="1" r="497" x14ac:dyDescent="0.3"/>
    <row ht="15.75" customHeight="1" r="498" x14ac:dyDescent="0.3"/>
    <row ht="15.75" customHeight="1" r="499" x14ac:dyDescent="0.3"/>
    <row ht="15.75" customHeight="1" r="500" x14ac:dyDescent="0.3"/>
    <row ht="15.75" customHeight="1" r="501" x14ac:dyDescent="0.3"/>
    <row ht="15.75" customHeight="1" r="502" x14ac:dyDescent="0.3"/>
    <row ht="15.75" customHeight="1" r="503" x14ac:dyDescent="0.3"/>
    <row ht="15.75" customHeight="1" r="504" x14ac:dyDescent="0.3"/>
    <row ht="15.75" customHeight="1" r="505" x14ac:dyDescent="0.3"/>
    <row ht="15.75" customHeight="1" r="506" x14ac:dyDescent="0.3"/>
    <row ht="15.75" customHeight="1" r="507" x14ac:dyDescent="0.3"/>
    <row ht="15.75" customHeight="1" r="508" x14ac:dyDescent="0.3"/>
    <row ht="15.75" customHeight="1" r="509" x14ac:dyDescent="0.3"/>
    <row ht="15.75" customHeight="1" r="510" x14ac:dyDescent="0.3"/>
    <row ht="15.75" customHeight="1" r="511" x14ac:dyDescent="0.3"/>
    <row ht="15.75" customHeight="1" r="512" x14ac:dyDescent="0.3"/>
    <row ht="15.75" customHeight="1" r="513" x14ac:dyDescent="0.3"/>
    <row ht="15.75" customHeight="1" r="514" x14ac:dyDescent="0.3"/>
    <row ht="15.75" customHeight="1" r="515" x14ac:dyDescent="0.3"/>
    <row ht="15.75" customHeight="1" r="516" x14ac:dyDescent="0.3"/>
    <row ht="15.75" customHeight="1" r="517" x14ac:dyDescent="0.3"/>
    <row ht="15.75" customHeight="1" r="518" x14ac:dyDescent="0.3"/>
    <row ht="15.75" customHeight="1" r="519" x14ac:dyDescent="0.3"/>
    <row ht="15.75" customHeight="1" r="520" x14ac:dyDescent="0.3"/>
    <row ht="15.75" customHeight="1" r="521" x14ac:dyDescent="0.3"/>
    <row ht="15.75" customHeight="1" r="522" x14ac:dyDescent="0.3"/>
    <row ht="15.75" customHeight="1" r="523" x14ac:dyDescent="0.3"/>
    <row ht="15.75" customHeight="1" r="524" x14ac:dyDescent="0.3"/>
    <row ht="15.75" customHeight="1" r="525" x14ac:dyDescent="0.3"/>
    <row ht="15.75" customHeight="1" r="526" x14ac:dyDescent="0.3"/>
    <row ht="15.75" customHeight="1" r="527" x14ac:dyDescent="0.3"/>
    <row ht="15.75" customHeight="1" r="528" x14ac:dyDescent="0.3"/>
    <row ht="15.75" customHeight="1" r="529" x14ac:dyDescent="0.3"/>
    <row ht="15.75" customHeight="1" r="530" x14ac:dyDescent="0.3"/>
    <row ht="15.75" customHeight="1" r="531" x14ac:dyDescent="0.3"/>
    <row ht="15.75" customHeight="1" r="532" x14ac:dyDescent="0.3"/>
    <row ht="15.75" customHeight="1" r="533" x14ac:dyDescent="0.3"/>
    <row ht="15.75" customHeight="1" r="534" x14ac:dyDescent="0.3"/>
    <row ht="15.75" customHeight="1" r="535" x14ac:dyDescent="0.3"/>
    <row ht="15.75" customHeight="1" r="536" x14ac:dyDescent="0.3"/>
    <row ht="15.75" customHeight="1" r="537" x14ac:dyDescent="0.3"/>
    <row ht="15.75" customHeight="1" r="538" x14ac:dyDescent="0.3"/>
    <row ht="15.75" customHeight="1" r="539" x14ac:dyDescent="0.3"/>
    <row ht="15.75" customHeight="1" r="540" x14ac:dyDescent="0.3"/>
    <row ht="15.75" customHeight="1" r="541" x14ac:dyDescent="0.3"/>
    <row ht="15.75" customHeight="1" r="542" x14ac:dyDescent="0.3"/>
    <row ht="15.75" customHeight="1" r="543" x14ac:dyDescent="0.3"/>
    <row ht="15.75" customHeight="1" r="544" x14ac:dyDescent="0.3"/>
    <row ht="15.75" customHeight="1" r="545" x14ac:dyDescent="0.3"/>
    <row ht="15.75" customHeight="1" r="546" x14ac:dyDescent="0.3"/>
    <row ht="15.75" customHeight="1" r="547" x14ac:dyDescent="0.3"/>
    <row ht="15.75" customHeight="1" r="548" x14ac:dyDescent="0.3"/>
    <row ht="15.75" customHeight="1" r="549" x14ac:dyDescent="0.3"/>
    <row ht="15.75" customHeight="1" r="550" x14ac:dyDescent="0.3"/>
    <row ht="15.75" customHeight="1" r="551" x14ac:dyDescent="0.3"/>
    <row ht="15.75" customHeight="1" r="552" x14ac:dyDescent="0.3"/>
    <row ht="15.75" customHeight="1" r="553" x14ac:dyDescent="0.3"/>
    <row ht="15.75" customHeight="1" r="554" x14ac:dyDescent="0.3"/>
    <row ht="15.75" customHeight="1" r="555" x14ac:dyDescent="0.3"/>
    <row ht="15.75" customHeight="1" r="556" x14ac:dyDescent="0.3"/>
    <row ht="15.75" customHeight="1" r="557" x14ac:dyDescent="0.3"/>
    <row ht="15.75" customHeight="1" r="558" x14ac:dyDescent="0.3"/>
    <row ht="15.75" customHeight="1" r="559" x14ac:dyDescent="0.3"/>
    <row ht="15.75" customHeight="1" r="560" x14ac:dyDescent="0.3"/>
    <row ht="15.75" customHeight="1" r="561" x14ac:dyDescent="0.3"/>
    <row ht="15.75" customHeight="1" r="562" x14ac:dyDescent="0.3"/>
    <row ht="15.75" customHeight="1" r="563" x14ac:dyDescent="0.3"/>
    <row ht="15.75" customHeight="1" r="564" x14ac:dyDescent="0.3"/>
    <row ht="15.75" customHeight="1" r="565" x14ac:dyDescent="0.3"/>
    <row ht="15.75" customHeight="1" r="566" x14ac:dyDescent="0.3"/>
    <row ht="15.75" customHeight="1" r="567" x14ac:dyDescent="0.3"/>
    <row ht="15.75" customHeight="1" r="568" x14ac:dyDescent="0.3"/>
    <row ht="15.75" customHeight="1" r="569" x14ac:dyDescent="0.3"/>
    <row ht="15.75" customHeight="1" r="570" x14ac:dyDescent="0.3"/>
    <row ht="15.75" customHeight="1" r="571" x14ac:dyDescent="0.3"/>
    <row ht="15.75" customHeight="1" r="572" x14ac:dyDescent="0.3"/>
    <row ht="15.75" customHeight="1" r="573" x14ac:dyDescent="0.3"/>
    <row ht="15.75" customHeight="1" r="574" x14ac:dyDescent="0.3"/>
    <row ht="15.75" customHeight="1" r="575" x14ac:dyDescent="0.3"/>
    <row ht="15.75" customHeight="1" r="576" x14ac:dyDescent="0.3"/>
    <row ht="15.75" customHeight="1" r="577" x14ac:dyDescent="0.3"/>
    <row ht="15.75" customHeight="1" r="578" x14ac:dyDescent="0.3"/>
    <row ht="15.75" customHeight="1" r="579" x14ac:dyDescent="0.3"/>
    <row ht="15.75" customHeight="1" r="580" x14ac:dyDescent="0.3"/>
    <row ht="15.75" customHeight="1" r="581" x14ac:dyDescent="0.3"/>
    <row ht="15.75" customHeight="1" r="582" x14ac:dyDescent="0.3"/>
    <row ht="15.75" customHeight="1" r="583" x14ac:dyDescent="0.3"/>
    <row ht="15.75" customHeight="1" r="584" x14ac:dyDescent="0.3"/>
    <row ht="15.75" customHeight="1" r="585" x14ac:dyDescent="0.3"/>
    <row ht="15.75" customHeight="1" r="586" x14ac:dyDescent="0.3"/>
    <row ht="15.75" customHeight="1" r="587" x14ac:dyDescent="0.3"/>
    <row ht="15.75" customHeight="1" r="588" x14ac:dyDescent="0.3"/>
    <row ht="15.75" customHeight="1" r="589" x14ac:dyDescent="0.3"/>
    <row ht="15.75" customHeight="1" r="590" x14ac:dyDescent="0.3"/>
    <row ht="15.75" customHeight="1" r="591" x14ac:dyDescent="0.3"/>
    <row ht="15.75" customHeight="1" r="592" x14ac:dyDescent="0.3"/>
    <row ht="15.75" customHeight="1" r="593" x14ac:dyDescent="0.3"/>
    <row ht="15.75" customHeight="1" r="594" x14ac:dyDescent="0.3"/>
    <row ht="15.75" customHeight="1" r="595" x14ac:dyDescent="0.3"/>
    <row ht="15.75" customHeight="1" r="596" x14ac:dyDescent="0.3"/>
    <row ht="15.75" customHeight="1" r="597" x14ac:dyDescent="0.3"/>
    <row ht="15.75" customHeight="1" r="598" x14ac:dyDescent="0.3"/>
    <row ht="15.75" customHeight="1" r="599" x14ac:dyDescent="0.3"/>
    <row ht="15.75" customHeight="1" r="600" x14ac:dyDescent="0.3"/>
    <row ht="15.75" customHeight="1" r="601" x14ac:dyDescent="0.3"/>
    <row ht="15.75" customHeight="1" r="602" x14ac:dyDescent="0.3"/>
    <row ht="15.75" customHeight="1" r="603" x14ac:dyDescent="0.3"/>
    <row ht="15.75" customHeight="1" r="604" x14ac:dyDescent="0.3"/>
    <row ht="15.75" customHeight="1" r="605" x14ac:dyDescent="0.3"/>
    <row ht="15.75" customHeight="1" r="606" x14ac:dyDescent="0.3"/>
    <row ht="15.75" customHeight="1" r="607" x14ac:dyDescent="0.3"/>
    <row ht="15.75" customHeight="1" r="608" x14ac:dyDescent="0.3"/>
    <row ht="15.75" customHeight="1" r="609" x14ac:dyDescent="0.3"/>
    <row ht="15.75" customHeight="1" r="610" x14ac:dyDescent="0.3"/>
    <row ht="15.75" customHeight="1" r="611" x14ac:dyDescent="0.3"/>
    <row ht="15.75" customHeight="1" r="612" x14ac:dyDescent="0.3"/>
    <row ht="15.75" customHeight="1" r="613" x14ac:dyDescent="0.3"/>
    <row ht="15.75" customHeight="1" r="614" x14ac:dyDescent="0.3"/>
    <row ht="15.75" customHeight="1" r="615" x14ac:dyDescent="0.3"/>
    <row ht="15.75" customHeight="1" r="616" x14ac:dyDescent="0.3"/>
    <row ht="15.75" customHeight="1" r="617" x14ac:dyDescent="0.3"/>
    <row ht="15.75" customHeight="1" r="618" x14ac:dyDescent="0.3"/>
    <row ht="15.75" customHeight="1" r="619" x14ac:dyDescent="0.3"/>
    <row ht="15.75" customHeight="1" r="620" x14ac:dyDescent="0.3"/>
    <row ht="15.75" customHeight="1" r="621" x14ac:dyDescent="0.3"/>
    <row ht="15.75" customHeight="1" r="622" x14ac:dyDescent="0.3"/>
    <row ht="15.75" customHeight="1" r="623" x14ac:dyDescent="0.3"/>
    <row ht="15.75" customHeight="1" r="624" x14ac:dyDescent="0.3"/>
    <row ht="15.75" customHeight="1" r="625" x14ac:dyDescent="0.3"/>
    <row ht="15.75" customHeight="1" r="626" x14ac:dyDescent="0.3"/>
    <row ht="15.75" customHeight="1" r="627" x14ac:dyDescent="0.3"/>
    <row ht="15.75" customHeight="1" r="628" x14ac:dyDescent="0.3"/>
    <row ht="15.75" customHeight="1" r="629" x14ac:dyDescent="0.3"/>
    <row ht="15.75" customHeight="1" r="630" x14ac:dyDescent="0.3"/>
    <row ht="15.75" customHeight="1" r="631" x14ac:dyDescent="0.3"/>
    <row ht="15.75" customHeight="1" r="632" x14ac:dyDescent="0.3"/>
    <row ht="15.75" customHeight="1" r="633" x14ac:dyDescent="0.3"/>
    <row ht="15.75" customHeight="1" r="634" x14ac:dyDescent="0.3"/>
    <row ht="15.75" customHeight="1" r="635" x14ac:dyDescent="0.3"/>
    <row ht="15.75" customHeight="1" r="636" x14ac:dyDescent="0.3"/>
    <row ht="15.75" customHeight="1" r="637" x14ac:dyDescent="0.3"/>
    <row ht="15.75" customHeight="1" r="638" x14ac:dyDescent="0.3"/>
    <row ht="15.75" customHeight="1" r="639" x14ac:dyDescent="0.3"/>
    <row ht="15.75" customHeight="1" r="640" x14ac:dyDescent="0.3"/>
    <row ht="15.75" customHeight="1" r="641" x14ac:dyDescent="0.3"/>
    <row ht="15.75" customHeight="1" r="642" x14ac:dyDescent="0.3"/>
    <row ht="15.75" customHeight="1" r="643" x14ac:dyDescent="0.3"/>
    <row ht="15.75" customHeight="1" r="644" x14ac:dyDescent="0.3"/>
    <row ht="15.75" customHeight="1" r="645" x14ac:dyDescent="0.3"/>
    <row ht="15.75" customHeight="1" r="646" x14ac:dyDescent="0.3"/>
    <row ht="15.75" customHeight="1" r="647" x14ac:dyDescent="0.3"/>
    <row ht="15.75" customHeight="1" r="648" x14ac:dyDescent="0.3"/>
    <row ht="15.75" customHeight="1" r="649" x14ac:dyDescent="0.3"/>
    <row ht="15.75" customHeight="1" r="650" x14ac:dyDescent="0.3"/>
    <row ht="15.75" customHeight="1" r="651" x14ac:dyDescent="0.3"/>
    <row ht="15.75" customHeight="1" r="652" x14ac:dyDescent="0.3"/>
    <row ht="15.75" customHeight="1" r="653" x14ac:dyDescent="0.3"/>
    <row ht="15.75" customHeight="1" r="654" x14ac:dyDescent="0.3"/>
    <row ht="15.75" customHeight="1" r="655" x14ac:dyDescent="0.3"/>
    <row ht="15.75" customHeight="1" r="656" x14ac:dyDescent="0.3"/>
    <row ht="15.75" customHeight="1" r="657" x14ac:dyDescent="0.3"/>
    <row ht="15.75" customHeight="1" r="658" x14ac:dyDescent="0.3"/>
    <row ht="15.75" customHeight="1" r="659" x14ac:dyDescent="0.3"/>
    <row ht="15.75" customHeight="1" r="660" x14ac:dyDescent="0.3"/>
    <row ht="15.75" customHeight="1" r="661" x14ac:dyDescent="0.3"/>
    <row ht="15.75" customHeight="1" r="662" x14ac:dyDescent="0.3"/>
    <row ht="15.75" customHeight="1" r="663" x14ac:dyDescent="0.3"/>
    <row ht="15.75" customHeight="1" r="664" x14ac:dyDescent="0.3"/>
    <row ht="15.75" customHeight="1" r="665" x14ac:dyDescent="0.3"/>
    <row ht="15.75" customHeight="1" r="666" x14ac:dyDescent="0.3"/>
    <row ht="15.75" customHeight="1" r="667" x14ac:dyDescent="0.3"/>
    <row ht="15.75" customHeight="1" r="668" x14ac:dyDescent="0.3"/>
    <row ht="15.75" customHeight="1" r="669" x14ac:dyDescent="0.3"/>
    <row ht="15.75" customHeight="1" r="670" x14ac:dyDescent="0.3"/>
    <row ht="15.75" customHeight="1" r="671" x14ac:dyDescent="0.3"/>
    <row ht="15.75" customHeight="1" r="672" x14ac:dyDescent="0.3"/>
    <row ht="15.75" customHeight="1" r="673" x14ac:dyDescent="0.3"/>
    <row ht="15.75" customHeight="1" r="674" x14ac:dyDescent="0.3"/>
    <row ht="15.75" customHeight="1" r="675" x14ac:dyDescent="0.3"/>
    <row ht="15.75" customHeight="1" r="676" x14ac:dyDescent="0.3"/>
    <row ht="15.75" customHeight="1" r="677" x14ac:dyDescent="0.3"/>
    <row ht="15.75" customHeight="1" r="678" x14ac:dyDescent="0.3"/>
    <row ht="15.75" customHeight="1" r="679" x14ac:dyDescent="0.3"/>
    <row ht="15.75" customHeight="1" r="680" x14ac:dyDescent="0.3"/>
    <row ht="15.75" customHeight="1" r="681" x14ac:dyDescent="0.3"/>
    <row ht="15.75" customHeight="1" r="682" x14ac:dyDescent="0.3"/>
    <row ht="15.75" customHeight="1" r="683" x14ac:dyDescent="0.3"/>
    <row ht="15.75" customHeight="1" r="684" x14ac:dyDescent="0.3"/>
    <row ht="15.75" customHeight="1" r="685" x14ac:dyDescent="0.3"/>
    <row ht="15.75" customHeight="1" r="686" x14ac:dyDescent="0.3"/>
    <row ht="15.75" customHeight="1" r="687" x14ac:dyDescent="0.3"/>
    <row ht="15.75" customHeight="1" r="688" x14ac:dyDescent="0.3"/>
    <row ht="15.75" customHeight="1" r="689" x14ac:dyDescent="0.3"/>
    <row ht="15.75" customHeight="1" r="690" x14ac:dyDescent="0.3"/>
    <row ht="15.75" customHeight="1" r="691" x14ac:dyDescent="0.3"/>
    <row ht="15.75" customHeight="1" r="692" x14ac:dyDescent="0.3"/>
    <row ht="15.75" customHeight="1" r="693" x14ac:dyDescent="0.3"/>
    <row ht="15.75" customHeight="1" r="694" x14ac:dyDescent="0.3"/>
    <row ht="15.75" customHeight="1" r="695" x14ac:dyDescent="0.3"/>
    <row ht="15.75" customHeight="1" r="696" x14ac:dyDescent="0.3"/>
    <row ht="15.75" customHeight="1" r="697" x14ac:dyDescent="0.3"/>
    <row ht="15.75" customHeight="1" r="698" x14ac:dyDescent="0.3"/>
    <row ht="15.75" customHeight="1" r="699" x14ac:dyDescent="0.3"/>
    <row ht="15.75" customHeight="1" r="700" x14ac:dyDescent="0.3"/>
    <row ht="15.75" customHeight="1" r="701" x14ac:dyDescent="0.3"/>
    <row ht="15.75" customHeight="1" r="702" x14ac:dyDescent="0.3"/>
    <row ht="15.75" customHeight="1" r="703" x14ac:dyDescent="0.3"/>
    <row ht="15.75" customHeight="1" r="704" x14ac:dyDescent="0.3"/>
    <row ht="15.75" customHeight="1" r="705" x14ac:dyDescent="0.3"/>
    <row ht="15.75" customHeight="1" r="706" x14ac:dyDescent="0.3"/>
    <row ht="15.75" customHeight="1" r="707" x14ac:dyDescent="0.3"/>
    <row ht="15.75" customHeight="1" r="708" x14ac:dyDescent="0.3"/>
    <row ht="15.75" customHeight="1" r="709" x14ac:dyDescent="0.3"/>
    <row ht="15.75" customHeight="1" r="710" x14ac:dyDescent="0.3"/>
    <row ht="15.75" customHeight="1" r="711" x14ac:dyDescent="0.3"/>
    <row ht="15.75" customHeight="1" r="712" x14ac:dyDescent="0.3"/>
    <row ht="15.75" customHeight="1" r="713" x14ac:dyDescent="0.3"/>
    <row ht="15.75" customHeight="1" r="714" x14ac:dyDescent="0.3"/>
    <row ht="15.75" customHeight="1" r="715" x14ac:dyDescent="0.3"/>
    <row ht="15.75" customHeight="1" r="716" x14ac:dyDescent="0.3"/>
    <row ht="15.75" customHeight="1" r="717" x14ac:dyDescent="0.3"/>
    <row ht="15.75" customHeight="1" r="718" x14ac:dyDescent="0.3"/>
    <row ht="15.75" customHeight="1" r="719" x14ac:dyDescent="0.3"/>
    <row ht="15.75" customHeight="1" r="720" x14ac:dyDescent="0.3"/>
    <row ht="15.75" customHeight="1" r="721" x14ac:dyDescent="0.3"/>
    <row ht="15.75" customHeight="1" r="722" x14ac:dyDescent="0.3"/>
    <row ht="15.75" customHeight="1" r="723" x14ac:dyDescent="0.3"/>
    <row ht="15.75" customHeight="1" r="724" x14ac:dyDescent="0.3"/>
    <row ht="15.75" customHeight="1" r="725" x14ac:dyDescent="0.3"/>
    <row ht="15.75" customHeight="1" r="726" x14ac:dyDescent="0.3"/>
    <row ht="15.75" customHeight="1" r="727" x14ac:dyDescent="0.3"/>
    <row ht="15.75" customHeight="1" r="728" x14ac:dyDescent="0.3"/>
    <row ht="15.75" customHeight="1" r="729" x14ac:dyDescent="0.3"/>
    <row ht="15.75" customHeight="1" r="730" x14ac:dyDescent="0.3"/>
    <row ht="15.75" customHeight="1" r="731" x14ac:dyDescent="0.3"/>
    <row ht="15.75" customHeight="1" r="732" x14ac:dyDescent="0.3"/>
    <row ht="15.75" customHeight="1" r="733" x14ac:dyDescent="0.3"/>
    <row ht="15.75" customHeight="1" r="734" x14ac:dyDescent="0.3"/>
    <row ht="15.75" customHeight="1" r="735" x14ac:dyDescent="0.3"/>
    <row ht="15.75" customHeight="1" r="736" x14ac:dyDescent="0.3"/>
    <row ht="15.75" customHeight="1" r="737" x14ac:dyDescent="0.3"/>
    <row ht="15.75" customHeight="1" r="738" x14ac:dyDescent="0.3"/>
    <row ht="15.75" customHeight="1" r="739" x14ac:dyDescent="0.3"/>
    <row ht="15.75" customHeight="1" r="740" x14ac:dyDescent="0.3"/>
    <row ht="15.75" customHeight="1" r="741" x14ac:dyDescent="0.3"/>
    <row ht="15.75" customHeight="1" r="742" x14ac:dyDescent="0.3"/>
    <row ht="15.75" customHeight="1" r="743" x14ac:dyDescent="0.3"/>
    <row ht="15.75" customHeight="1" r="744" x14ac:dyDescent="0.3"/>
    <row ht="15.75" customHeight="1" r="745" x14ac:dyDescent="0.3"/>
    <row ht="15.75" customHeight="1" r="746" x14ac:dyDescent="0.3"/>
    <row ht="15.75" customHeight="1" r="747" x14ac:dyDescent="0.3"/>
    <row ht="15.75" customHeight="1" r="748" x14ac:dyDescent="0.3"/>
    <row ht="15.75" customHeight="1" r="749" x14ac:dyDescent="0.3"/>
    <row ht="15.75" customHeight="1" r="750" x14ac:dyDescent="0.3"/>
    <row ht="15.75" customHeight="1" r="751" x14ac:dyDescent="0.3"/>
    <row ht="15.75" customHeight="1" r="752" x14ac:dyDescent="0.3"/>
    <row ht="15.75" customHeight="1" r="753" x14ac:dyDescent="0.3"/>
    <row ht="15.75" customHeight="1" r="754" x14ac:dyDescent="0.3"/>
    <row ht="15.75" customHeight="1" r="755" x14ac:dyDescent="0.3"/>
    <row ht="15.75" customHeight="1" r="756" x14ac:dyDescent="0.3"/>
    <row ht="15.75" customHeight="1" r="757" x14ac:dyDescent="0.3"/>
    <row ht="15.75" customHeight="1" r="758" x14ac:dyDescent="0.3"/>
    <row ht="15.75" customHeight="1" r="759" x14ac:dyDescent="0.3"/>
    <row ht="15.75" customHeight="1" r="760" x14ac:dyDescent="0.3"/>
    <row ht="15.75" customHeight="1" r="761" x14ac:dyDescent="0.3"/>
    <row ht="15.75" customHeight="1" r="762" x14ac:dyDescent="0.3"/>
    <row ht="15.75" customHeight="1" r="763" x14ac:dyDescent="0.3"/>
    <row ht="15.75" customHeight="1" r="764" x14ac:dyDescent="0.3"/>
    <row ht="15.75" customHeight="1" r="765" x14ac:dyDescent="0.3"/>
    <row ht="15.75" customHeight="1" r="766" x14ac:dyDescent="0.3"/>
    <row ht="15.75" customHeight="1" r="767" x14ac:dyDescent="0.3"/>
    <row ht="15.75" customHeight="1" r="768" x14ac:dyDescent="0.3"/>
    <row ht="15.75" customHeight="1" r="769" x14ac:dyDescent="0.3"/>
    <row ht="15.75" customHeight="1" r="770" x14ac:dyDescent="0.3"/>
    <row ht="15.75" customHeight="1" r="771" x14ac:dyDescent="0.3"/>
    <row ht="15.75" customHeight="1" r="772" x14ac:dyDescent="0.3"/>
    <row ht="15.75" customHeight="1" r="773" x14ac:dyDescent="0.3"/>
    <row ht="15.75" customHeight="1" r="774" x14ac:dyDescent="0.3"/>
    <row ht="15.75" customHeight="1" r="775" x14ac:dyDescent="0.3"/>
    <row ht="15.75" customHeight="1" r="776" x14ac:dyDescent="0.3"/>
    <row ht="15.75" customHeight="1" r="777" x14ac:dyDescent="0.3"/>
    <row ht="15.75" customHeight="1" r="778" x14ac:dyDescent="0.3"/>
    <row ht="15.75" customHeight="1" r="779" x14ac:dyDescent="0.3"/>
    <row ht="15.75" customHeight="1" r="780" x14ac:dyDescent="0.3"/>
    <row ht="15.75" customHeight="1" r="781" x14ac:dyDescent="0.3"/>
    <row ht="15.75" customHeight="1" r="782" x14ac:dyDescent="0.3"/>
    <row ht="15.75" customHeight="1" r="783" x14ac:dyDescent="0.3"/>
    <row ht="15.75" customHeight="1" r="784" x14ac:dyDescent="0.3"/>
    <row ht="15.75" customHeight="1" r="785" x14ac:dyDescent="0.3"/>
    <row ht="15.75" customHeight="1" r="786" x14ac:dyDescent="0.3"/>
    <row ht="15.75" customHeight="1" r="787" x14ac:dyDescent="0.3"/>
    <row ht="15.75" customHeight="1" r="788" x14ac:dyDescent="0.3"/>
    <row ht="15.75" customHeight="1" r="789" x14ac:dyDescent="0.3"/>
    <row ht="15.75" customHeight="1" r="790" x14ac:dyDescent="0.3"/>
    <row ht="15.75" customHeight="1" r="791" x14ac:dyDescent="0.3"/>
    <row ht="15.75" customHeight="1" r="792" x14ac:dyDescent="0.3"/>
    <row ht="15.75" customHeight="1" r="793" x14ac:dyDescent="0.3"/>
    <row ht="15.75" customHeight="1" r="794" x14ac:dyDescent="0.3"/>
    <row ht="15.75" customHeight="1" r="795" x14ac:dyDescent="0.3"/>
    <row ht="15.75" customHeight="1" r="796" x14ac:dyDescent="0.3"/>
    <row ht="15.75" customHeight="1" r="797" x14ac:dyDescent="0.3"/>
    <row ht="15.75" customHeight="1" r="798" x14ac:dyDescent="0.3"/>
    <row ht="15.75" customHeight="1" r="799" x14ac:dyDescent="0.3"/>
    <row ht="15.75" customHeight="1" r="800" x14ac:dyDescent="0.3"/>
    <row ht="15.75" customHeight="1" r="801" x14ac:dyDescent="0.3"/>
    <row ht="15.75" customHeight="1" r="802" x14ac:dyDescent="0.3"/>
    <row ht="15.75" customHeight="1" r="803" x14ac:dyDescent="0.3"/>
    <row ht="15.75" customHeight="1" r="804" x14ac:dyDescent="0.3"/>
    <row ht="15.75" customHeight="1" r="805" x14ac:dyDescent="0.3"/>
    <row ht="15.75" customHeight="1" r="806" x14ac:dyDescent="0.3"/>
    <row ht="15.75" customHeight="1" r="807" x14ac:dyDescent="0.3"/>
    <row ht="15.75" customHeight="1" r="808" x14ac:dyDescent="0.3"/>
    <row ht="15.75" customHeight="1" r="809" x14ac:dyDescent="0.3"/>
    <row ht="15.75" customHeight="1" r="810" x14ac:dyDescent="0.3"/>
    <row ht="15.75" customHeight="1" r="811" x14ac:dyDescent="0.3"/>
    <row ht="15.75" customHeight="1" r="812" x14ac:dyDescent="0.3"/>
    <row ht="15.75" customHeight="1" r="813" x14ac:dyDescent="0.3"/>
    <row ht="15.75" customHeight="1" r="814" x14ac:dyDescent="0.3"/>
    <row ht="15.75" customHeight="1" r="815" x14ac:dyDescent="0.3"/>
    <row ht="15.75" customHeight="1" r="816" x14ac:dyDescent="0.3"/>
    <row ht="15.75" customHeight="1" r="817" x14ac:dyDescent="0.3"/>
    <row ht="15.75" customHeight="1" r="818" x14ac:dyDescent="0.3"/>
    <row ht="15.75" customHeight="1" r="819" x14ac:dyDescent="0.3"/>
    <row ht="15.75" customHeight="1" r="820" x14ac:dyDescent="0.3"/>
    <row ht="15.75" customHeight="1" r="821" x14ac:dyDescent="0.3"/>
    <row ht="15.75" customHeight="1" r="822" x14ac:dyDescent="0.3"/>
    <row ht="15.75" customHeight="1" r="823" x14ac:dyDescent="0.3"/>
    <row ht="15.75" customHeight="1" r="824" x14ac:dyDescent="0.3"/>
    <row ht="15.75" customHeight="1" r="825" x14ac:dyDescent="0.3"/>
    <row ht="15.75" customHeight="1" r="826" x14ac:dyDescent="0.3"/>
    <row ht="15.75" customHeight="1" r="827" x14ac:dyDescent="0.3"/>
    <row ht="15.75" customHeight="1" r="828" x14ac:dyDescent="0.3"/>
    <row ht="15.75" customHeight="1" r="829" x14ac:dyDescent="0.3"/>
    <row ht="15.75" customHeight="1" r="830" x14ac:dyDescent="0.3"/>
    <row ht="15.75" customHeight="1" r="831" x14ac:dyDescent="0.3"/>
    <row ht="15.75" customHeight="1" r="832" x14ac:dyDescent="0.3"/>
    <row ht="15.75" customHeight="1" r="833" x14ac:dyDescent="0.3"/>
    <row ht="15.75" customHeight="1" r="834" x14ac:dyDescent="0.3"/>
    <row ht="15.75" customHeight="1" r="835" x14ac:dyDescent="0.3"/>
    <row ht="15.75" customHeight="1" r="836" x14ac:dyDescent="0.3"/>
    <row ht="15.75" customHeight="1" r="837" x14ac:dyDescent="0.3"/>
    <row ht="15.75" customHeight="1" r="838" x14ac:dyDescent="0.3"/>
    <row ht="15.75" customHeight="1" r="839" x14ac:dyDescent="0.3"/>
    <row ht="15.75" customHeight="1" r="840" x14ac:dyDescent="0.3"/>
    <row ht="15.75" customHeight="1" r="841" x14ac:dyDescent="0.3"/>
    <row ht="15.75" customHeight="1" r="842" x14ac:dyDescent="0.3"/>
    <row ht="15.75" customHeight="1" r="843" x14ac:dyDescent="0.3"/>
    <row ht="15.75" customHeight="1" r="844" x14ac:dyDescent="0.3"/>
    <row ht="15.75" customHeight="1" r="845" x14ac:dyDescent="0.3"/>
    <row ht="15.75" customHeight="1" r="846" x14ac:dyDescent="0.3"/>
    <row ht="15.75" customHeight="1" r="847" x14ac:dyDescent="0.3"/>
    <row ht="15.75" customHeight="1" r="848" x14ac:dyDescent="0.3"/>
    <row ht="15.75" customHeight="1" r="849" x14ac:dyDescent="0.3"/>
    <row ht="15.75" customHeight="1" r="850" x14ac:dyDescent="0.3"/>
    <row ht="15.75" customHeight="1" r="851" x14ac:dyDescent="0.3"/>
    <row ht="15.75" customHeight="1" r="852" x14ac:dyDescent="0.3"/>
    <row ht="15.75" customHeight="1" r="853" x14ac:dyDescent="0.3"/>
    <row ht="15.75" customHeight="1" r="854" x14ac:dyDescent="0.3"/>
    <row ht="15.75" customHeight="1" r="855" x14ac:dyDescent="0.3"/>
    <row ht="15.75" customHeight="1" r="856" x14ac:dyDescent="0.3"/>
    <row ht="15.75" customHeight="1" r="857" x14ac:dyDescent="0.3"/>
    <row ht="15.75" customHeight="1" r="858" x14ac:dyDescent="0.3"/>
    <row ht="15.75" customHeight="1" r="859" x14ac:dyDescent="0.3"/>
    <row ht="15.75" customHeight="1" r="860" x14ac:dyDescent="0.3"/>
    <row ht="15.75" customHeight="1" r="861" x14ac:dyDescent="0.3"/>
    <row ht="15.75" customHeight="1" r="862" x14ac:dyDescent="0.3"/>
    <row ht="15.75" customHeight="1" r="863" x14ac:dyDescent="0.3"/>
    <row ht="15.75" customHeight="1" r="864" x14ac:dyDescent="0.3"/>
    <row ht="15.75" customHeight="1" r="865" x14ac:dyDescent="0.3"/>
    <row ht="15.75" customHeight="1" r="866" x14ac:dyDescent="0.3"/>
    <row ht="15.75" customHeight="1" r="867" x14ac:dyDescent="0.3"/>
    <row ht="15.75" customHeight="1" r="868" x14ac:dyDescent="0.3"/>
    <row ht="15.75" customHeight="1" r="869" x14ac:dyDescent="0.3"/>
    <row ht="15.75" customHeight="1" r="870" x14ac:dyDescent="0.3"/>
    <row ht="15.75" customHeight="1" r="871" x14ac:dyDescent="0.3"/>
    <row ht="15.75" customHeight="1" r="872" x14ac:dyDescent="0.3"/>
    <row ht="15.75" customHeight="1" r="873" x14ac:dyDescent="0.3"/>
    <row ht="15.75" customHeight="1" r="874" x14ac:dyDescent="0.3"/>
    <row ht="15.75" customHeight="1" r="875" x14ac:dyDescent="0.3"/>
    <row ht="15.75" customHeight="1" r="876" x14ac:dyDescent="0.3"/>
    <row ht="15.75" customHeight="1" r="877" x14ac:dyDescent="0.3"/>
    <row ht="15.75" customHeight="1" r="878" x14ac:dyDescent="0.3"/>
    <row ht="15.75" customHeight="1" r="879" x14ac:dyDescent="0.3"/>
    <row ht="15.75" customHeight="1" r="880" x14ac:dyDescent="0.3"/>
    <row ht="15.75" customHeight="1" r="881" x14ac:dyDescent="0.3"/>
    <row ht="15.75" customHeight="1" r="882" x14ac:dyDescent="0.3"/>
    <row ht="15.75" customHeight="1" r="883" x14ac:dyDescent="0.3"/>
    <row ht="15.75" customHeight="1" r="884" x14ac:dyDescent="0.3"/>
    <row ht="15.75" customHeight="1" r="885" x14ac:dyDescent="0.3"/>
    <row ht="15.75" customHeight="1" r="886" x14ac:dyDescent="0.3"/>
    <row ht="15.75" customHeight="1" r="887" x14ac:dyDescent="0.3"/>
    <row ht="15.75" customHeight="1" r="888" x14ac:dyDescent="0.3"/>
    <row ht="15.75" customHeight="1" r="889" x14ac:dyDescent="0.3"/>
    <row ht="15.75" customHeight="1" r="890" x14ac:dyDescent="0.3"/>
    <row ht="15.75" customHeight="1" r="891" x14ac:dyDescent="0.3"/>
    <row ht="15.75" customHeight="1" r="892" x14ac:dyDescent="0.3"/>
    <row ht="15.75" customHeight="1" r="893" x14ac:dyDescent="0.3"/>
    <row ht="15.75" customHeight="1" r="894" x14ac:dyDescent="0.3"/>
    <row ht="15.75" customHeight="1" r="895" x14ac:dyDescent="0.3"/>
    <row ht="15.75" customHeight="1" r="896" x14ac:dyDescent="0.3"/>
    <row ht="15.75" customHeight="1" r="897" x14ac:dyDescent="0.3"/>
    <row ht="15.75" customHeight="1" r="898" x14ac:dyDescent="0.3"/>
    <row ht="15.75" customHeight="1" r="899" x14ac:dyDescent="0.3"/>
    <row ht="15.75" customHeight="1" r="900" x14ac:dyDescent="0.3"/>
    <row ht="15.75" customHeight="1" r="901" x14ac:dyDescent="0.3"/>
    <row ht="15.75" customHeight="1" r="902" x14ac:dyDescent="0.3"/>
    <row ht="15.75" customHeight="1" r="903" x14ac:dyDescent="0.3"/>
    <row ht="15.75" customHeight="1" r="904" x14ac:dyDescent="0.3"/>
    <row ht="15.75" customHeight="1" r="905" x14ac:dyDescent="0.3"/>
    <row ht="15.75" customHeight="1" r="906" x14ac:dyDescent="0.3"/>
    <row ht="15.75" customHeight="1" r="907" x14ac:dyDescent="0.3"/>
    <row ht="15.75" customHeight="1" r="908" x14ac:dyDescent="0.3"/>
    <row ht="15.75" customHeight="1" r="909" x14ac:dyDescent="0.3"/>
    <row ht="15.75" customHeight="1" r="910" x14ac:dyDescent="0.3"/>
    <row ht="15.75" customHeight="1" r="911" x14ac:dyDescent="0.3"/>
    <row ht="15.75" customHeight="1" r="912" x14ac:dyDescent="0.3"/>
    <row ht="15.75" customHeight="1" r="913" x14ac:dyDescent="0.3"/>
    <row ht="15.75" customHeight="1" r="914" x14ac:dyDescent="0.3"/>
    <row ht="15.75" customHeight="1" r="915" x14ac:dyDescent="0.3"/>
    <row ht="15.75" customHeight="1" r="916" x14ac:dyDescent="0.3"/>
    <row ht="15.75" customHeight="1" r="917" x14ac:dyDescent="0.3"/>
    <row ht="15.75" customHeight="1" r="918" x14ac:dyDescent="0.3"/>
    <row ht="15.75" customHeight="1" r="919" x14ac:dyDescent="0.3"/>
    <row ht="15.75" customHeight="1" r="920" x14ac:dyDescent="0.3"/>
    <row ht="15.75" customHeight="1" r="921" x14ac:dyDescent="0.3"/>
    <row ht="15.75" customHeight="1" r="922" x14ac:dyDescent="0.3"/>
    <row ht="15.75" customHeight="1" r="923" x14ac:dyDescent="0.3"/>
    <row ht="15.75" customHeight="1" r="924" x14ac:dyDescent="0.3"/>
    <row ht="15.75" customHeight="1" r="925" x14ac:dyDescent="0.3"/>
    <row ht="15.75" customHeight="1" r="926" x14ac:dyDescent="0.3"/>
    <row ht="15.75" customHeight="1" r="927" x14ac:dyDescent="0.3"/>
    <row ht="15.75" customHeight="1" r="928" x14ac:dyDescent="0.3"/>
    <row ht="15.75" customHeight="1" r="929" x14ac:dyDescent="0.3"/>
    <row ht="15.75" customHeight="1" r="930" x14ac:dyDescent="0.3"/>
    <row ht="15.75" customHeight="1" r="931" x14ac:dyDescent="0.3"/>
    <row ht="15.75" customHeight="1" r="932" x14ac:dyDescent="0.3"/>
    <row ht="15.75" customHeight="1" r="933" x14ac:dyDescent="0.3"/>
    <row ht="15.75" customHeight="1" r="934" x14ac:dyDescent="0.3"/>
    <row ht="15.75" customHeight="1" r="935" x14ac:dyDescent="0.3"/>
    <row ht="15.75" customHeight="1" r="936" x14ac:dyDescent="0.3"/>
    <row ht="15.75" customHeight="1" r="937" x14ac:dyDescent="0.3"/>
    <row ht="15.75" customHeight="1" r="938" x14ac:dyDescent="0.3"/>
    <row ht="15.75" customHeight="1" r="939" x14ac:dyDescent="0.3"/>
    <row ht="15.75" customHeight="1" r="940" x14ac:dyDescent="0.3"/>
    <row ht="15.75" customHeight="1" r="941" x14ac:dyDescent="0.3"/>
    <row ht="15.75" customHeight="1" r="942" x14ac:dyDescent="0.3"/>
    <row ht="15.75" customHeight="1" r="943" x14ac:dyDescent="0.3"/>
    <row ht="15.75" customHeight="1" r="944" x14ac:dyDescent="0.3"/>
    <row ht="15.75" customHeight="1" r="945" x14ac:dyDescent="0.3"/>
    <row ht="15.75" customHeight="1" r="946" x14ac:dyDescent="0.3"/>
    <row ht="15.75" customHeight="1" r="947" x14ac:dyDescent="0.3"/>
    <row ht="15.75" customHeight="1" r="948" x14ac:dyDescent="0.3"/>
    <row ht="15.75" customHeight="1" r="949" x14ac:dyDescent="0.3"/>
    <row ht="15.75" customHeight="1" r="950" x14ac:dyDescent="0.3"/>
    <row ht="15.75" customHeight="1" r="951" x14ac:dyDescent="0.3"/>
    <row ht="15.75" customHeight="1" r="952" x14ac:dyDescent="0.3"/>
    <row ht="15.75" customHeight="1" r="953" x14ac:dyDescent="0.3"/>
    <row ht="15.75" customHeight="1" r="954" x14ac:dyDescent="0.3"/>
    <row ht="15.75" customHeight="1" r="955" x14ac:dyDescent="0.3"/>
    <row ht="15.75" customHeight="1" r="956" x14ac:dyDescent="0.3"/>
    <row ht="15.75" customHeight="1" r="957" x14ac:dyDescent="0.3"/>
    <row ht="15.75" customHeight="1" r="958" x14ac:dyDescent="0.3"/>
    <row ht="15.75" customHeight="1" r="959" x14ac:dyDescent="0.3"/>
    <row ht="15.75" customHeight="1" r="960" x14ac:dyDescent="0.3"/>
    <row ht="15.75" customHeight="1" r="961" x14ac:dyDescent="0.3"/>
    <row ht="15.75" customHeight="1" r="962" x14ac:dyDescent="0.3"/>
    <row ht="15.75" customHeight="1" r="963" x14ac:dyDescent="0.3"/>
    <row ht="15.75" customHeight="1" r="964" x14ac:dyDescent="0.3"/>
    <row ht="15.75" customHeight="1" r="965" x14ac:dyDescent="0.3"/>
    <row ht="15.75" customHeight="1" r="966" x14ac:dyDescent="0.3"/>
    <row ht="15.75" customHeight="1" r="967" x14ac:dyDescent="0.3"/>
    <row ht="15.75" customHeight="1" r="968" x14ac:dyDescent="0.3"/>
    <row ht="15.75" customHeight="1" r="969" x14ac:dyDescent="0.3"/>
    <row ht="15.75" customHeight="1" r="970" x14ac:dyDescent="0.3"/>
    <row ht="15.75" customHeight="1" r="971" x14ac:dyDescent="0.3"/>
    <row ht="15.75" customHeight="1" r="972" x14ac:dyDescent="0.3"/>
    <row ht="15.75" customHeight="1" r="973" x14ac:dyDescent="0.3"/>
    <row ht="15.75" customHeight="1" r="974" x14ac:dyDescent="0.3"/>
    <row ht="15.75" customHeight="1" r="975" x14ac:dyDescent="0.3"/>
    <row ht="15.75" customHeight="1" r="976" x14ac:dyDescent="0.3"/>
    <row ht="15.75" customHeight="1" r="977" x14ac:dyDescent="0.3"/>
    <row ht="15.75" customHeight="1" r="978" x14ac:dyDescent="0.3"/>
    <row ht="15.75" customHeight="1" r="979" x14ac:dyDescent="0.3"/>
    <row ht="15.75" customHeight="1" r="980" x14ac:dyDescent="0.3"/>
    <row ht="15.75" customHeight="1" r="981" x14ac:dyDescent="0.3"/>
    <row ht="15.75" customHeight="1" r="982" x14ac:dyDescent="0.3"/>
    <row ht="15.75" customHeight="1" r="983" x14ac:dyDescent="0.3"/>
    <row ht="15.75" customHeight="1" r="984" x14ac:dyDescent="0.3"/>
    <row ht="15.75" customHeight="1" r="985" x14ac:dyDescent="0.3"/>
    <row ht="15.75" customHeight="1" r="986" x14ac:dyDescent="0.3"/>
    <row ht="15.75" customHeight="1" r="987" x14ac:dyDescent="0.3"/>
    <row ht="15.75" customHeight="1" r="988" x14ac:dyDescent="0.3"/>
    <row ht="15.75" customHeight="1" r="989" x14ac:dyDescent="0.3"/>
    <row ht="15.75" customHeight="1" r="990" x14ac:dyDescent="0.3"/>
    <row ht="15.75" customHeight="1" r="991" x14ac:dyDescent="0.3"/>
    <row ht="15.75" customHeight="1" r="992" x14ac:dyDescent="0.3"/>
    <row ht="15.75" customHeight="1" r="993" x14ac:dyDescent="0.3"/>
    <row ht="15.75" customHeight="1" r="994" x14ac:dyDescent="0.3"/>
    <row ht="15.75" customHeight="1" r="995" x14ac:dyDescent="0.3"/>
    <row ht="15.75" customHeight="1" r="996" x14ac:dyDescent="0.3"/>
    <row ht="15.75" customHeight="1" r="997" x14ac:dyDescent="0.3"/>
    <row ht="15.75" customHeight="1" r="998" x14ac:dyDescent="0.3"/>
    <row ht="15.75" customHeight="1" r="999" x14ac:dyDescent="0.3"/>
    <row ht="15.75" customHeight="1" r="1000" x14ac:dyDescent="0.3"/>
  </sheetData>
  <sheetProtection sheet="1" objects="1" scenarios="1"/>
  <protectedRanges>
    <protectedRange sqref="C9:C28" name="Range4"/>
    <protectedRange sqref="D8:Q8" name="Range3"/>
    <protectedRange sqref="C5" name="Range2"/>
    <protectedRange sqref="C4:F4" name="Range1"/>
  </protectedRanges>
  <mergeCells count="10">
    <mergeCell ref="A6:B6"/>
    <mergeCell ref="A8:C8"/>
    <mergeCell ref="R8:AF8"/>
    <mergeCell ref="A1:B1"/>
    <mergeCell ref="A2:B2"/>
    <mergeCell ref="A3:B3"/>
    <mergeCell ref="A4:B4"/>
    <mergeCell ref="C4:F4"/>
    <mergeCell ref="A5:B5"/>
    <mergeCell ref="C5:D5"/>
  </mergeCells>
  <dataValidations count="2">
    <dataValidation type="decimal" allowBlank="1" showInputMessage="1" showErrorMessage="1" prompt="Only numeric values over $0 may be entered." sqref="C9:C28">
      <formula1>0.01</formula1>
      <formula2>9999999</formula2>
    </dataValidation>
    <dataValidation type="decimal" allowBlank="1" showInputMessage="1" showErrorMessage="1" prompt="Only numeric values may be entered." sqref="D8:Q8">
      <formula1>0</formula1>
      <formula2>9999999</formula2>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Cost-Price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ValerieBAtes</cp:lastModifiedBy>
  <dcterms:modified xsi:type="dcterms:W3CDTF">2026-01-09T22:44:16Z</dcterms:modified>
</cp:coreProperties>
</file>