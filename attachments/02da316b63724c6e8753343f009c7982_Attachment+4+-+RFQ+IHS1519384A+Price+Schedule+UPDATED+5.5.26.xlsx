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zamorano\Downloads\"/>
    </mc:Choice>
  </mc:AlternateContent>
  <xr:revisionPtr revIDLastSave="0" documentId="13_ncr:1_{9D07EE0D-8585-485E-9840-584E38CE9A8D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Attachment A - Cost Schedule" sheetId="1" r:id="rId1"/>
  </sheets>
  <definedNames>
    <definedName name="_xlnm.Print_Titles" localSheetId="0">'Attachment A - Cost Schedule'!#REF!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  <c r="L14" i="1"/>
  <c r="M14" i="1"/>
  <c r="N14" i="1"/>
  <c r="O14" i="1"/>
  <c r="K15" i="1"/>
  <c r="L15" i="1"/>
  <c r="M15" i="1"/>
  <c r="N15" i="1"/>
  <c r="O15" i="1"/>
  <c r="K16" i="1"/>
  <c r="L16" i="1"/>
  <c r="M16" i="1"/>
  <c r="N16" i="1"/>
  <c r="O16" i="1"/>
  <c r="K17" i="1"/>
  <c r="L17" i="1"/>
  <c r="M17" i="1"/>
  <c r="N17" i="1"/>
  <c r="O17" i="1"/>
  <c r="K18" i="1"/>
  <c r="L18" i="1"/>
  <c r="M18" i="1"/>
  <c r="N18" i="1"/>
  <c r="O18" i="1"/>
  <c r="K19" i="1"/>
  <c r="L19" i="1"/>
  <c r="M19" i="1"/>
  <c r="N19" i="1"/>
  <c r="O19" i="1"/>
  <c r="K20" i="1"/>
  <c r="L20" i="1"/>
  <c r="M20" i="1"/>
  <c r="N20" i="1"/>
  <c r="O20" i="1"/>
  <c r="K21" i="1"/>
  <c r="L21" i="1"/>
  <c r="M21" i="1"/>
  <c r="N21" i="1"/>
  <c r="O21" i="1"/>
  <c r="K22" i="1"/>
  <c r="L22" i="1"/>
  <c r="M22" i="1"/>
  <c r="N22" i="1"/>
  <c r="O22" i="1"/>
  <c r="K23" i="1"/>
  <c r="L23" i="1"/>
  <c r="M23" i="1"/>
  <c r="N23" i="1"/>
  <c r="O23" i="1"/>
  <c r="K24" i="1"/>
  <c r="L24" i="1"/>
  <c r="M24" i="1"/>
  <c r="N24" i="1"/>
  <c r="O24" i="1"/>
  <c r="O13" i="1"/>
  <c r="N13" i="1"/>
  <c r="M13" i="1"/>
  <c r="L13" i="1"/>
  <c r="K13" i="1"/>
</calcChain>
</file>

<file path=xl/sharedStrings.xml><?xml version="1.0" encoding="utf-8"?>
<sst xmlns="http://schemas.openxmlformats.org/spreadsheetml/2006/main" count="59" uniqueCount="49">
  <si>
    <t>40PHX Phoenix Area IHS - Facilities</t>
  </si>
  <si>
    <t>Facility</t>
  </si>
  <si>
    <t>Address</t>
  </si>
  <si>
    <t>Estimated 
Device Quantity</t>
  </si>
  <si>
    <t>Phoenix Indian Medical Center (PIMC)</t>
  </si>
  <si>
    <t>4212 North 16th Street
Phoenix, Arizona 85016</t>
  </si>
  <si>
    <t>Hopi Health Care Center
(Keams Canyon Service Unit)</t>
  </si>
  <si>
    <t xml:space="preserve">Hwy 246 Mile Marker 388
Polacca, Arizona 86042
</t>
  </si>
  <si>
    <t>Whiteriver Indian Hospital
(Whiteriver Service Unit)</t>
  </si>
  <si>
    <t xml:space="preserve">200 W Hospital Dr
Whiteriver, Arizona 85941
</t>
  </si>
  <si>
    <t>Parker Indian Health Center
(Colorado River Service Unit)</t>
  </si>
  <si>
    <t>12033 Agency Road
Parker, Arizona 85344</t>
  </si>
  <si>
    <t>Fort Yuma Health Center</t>
  </si>
  <si>
    <t>401 Picacho Road
Winterhaven, California 92283</t>
  </si>
  <si>
    <t>Peach Springs Health Center</t>
  </si>
  <si>
    <t>943 Hualapai Way
Peach Springs, Arizona 86434</t>
  </si>
  <si>
    <t>Fort Duchesne PHS Indian Health Center
(U&amp;O Service Unit)</t>
  </si>
  <si>
    <t>6932 E 1400 S
Fort Duchesne, Utah 84026</t>
  </si>
  <si>
    <t>Southern Bands Health Center
(Elko Service Unit)</t>
  </si>
  <si>
    <t>515 Shoshone Circle
Elko, Nevada 89801</t>
  </si>
  <si>
    <t>Cibecue Health Center</t>
  </si>
  <si>
    <t>2 West 3rd Street
Show Low, AZ 85091</t>
  </si>
  <si>
    <t>Supai Clinic</t>
  </si>
  <si>
    <t>1 Main Street
Supai, AZ 86435</t>
  </si>
  <si>
    <t>Chemehuevi Clinic</t>
  </si>
  <si>
    <t>1970 Palo Verde Drive
Havasu Lake, California 92363</t>
  </si>
  <si>
    <t>Irene Benn Health Clinic (Moapa)</t>
  </si>
  <si>
    <t>#10 Lincoln Street
Moapa, Nevada 89025</t>
  </si>
  <si>
    <t>Base Year Cost</t>
  </si>
  <si>
    <t>Option Year 1 Cost</t>
  </si>
  <si>
    <t>Option Year 2 Cost</t>
  </si>
  <si>
    <t>Option Year 3 Cost</t>
  </si>
  <si>
    <t>Option Year 4 Cost</t>
  </si>
  <si>
    <t>Standard Hourly Rate</t>
  </si>
  <si>
    <t>Weekend/Overtime Hourly Rate</t>
  </si>
  <si>
    <t>Service Capability by Offeror
(Yes/No)</t>
  </si>
  <si>
    <t>Base Year Hourly Rate</t>
  </si>
  <si>
    <t>Option Year 1 Hourly Rate</t>
  </si>
  <si>
    <t>Option Year 2 Hourly Rate</t>
  </si>
  <si>
    <t>Preventative Maintenance Hourly Rate</t>
  </si>
  <si>
    <t>Total Preventative Maintenance Service Costs</t>
  </si>
  <si>
    <t>Attachment A – Cost Schedule - Quarterly Preventative Maintenance (PM) Services</t>
  </si>
  <si>
    <t>Quarterly Maintenance Service: Maintenance every three months, plus or minus 10 days</t>
  </si>
  <si>
    <t>Repair Costs</t>
  </si>
  <si>
    <t>Estimated 
Total PM Labor Time  (Hrs) - All Four (4) Quarters</t>
  </si>
  <si>
    <t>Repair Costs - Equipment Types</t>
  </si>
  <si>
    <t>Option Year 3 Hourly Rate</t>
  </si>
  <si>
    <t>Option Year 4 Hourly Rate</t>
  </si>
  <si>
    <t>Dental Equipment Repair Services including Dental Operatory Equipment, Sterilization Equipment, Dental Vacuum/Compressors, Water Management Systems, Handpiece Repair, and Software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</si>
</sst>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42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4" borderId="7" xfId="0" applyFont="1" applyFill="1" applyBorder="1"/>
    <xf numFmtId="0" fontId="2" fillId="4" borderId="7" xfId="0" applyFont="1" applyFill="1" applyBorder="1" applyAlignment="1">
      <alignment horizontal="center" wrapText="1"/>
    </xf>
    <xf numFmtId="0" fontId="3" fillId="2" borderId="0" xfId="0" applyFont="1" applyFill="1"/>
    <xf numFmtId="0" fontId="1" fillId="2" borderId="8" xfId="0" applyFont="1" applyFill="1" applyBorder="1"/>
    <xf numFmtId="0" fontId="1" fillId="2" borderId="8" xfId="0" applyFont="1" applyFill="1" applyBorder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3" fontId="1" fillId="2" borderId="0" xfId="0" applyNumberFormat="1" applyFont="1" applyFill="1" applyAlignment="1">
      <alignment horizontal="left"/>
    </xf>
    <xf numFmtId="0" fontId="2" fillId="4" borderId="8" xfId="0" applyFont="1" applyFill="1" applyBorder="1" applyAlignment="1">
      <alignment horizontal="center"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5" borderId="13" xfId="0" applyFont="1" applyFill="1" applyBorder="1"/>
    <xf numFmtId="0" fontId="2" fillId="4" borderId="7" xfId="0" applyFont="1" applyFill="1" applyBorder="1" applyAlignment="1">
      <alignment wrapText="1"/>
    </xf>
    <xf numFmtId="0" fontId="1" fillId="5" borderId="14" xfId="0" applyFont="1" applyFill="1" applyBorder="1"/>
    <xf numFmtId="164" fontId="1" fillId="2" borderId="8" xfId="0" applyNumberFormat="1" applyFont="1" applyFill="1" applyBorder="1"/>
    <xf numFmtId="0" fontId="4" fillId="3" borderId="1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44" fontId="3" fillId="0" borderId="0" xfId="1" applyFont="1" applyBorder="1"/>
    <xf numFmtId="44" fontId="1" fillId="2" borderId="8" xfId="0" applyNumberFormat="1" applyFont="1" applyFill="1" applyBorder="1"/>
    <xf numFmtId="44" fontId="1" fillId="2" borderId="8" xfId="1" applyFont="1" applyFill="1" applyBorder="1"/>
    <xf numFmtId="0" fontId="3" fillId="3" borderId="6" xfId="0" applyFont="1" applyFill="1" applyBorder="1" applyAlignment="1">
      <alignment horizontal="left" wrapText="1"/>
    </xf>
    <xf numFmtId="0" fontId="4" fillId="3" borderId="9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0" xfId="0" applyFont="1" applyFill="1" applyBorder="1" applyAlignment="1">
      <alignment horizontal="left"/>
    </xf>
    <xf numFmtId="0" fontId="1" fillId="2" borderId="8" xfId="0" applyFont="1" applyFill="1" applyBorder="1" applyAlignment="1">
      <alignment vertical="top" wrapText="1"/>
    </xf>
    <xf numFmtId="0" fontId="2" fillId="5" borderId="1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581905</xdr:colOff>
      <xdr:row>7</xdr:row>
      <xdr:rowOff>142214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36859" cy="147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0"/>
  <sheetViews>
    <sheetView tabSelected="1" topLeftCell="A10" zoomScale="70" zoomScaleNormal="70" workbookViewId="0">
      <selection activeCell="C18" sqref="C18"/>
    </sheetView>
  </sheetViews>
  <sheetFormatPr defaultRowHeight="15" x14ac:dyDescent="0.25"/>
  <cols>
    <col min="1" max="1" width="63.85546875" style="16" customWidth="1"/>
    <col min="2" max="2" width="36.7109375" style="16" customWidth="1"/>
    <col min="3" max="3" width="44.85546875" style="17" customWidth="1"/>
    <col min="4" max="4" width="21.28515625" style="2" customWidth="1"/>
    <col min="5" max="5" width="18.5703125" style="2" customWidth="1"/>
    <col min="6" max="6" width="17.7109375" style="16" customWidth="1"/>
    <col min="7" max="7" width="19.5703125" style="16" customWidth="1"/>
    <col min="8" max="9" width="17.85546875" style="16" customWidth="1"/>
    <col min="10" max="10" width="14.7109375" style="16" customWidth="1"/>
    <col min="11" max="11" width="15.28515625" style="16" customWidth="1"/>
    <col min="12" max="12" width="13.42578125" style="16" customWidth="1"/>
    <col min="13" max="13" width="13" style="16" customWidth="1"/>
    <col min="14" max="14" width="14.28515625" style="16" customWidth="1"/>
    <col min="15" max="15" width="15.42578125" style="16" customWidth="1"/>
    <col min="16" max="16384" width="9.140625" style="16"/>
  </cols>
  <sheetData>
    <row r="1" spans="1:15" s="1" customFormat="1" x14ac:dyDescent="0.25">
      <c r="D1" s="2"/>
      <c r="E1" s="2"/>
    </row>
    <row r="2" spans="1:15" s="1" customFormat="1" x14ac:dyDescent="0.25">
      <c r="D2" s="2"/>
      <c r="E2" s="2"/>
    </row>
    <row r="3" spans="1:15" s="1" customFormat="1" x14ac:dyDescent="0.25">
      <c r="D3" s="2"/>
      <c r="E3" s="2"/>
    </row>
    <row r="4" spans="1:15" s="1" customFormat="1" x14ac:dyDescent="0.25">
      <c r="D4" s="2"/>
      <c r="E4" s="2"/>
    </row>
    <row r="5" spans="1:15" s="1" customFormat="1" x14ac:dyDescent="0.25">
      <c r="D5" s="2"/>
      <c r="E5" s="2"/>
    </row>
    <row r="6" spans="1:15" s="1" customFormat="1" x14ac:dyDescent="0.25">
      <c r="D6" s="2"/>
      <c r="E6" s="2"/>
    </row>
    <row r="7" spans="1:15" s="1" customFormat="1" x14ac:dyDescent="0.25">
      <c r="D7" s="2"/>
      <c r="E7" s="2"/>
    </row>
    <row r="8" spans="1:15" s="1" customFormat="1" x14ac:dyDescent="0.25">
      <c r="D8" s="2"/>
      <c r="E8" s="2"/>
    </row>
    <row r="9" spans="1:15" s="1" customFormat="1" x14ac:dyDescent="0.25">
      <c r="A9" s="22" t="s">
        <v>41</v>
      </c>
      <c r="B9" s="3"/>
      <c r="C9" s="4"/>
      <c r="D9" s="39" t="s">
        <v>39</v>
      </c>
      <c r="E9" s="39"/>
      <c r="F9" s="39"/>
      <c r="G9" s="39"/>
      <c r="H9" s="39"/>
      <c r="I9" s="39"/>
      <c r="J9" s="40"/>
      <c r="K9" s="41" t="s">
        <v>40</v>
      </c>
      <c r="L9" s="41"/>
      <c r="M9" s="41"/>
      <c r="N9" s="41"/>
      <c r="O9" s="41"/>
    </row>
    <row r="10" spans="1:15" s="1" customFormat="1" x14ac:dyDescent="0.25">
      <c r="A10" s="30" t="s">
        <v>42</v>
      </c>
      <c r="B10" s="31"/>
      <c r="C10" s="32"/>
      <c r="D10" s="39"/>
      <c r="E10" s="39"/>
      <c r="F10" s="39"/>
      <c r="G10" s="39"/>
      <c r="H10" s="39"/>
      <c r="I10" s="39"/>
      <c r="J10" s="40"/>
      <c r="K10" s="41"/>
      <c r="L10" s="41"/>
      <c r="M10" s="41"/>
      <c r="N10" s="41"/>
      <c r="O10" s="41"/>
    </row>
    <row r="11" spans="1:15" s="1" customFormat="1" x14ac:dyDescent="0.25">
      <c r="A11" s="5" t="s">
        <v>0</v>
      </c>
      <c r="B11" s="6"/>
      <c r="C11" s="29"/>
      <c r="D11" s="39"/>
      <c r="E11" s="39"/>
      <c r="F11" s="39"/>
      <c r="G11" s="39"/>
      <c r="H11" s="39"/>
      <c r="I11" s="39"/>
      <c r="J11" s="40"/>
      <c r="K11" s="41"/>
      <c r="L11" s="41"/>
      <c r="M11" s="41"/>
      <c r="N11" s="41"/>
      <c r="O11" s="41"/>
    </row>
    <row r="12" spans="1:15" s="9" customFormat="1" ht="57.75" x14ac:dyDescent="0.25">
      <c r="A12" s="7" t="s">
        <v>1</v>
      </c>
      <c r="B12" s="7" t="s">
        <v>2</v>
      </c>
      <c r="C12" s="8" t="s">
        <v>3</v>
      </c>
      <c r="D12" s="8" t="s">
        <v>44</v>
      </c>
      <c r="E12" s="8" t="s">
        <v>36</v>
      </c>
      <c r="F12" s="8" t="s">
        <v>37</v>
      </c>
      <c r="G12" s="8" t="s">
        <v>38</v>
      </c>
      <c r="H12" s="8" t="s">
        <v>46</v>
      </c>
      <c r="I12" s="8" t="s">
        <v>47</v>
      </c>
      <c r="J12" s="40"/>
      <c r="K12" s="15" t="s">
        <v>28</v>
      </c>
      <c r="L12" s="15" t="s">
        <v>29</v>
      </c>
      <c r="M12" s="15" t="s">
        <v>30</v>
      </c>
      <c r="N12" s="15" t="s">
        <v>31</v>
      </c>
      <c r="O12" s="15" t="s">
        <v>32</v>
      </c>
    </row>
    <row r="13" spans="1:15" s="12" customFormat="1" ht="30" x14ac:dyDescent="0.25">
      <c r="A13" s="10" t="s">
        <v>4</v>
      </c>
      <c r="B13" s="11" t="s">
        <v>5</v>
      </c>
      <c r="C13" s="23">
        <v>324</v>
      </c>
      <c r="D13" s="23"/>
      <c r="E13" s="28"/>
      <c r="F13" s="28"/>
      <c r="G13" s="28"/>
      <c r="H13" s="28"/>
      <c r="I13" s="28"/>
      <c r="J13" s="40"/>
      <c r="K13" s="27">
        <f>D13*E13</f>
        <v>0</v>
      </c>
      <c r="L13" s="27">
        <f>D13*F13</f>
        <v>0</v>
      </c>
      <c r="M13" s="27">
        <f>G13*D13</f>
        <v>0</v>
      </c>
      <c r="N13" s="27">
        <f>H13*D13</f>
        <v>0</v>
      </c>
      <c r="O13" s="27">
        <f>D13*I13</f>
        <v>0</v>
      </c>
    </row>
    <row r="14" spans="1:15" s="12" customFormat="1" ht="45" x14ac:dyDescent="0.25">
      <c r="A14" s="11" t="s">
        <v>6</v>
      </c>
      <c r="B14" s="11" t="s">
        <v>7</v>
      </c>
      <c r="C14" s="23">
        <v>214</v>
      </c>
      <c r="D14" s="23"/>
      <c r="E14" s="28"/>
      <c r="F14" s="28"/>
      <c r="G14" s="28"/>
      <c r="H14" s="28"/>
      <c r="I14" s="28"/>
      <c r="J14" s="40"/>
      <c r="K14" s="27">
        <f t="shared" ref="K14:K24" si="0">D14*E14</f>
        <v>0</v>
      </c>
      <c r="L14" s="27">
        <f t="shared" ref="L14:L24" si="1">D14*F14</f>
        <v>0</v>
      </c>
      <c r="M14" s="27">
        <f t="shared" ref="M14:M24" si="2">G14*D14</f>
        <v>0</v>
      </c>
      <c r="N14" s="27">
        <f t="shared" ref="N14:N24" si="3">H14*D14</f>
        <v>0</v>
      </c>
      <c r="O14" s="27">
        <f t="shared" ref="O14:O24" si="4">D14*I14</f>
        <v>0</v>
      </c>
    </row>
    <row r="15" spans="1:15" s="12" customFormat="1" ht="45" x14ac:dyDescent="0.25">
      <c r="A15" s="11" t="s">
        <v>8</v>
      </c>
      <c r="B15" s="11" t="s">
        <v>9</v>
      </c>
      <c r="C15" s="23">
        <v>200</v>
      </c>
      <c r="D15" s="23"/>
      <c r="E15" s="28"/>
      <c r="F15" s="28"/>
      <c r="G15" s="28"/>
      <c r="H15" s="28"/>
      <c r="I15" s="28"/>
      <c r="J15" s="40"/>
      <c r="K15" s="27">
        <f t="shared" si="0"/>
        <v>0</v>
      </c>
      <c r="L15" s="27">
        <f t="shared" si="1"/>
        <v>0</v>
      </c>
      <c r="M15" s="27">
        <f t="shared" si="2"/>
        <v>0</v>
      </c>
      <c r="N15" s="27">
        <f t="shared" si="3"/>
        <v>0</v>
      </c>
      <c r="O15" s="27">
        <f t="shared" si="4"/>
        <v>0</v>
      </c>
    </row>
    <row r="16" spans="1:15" s="12" customFormat="1" ht="30" x14ac:dyDescent="0.25">
      <c r="A16" s="11" t="s">
        <v>10</v>
      </c>
      <c r="B16" s="11" t="s">
        <v>11</v>
      </c>
      <c r="C16" s="23">
        <v>159</v>
      </c>
      <c r="D16" s="23"/>
      <c r="E16" s="28"/>
      <c r="F16" s="28"/>
      <c r="G16" s="28"/>
      <c r="H16" s="28"/>
      <c r="I16" s="28"/>
      <c r="J16" s="40"/>
      <c r="K16" s="27">
        <f t="shared" si="0"/>
        <v>0</v>
      </c>
      <c r="L16" s="27">
        <f t="shared" si="1"/>
        <v>0</v>
      </c>
      <c r="M16" s="27">
        <f t="shared" si="2"/>
        <v>0</v>
      </c>
      <c r="N16" s="27">
        <f t="shared" si="3"/>
        <v>0</v>
      </c>
      <c r="O16" s="27">
        <f t="shared" si="4"/>
        <v>0</v>
      </c>
    </row>
    <row r="17" spans="1:15" s="12" customFormat="1" ht="30" x14ac:dyDescent="0.25">
      <c r="A17" s="10" t="s">
        <v>12</v>
      </c>
      <c r="B17" s="11" t="s">
        <v>13</v>
      </c>
      <c r="C17" s="23">
        <v>105</v>
      </c>
      <c r="D17" s="23"/>
      <c r="E17" s="28"/>
      <c r="F17" s="28"/>
      <c r="G17" s="28"/>
      <c r="H17" s="28"/>
      <c r="I17" s="28"/>
      <c r="J17" s="40"/>
      <c r="K17" s="27">
        <f t="shared" si="0"/>
        <v>0</v>
      </c>
      <c r="L17" s="27">
        <f t="shared" si="1"/>
        <v>0</v>
      </c>
      <c r="M17" s="27">
        <f t="shared" si="2"/>
        <v>0</v>
      </c>
      <c r="N17" s="27">
        <f t="shared" si="3"/>
        <v>0</v>
      </c>
      <c r="O17" s="27">
        <f t="shared" si="4"/>
        <v>0</v>
      </c>
    </row>
    <row r="18" spans="1:15" s="12" customFormat="1" ht="30" x14ac:dyDescent="0.25">
      <c r="A18" s="10" t="s">
        <v>14</v>
      </c>
      <c r="B18" s="11" t="s">
        <v>15</v>
      </c>
      <c r="C18" s="23">
        <v>55</v>
      </c>
      <c r="D18" s="23"/>
      <c r="E18" s="28"/>
      <c r="F18" s="28"/>
      <c r="G18" s="28"/>
      <c r="H18" s="28"/>
      <c r="I18" s="28"/>
      <c r="J18" s="40"/>
      <c r="K18" s="27">
        <f t="shared" si="0"/>
        <v>0</v>
      </c>
      <c r="L18" s="27">
        <f t="shared" si="1"/>
        <v>0</v>
      </c>
      <c r="M18" s="27">
        <f t="shared" si="2"/>
        <v>0</v>
      </c>
      <c r="N18" s="27">
        <f t="shared" si="3"/>
        <v>0</v>
      </c>
      <c r="O18" s="27">
        <f t="shared" si="4"/>
        <v>0</v>
      </c>
    </row>
    <row r="19" spans="1:15" s="12" customFormat="1" ht="30" x14ac:dyDescent="0.25">
      <c r="A19" s="11" t="s">
        <v>16</v>
      </c>
      <c r="B19" s="11" t="s">
        <v>17</v>
      </c>
      <c r="C19" s="23">
        <v>56</v>
      </c>
      <c r="D19" s="23"/>
      <c r="E19" s="28"/>
      <c r="F19" s="28"/>
      <c r="G19" s="28"/>
      <c r="H19" s="28"/>
      <c r="I19" s="28"/>
      <c r="J19" s="40"/>
      <c r="K19" s="27">
        <f t="shared" si="0"/>
        <v>0</v>
      </c>
      <c r="L19" s="27">
        <f t="shared" si="1"/>
        <v>0</v>
      </c>
      <c r="M19" s="27">
        <f t="shared" si="2"/>
        <v>0</v>
      </c>
      <c r="N19" s="27">
        <f t="shared" si="3"/>
        <v>0</v>
      </c>
      <c r="O19" s="27">
        <f t="shared" si="4"/>
        <v>0</v>
      </c>
    </row>
    <row r="20" spans="1:15" s="12" customFormat="1" ht="30" x14ac:dyDescent="0.25">
      <c r="A20" s="11" t="s">
        <v>18</v>
      </c>
      <c r="B20" s="11" t="s">
        <v>19</v>
      </c>
      <c r="C20" s="23">
        <v>36</v>
      </c>
      <c r="D20" s="23"/>
      <c r="E20" s="28"/>
      <c r="F20" s="28"/>
      <c r="G20" s="28"/>
      <c r="H20" s="28"/>
      <c r="I20" s="28"/>
      <c r="J20" s="40"/>
      <c r="K20" s="27">
        <f t="shared" si="0"/>
        <v>0</v>
      </c>
      <c r="L20" s="27">
        <f t="shared" si="1"/>
        <v>0</v>
      </c>
      <c r="M20" s="27">
        <f t="shared" si="2"/>
        <v>0</v>
      </c>
      <c r="N20" s="27">
        <f t="shared" si="3"/>
        <v>0</v>
      </c>
      <c r="O20" s="27">
        <f t="shared" si="4"/>
        <v>0</v>
      </c>
    </row>
    <row r="21" spans="1:15" s="12" customFormat="1" ht="30" x14ac:dyDescent="0.25">
      <c r="A21" s="10" t="s">
        <v>20</v>
      </c>
      <c r="B21" s="11" t="s">
        <v>21</v>
      </c>
      <c r="C21" s="23">
        <v>12</v>
      </c>
      <c r="D21" s="23"/>
      <c r="E21" s="28"/>
      <c r="F21" s="28"/>
      <c r="G21" s="28"/>
      <c r="H21" s="28"/>
      <c r="I21" s="28"/>
      <c r="J21" s="40"/>
      <c r="K21" s="27">
        <f t="shared" si="0"/>
        <v>0</v>
      </c>
      <c r="L21" s="27">
        <f t="shared" si="1"/>
        <v>0</v>
      </c>
      <c r="M21" s="27">
        <f t="shared" si="2"/>
        <v>0</v>
      </c>
      <c r="N21" s="27">
        <f t="shared" si="3"/>
        <v>0</v>
      </c>
      <c r="O21" s="27">
        <f t="shared" si="4"/>
        <v>0</v>
      </c>
    </row>
    <row r="22" spans="1:15" s="12" customFormat="1" ht="30" x14ac:dyDescent="0.25">
      <c r="A22" s="10" t="s">
        <v>22</v>
      </c>
      <c r="B22" s="11" t="s">
        <v>23</v>
      </c>
      <c r="C22" s="23">
        <v>31</v>
      </c>
      <c r="D22" s="23"/>
      <c r="E22" s="28"/>
      <c r="F22" s="28"/>
      <c r="G22" s="28"/>
      <c r="H22" s="28"/>
      <c r="I22" s="28"/>
      <c r="J22" s="40"/>
      <c r="K22" s="27">
        <f t="shared" si="0"/>
        <v>0</v>
      </c>
      <c r="L22" s="27">
        <f t="shared" si="1"/>
        <v>0</v>
      </c>
      <c r="M22" s="27">
        <f t="shared" si="2"/>
        <v>0</v>
      </c>
      <c r="N22" s="27">
        <f t="shared" si="3"/>
        <v>0</v>
      </c>
      <c r="O22" s="27">
        <f t="shared" si="4"/>
        <v>0</v>
      </c>
    </row>
    <row r="23" spans="1:15" s="12" customFormat="1" ht="30" x14ac:dyDescent="0.25">
      <c r="A23" s="10" t="s">
        <v>24</v>
      </c>
      <c r="B23" s="11" t="s">
        <v>25</v>
      </c>
      <c r="C23" s="23">
        <v>38</v>
      </c>
      <c r="D23" s="23"/>
      <c r="E23" s="28"/>
      <c r="F23" s="28"/>
      <c r="G23" s="28"/>
      <c r="H23" s="28"/>
      <c r="I23" s="28"/>
      <c r="J23" s="40"/>
      <c r="K23" s="27">
        <f t="shared" si="0"/>
        <v>0</v>
      </c>
      <c r="L23" s="27">
        <f t="shared" si="1"/>
        <v>0</v>
      </c>
      <c r="M23" s="27">
        <f t="shared" si="2"/>
        <v>0</v>
      </c>
      <c r="N23" s="27">
        <f t="shared" si="3"/>
        <v>0</v>
      </c>
      <c r="O23" s="27">
        <f t="shared" si="4"/>
        <v>0</v>
      </c>
    </row>
    <row r="24" spans="1:15" s="12" customFormat="1" ht="30" x14ac:dyDescent="0.25">
      <c r="A24" s="10" t="s">
        <v>26</v>
      </c>
      <c r="B24" s="11" t="s">
        <v>27</v>
      </c>
      <c r="C24" s="23">
        <v>2</v>
      </c>
      <c r="D24" s="23"/>
      <c r="E24" s="28"/>
      <c r="F24" s="28"/>
      <c r="G24" s="28"/>
      <c r="H24" s="28"/>
      <c r="I24" s="28"/>
      <c r="J24" s="40"/>
      <c r="K24" s="27">
        <f t="shared" si="0"/>
        <v>0</v>
      </c>
      <c r="L24" s="27">
        <f t="shared" si="1"/>
        <v>0</v>
      </c>
      <c r="M24" s="27">
        <f t="shared" si="2"/>
        <v>0</v>
      </c>
      <c r="N24" s="27">
        <f t="shared" si="3"/>
        <v>0</v>
      </c>
      <c r="O24" s="27">
        <f t="shared" si="4"/>
        <v>0</v>
      </c>
    </row>
    <row r="25" spans="1:15" s="12" customFormat="1" x14ac:dyDescent="0.25">
      <c r="B25" s="13"/>
      <c r="C25" s="14"/>
      <c r="D25" s="2"/>
      <c r="E25" s="2"/>
    </row>
    <row r="26" spans="1:15" s="12" customFormat="1" x14ac:dyDescent="0.25">
      <c r="B26" s="13"/>
      <c r="C26" s="1"/>
      <c r="D26" s="2"/>
      <c r="E26" s="2"/>
    </row>
    <row r="27" spans="1:15" x14ac:dyDescent="0.25">
      <c r="A27" s="24"/>
      <c r="B27" s="24"/>
      <c r="C27" s="24"/>
      <c r="D27" s="25"/>
      <c r="E27" s="26"/>
      <c r="F27" s="26"/>
      <c r="G27" s="26"/>
      <c r="H27" s="26"/>
      <c r="I27" s="26"/>
      <c r="J27" s="26"/>
    </row>
    <row r="28" spans="1:15" x14ac:dyDescent="0.25">
      <c r="A28" s="34" t="s">
        <v>43</v>
      </c>
      <c r="B28" s="35"/>
      <c r="C28" s="36" t="s">
        <v>33</v>
      </c>
      <c r="D28" s="37"/>
      <c r="E28" s="37"/>
      <c r="F28" s="37"/>
      <c r="G28" s="38"/>
      <c r="H28" s="18"/>
      <c r="I28" s="36" t="s">
        <v>34</v>
      </c>
      <c r="J28" s="37"/>
      <c r="K28" s="37"/>
      <c r="L28" s="37"/>
      <c r="M28" s="38"/>
    </row>
    <row r="29" spans="1:15" ht="29.25" x14ac:dyDescent="0.25">
      <c r="A29" s="7" t="s">
        <v>45</v>
      </c>
      <c r="B29" s="19" t="s">
        <v>35</v>
      </c>
      <c r="C29" s="8" t="s">
        <v>28</v>
      </c>
      <c r="D29" s="8" t="s">
        <v>29</v>
      </c>
      <c r="E29" s="8" t="s">
        <v>30</v>
      </c>
      <c r="F29" s="8" t="s">
        <v>31</v>
      </c>
      <c r="G29" s="8" t="s">
        <v>32</v>
      </c>
      <c r="H29" s="20"/>
      <c r="I29" s="15" t="s">
        <v>28</v>
      </c>
      <c r="J29" s="15" t="s">
        <v>29</v>
      </c>
      <c r="K29" s="15" t="s">
        <v>30</v>
      </c>
      <c r="L29" s="15" t="s">
        <v>31</v>
      </c>
      <c r="M29" s="15" t="s">
        <v>32</v>
      </c>
    </row>
    <row r="30" spans="1:15" ht="72" customHeight="1" x14ac:dyDescent="0.25">
      <c r="A30" s="33" t="s">
        <v>48</v>
      </c>
      <c r="B30" s="10"/>
      <c r="C30" s="21"/>
      <c r="D30" s="27"/>
      <c r="E30" s="27"/>
      <c r="F30" s="27"/>
      <c r="G30" s="27"/>
      <c r="H30" s="20"/>
      <c r="I30" s="27"/>
      <c r="J30" s="27"/>
      <c r="K30" s="27"/>
      <c r="L30" s="27"/>
      <c r="M30" s="27"/>
    </row>
  </sheetData>
  <mergeCells count="6">
    <mergeCell ref="A28:B28"/>
    <mergeCell ref="I28:M28"/>
    <mergeCell ref="D9:I11"/>
    <mergeCell ref="J9:J24"/>
    <mergeCell ref="K9:O11"/>
    <mergeCell ref="C28:G28"/>
  </mergeCells>
  <conditionalFormatting sqref="A1:A10">
    <cfRule type="duplicateValues" dxfId="0" priority="2"/>
  </conditionalFormatting>
  <pageMargins left="0.25" right="0.25" top="0.75" bottom="0.75" header="0.3" footer="0.3"/>
  <pageSetup scale="3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Attachment A - Cost Schedule</vt:lpstr>
    </vt:vector>
  </TitlesOfParts>
  <Company>Indian Health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Zamorano, Christina (IHS/PHX)</dc:creator>
  <cp:lastModifiedBy>Zamorano, Christina (IHS/PHX)</cp:lastModifiedBy>
  <cp:lastPrinted>2025-10-15T16:25:04Z</cp:lastPrinted>
  <dcterms:created xsi:type="dcterms:W3CDTF">2023-04-27T00:48:06Z</dcterms:created>
  <dcterms:modified xsi:type="dcterms:W3CDTF">2026-05-04T21:59:14Z</dcterms:modified>
</cp:coreProperties>
</file>