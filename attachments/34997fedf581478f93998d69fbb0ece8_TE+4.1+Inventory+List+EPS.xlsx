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.sharepoint-mil.us/teams/DPW-TST-OMD/Shared Documents/OMD/2_2 Contract_Branch/4_Electrical/4.2 EPS_UPS_and PV/I) Contract package, in progress/CONTRACT RENEWAL or NEW/10) Technical Exhibit/Attachment_4_Inventory list complete/Attachment_4.1_Inventory_EPS/"/>
    </mc:Choice>
  </mc:AlternateContent>
  <xr:revisionPtr revIDLastSave="50" documentId="8_{068C05F8-F478-4C78-8B80-96DF43B1EB7D}" xr6:coauthVersionLast="47" xr6:coauthVersionMax="47" xr10:uidLastSave="{D0EEF4C2-D30D-47DB-AF5A-6B28BFD9AFB7}"/>
  <bookViews>
    <workbookView xWindow="135" yWindow="375" windowWidth="23010" windowHeight="13440" xr2:uid="{00000000-000D-0000-FFFF-FFFF00000000}"/>
  </bookViews>
  <sheets>
    <sheet name="EPS Inventory" sheetId="3" r:id="rId1"/>
    <sheet name="Generatoren" sheetId="5" r:id="rId2"/>
    <sheet name="Leistung Last" sheetId="7" r:id="rId3"/>
    <sheet name="Tanks Verbrauch" sheetId="6" r:id="rId4"/>
    <sheet name="BlackBuilding" sheetId="8" r:id="rId5"/>
  </sheets>
  <externalReferences>
    <externalReference r:id="rId6"/>
  </externalReferences>
  <definedNames>
    <definedName name="_xlnm._FilterDatabase" localSheetId="4" hidden="1">BlackBuilding!$A$2:$Q$48</definedName>
    <definedName name="_xlnm._FilterDatabase" localSheetId="1" hidden="1">Generatoren!$A$2:$AG$48</definedName>
    <definedName name="_xlnm.Print_Titles" localSheetId="4">BlackBuilding!$1:$2</definedName>
    <definedName name="_xlnm.Print_Titles" localSheetId="0">'EPS Inventory'!$1:$1</definedName>
    <definedName name="_xlnm.Print_Titles" localSheetId="1">Generatoren!$1:$2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8" l="1"/>
  <c r="K41" i="8"/>
  <c r="N41" i="8" s="1"/>
  <c r="O40" i="8"/>
  <c r="K40" i="8"/>
  <c r="N40" i="8" s="1"/>
  <c r="O39" i="8"/>
  <c r="K39" i="8"/>
  <c r="M39" i="8" s="1"/>
  <c r="O38" i="8"/>
  <c r="K38" i="8"/>
  <c r="N38" i="8" s="1"/>
  <c r="O37" i="8"/>
  <c r="K37" i="8"/>
  <c r="M37" i="8" s="1"/>
  <c r="O36" i="8"/>
  <c r="K36" i="8"/>
  <c r="N36" i="8" s="1"/>
  <c r="O35" i="8"/>
  <c r="K35" i="8"/>
  <c r="M35" i="8" s="1"/>
  <c r="O34" i="8"/>
  <c r="K34" i="8"/>
  <c r="N34" i="8" s="1"/>
  <c r="K29" i="8"/>
  <c r="M29" i="8" s="1"/>
  <c r="O28" i="8"/>
  <c r="K28" i="8"/>
  <c r="N28" i="8" s="1"/>
  <c r="O27" i="8"/>
  <c r="K27" i="8"/>
  <c r="M27" i="8" s="1"/>
  <c r="O26" i="8"/>
  <c r="K26" i="8"/>
  <c r="N26" i="8" s="1"/>
  <c r="O25" i="8"/>
  <c r="K25" i="8"/>
  <c r="N25" i="8" s="1"/>
  <c r="K24" i="8"/>
  <c r="M24" i="8" s="1"/>
  <c r="O23" i="8"/>
  <c r="K23" i="8"/>
  <c r="M23" i="8" s="1"/>
  <c r="O22" i="8"/>
  <c r="K22" i="8"/>
  <c r="N22" i="8" s="1"/>
  <c r="O21" i="8"/>
  <c r="K21" i="8"/>
  <c r="M21" i="8" s="1"/>
  <c r="O20" i="8"/>
  <c r="K20" i="8"/>
  <c r="N20" i="8" s="1"/>
  <c r="O19" i="8"/>
  <c r="K19" i="8"/>
  <c r="M19" i="8" s="1"/>
  <c r="O18" i="8"/>
  <c r="K18" i="8"/>
  <c r="N18" i="8" s="1"/>
  <c r="O17" i="8"/>
  <c r="K17" i="8"/>
  <c r="N17" i="8" s="1"/>
  <c r="O16" i="8"/>
  <c r="K16" i="8"/>
  <c r="N16" i="8" s="1"/>
  <c r="O15" i="8"/>
  <c r="K15" i="8"/>
  <c r="M15" i="8" s="1"/>
  <c r="O14" i="8"/>
  <c r="K14" i="8"/>
  <c r="N14" i="8" s="1"/>
  <c r="O13" i="8"/>
  <c r="K13" i="8"/>
  <c r="M13" i="8" s="1"/>
  <c r="O12" i="8"/>
  <c r="K12" i="8"/>
  <c r="N12" i="8" s="1"/>
  <c r="O11" i="8"/>
  <c r="K11" i="8"/>
  <c r="M11" i="8" s="1"/>
  <c r="O10" i="8"/>
  <c r="K10" i="8"/>
  <c r="N10" i="8" s="1"/>
  <c r="K9" i="8"/>
  <c r="M9" i="8" s="1"/>
  <c r="O8" i="8"/>
  <c r="K8" i="8"/>
  <c r="N8" i="8" s="1"/>
  <c r="K7" i="8"/>
  <c r="M7" i="8" s="1"/>
  <c r="O6" i="8"/>
  <c r="K6" i="8"/>
  <c r="N6" i="8" s="1"/>
  <c r="O5" i="8"/>
  <c r="K5" i="8"/>
  <c r="N5" i="8" s="1"/>
  <c r="O4" i="8"/>
  <c r="K4" i="8"/>
  <c r="N4" i="8" s="1"/>
  <c r="O3" i="8"/>
  <c r="N3" i="8"/>
  <c r="M3" i="8"/>
  <c r="V7" i="5"/>
  <c r="X7" i="5" s="1"/>
  <c r="V24" i="5"/>
  <c r="X24" i="5" s="1"/>
  <c r="V29" i="5"/>
  <c r="X29" i="5" s="1"/>
  <c r="J35" i="7"/>
  <c r="I35" i="7"/>
  <c r="H35" i="7"/>
  <c r="G35" i="7"/>
  <c r="F35" i="7"/>
  <c r="E35" i="7"/>
  <c r="D35" i="7"/>
  <c r="C35" i="7"/>
  <c r="B35" i="7"/>
  <c r="A35" i="7"/>
  <c r="J34" i="7"/>
  <c r="I34" i="7"/>
  <c r="H34" i="7"/>
  <c r="G34" i="7"/>
  <c r="F34" i="7"/>
  <c r="E34" i="7"/>
  <c r="D34" i="7"/>
  <c r="C34" i="7"/>
  <c r="B34" i="7"/>
  <c r="A34" i="7"/>
  <c r="J33" i="7"/>
  <c r="I33" i="7"/>
  <c r="H33" i="7"/>
  <c r="G33" i="7"/>
  <c r="F33" i="7"/>
  <c r="E33" i="7"/>
  <c r="D33" i="7"/>
  <c r="C33" i="7"/>
  <c r="B33" i="7"/>
  <c r="A33" i="7"/>
  <c r="J32" i="7"/>
  <c r="I32" i="7"/>
  <c r="H32" i="7"/>
  <c r="G32" i="7"/>
  <c r="F32" i="7"/>
  <c r="E32" i="7"/>
  <c r="D32" i="7"/>
  <c r="C32" i="7"/>
  <c r="B32" i="7"/>
  <c r="A32" i="7"/>
  <c r="J31" i="7"/>
  <c r="I31" i="7"/>
  <c r="H31" i="7"/>
  <c r="G31" i="7"/>
  <c r="F31" i="7"/>
  <c r="E31" i="7"/>
  <c r="D31" i="7"/>
  <c r="C31" i="7"/>
  <c r="B31" i="7"/>
  <c r="A31" i="7"/>
  <c r="J30" i="7"/>
  <c r="I30" i="7"/>
  <c r="H30" i="7"/>
  <c r="G30" i="7"/>
  <c r="F30" i="7"/>
  <c r="E30" i="7"/>
  <c r="D30" i="7"/>
  <c r="C30" i="7"/>
  <c r="B30" i="7"/>
  <c r="A30" i="7"/>
  <c r="J29" i="7"/>
  <c r="I29" i="7"/>
  <c r="H29" i="7"/>
  <c r="G29" i="7"/>
  <c r="F29" i="7"/>
  <c r="E29" i="7"/>
  <c r="D29" i="7"/>
  <c r="C29" i="7"/>
  <c r="B29" i="7"/>
  <c r="A29" i="7"/>
  <c r="J28" i="7"/>
  <c r="I28" i="7"/>
  <c r="H28" i="7"/>
  <c r="G28" i="7"/>
  <c r="F28" i="7"/>
  <c r="E28" i="7"/>
  <c r="D28" i="7"/>
  <c r="C28" i="7"/>
  <c r="B28" i="7"/>
  <c r="A28" i="7"/>
  <c r="J27" i="7"/>
  <c r="I27" i="7"/>
  <c r="H27" i="7"/>
  <c r="G27" i="7"/>
  <c r="F27" i="7"/>
  <c r="E27" i="7"/>
  <c r="D27" i="7"/>
  <c r="C27" i="7"/>
  <c r="B27" i="7"/>
  <c r="A27" i="7"/>
  <c r="J26" i="7"/>
  <c r="I26" i="7"/>
  <c r="H26" i="7"/>
  <c r="G26" i="7"/>
  <c r="F26" i="7"/>
  <c r="E26" i="7"/>
  <c r="D26" i="7"/>
  <c r="C26" i="7"/>
  <c r="B26" i="7"/>
  <c r="A26" i="7"/>
  <c r="J25" i="7"/>
  <c r="I25" i="7"/>
  <c r="H25" i="7"/>
  <c r="G25" i="7"/>
  <c r="F25" i="7"/>
  <c r="E25" i="7"/>
  <c r="D25" i="7"/>
  <c r="C25" i="7"/>
  <c r="B25" i="7"/>
  <c r="A25" i="7"/>
  <c r="J24" i="7"/>
  <c r="I24" i="7"/>
  <c r="H24" i="7"/>
  <c r="G24" i="7"/>
  <c r="F24" i="7"/>
  <c r="E24" i="7"/>
  <c r="D24" i="7"/>
  <c r="C24" i="7"/>
  <c r="B24" i="7"/>
  <c r="A24" i="7"/>
  <c r="J23" i="7"/>
  <c r="I23" i="7"/>
  <c r="H23" i="7"/>
  <c r="G23" i="7"/>
  <c r="F23" i="7"/>
  <c r="E23" i="7"/>
  <c r="D23" i="7"/>
  <c r="C23" i="7"/>
  <c r="B23" i="7"/>
  <c r="A23" i="7"/>
  <c r="J22" i="7"/>
  <c r="I22" i="7"/>
  <c r="H22" i="7"/>
  <c r="G22" i="7"/>
  <c r="F22" i="7"/>
  <c r="E22" i="7"/>
  <c r="D22" i="7"/>
  <c r="C22" i="7"/>
  <c r="B22" i="7"/>
  <c r="A22" i="7"/>
  <c r="J21" i="7"/>
  <c r="I21" i="7"/>
  <c r="H21" i="7"/>
  <c r="G21" i="7"/>
  <c r="F21" i="7"/>
  <c r="E21" i="7"/>
  <c r="D21" i="7"/>
  <c r="C21" i="7"/>
  <c r="B21" i="7"/>
  <c r="A21" i="7"/>
  <c r="J20" i="7"/>
  <c r="I20" i="7"/>
  <c r="H20" i="7"/>
  <c r="G20" i="7"/>
  <c r="F20" i="7"/>
  <c r="E20" i="7"/>
  <c r="D20" i="7"/>
  <c r="C20" i="7"/>
  <c r="B20" i="7"/>
  <c r="A20" i="7"/>
  <c r="J19" i="7"/>
  <c r="I19" i="7"/>
  <c r="H19" i="7"/>
  <c r="G19" i="7"/>
  <c r="F19" i="7"/>
  <c r="E19" i="7"/>
  <c r="D19" i="7"/>
  <c r="C19" i="7"/>
  <c r="B19" i="7"/>
  <c r="A19" i="7"/>
  <c r="J18" i="7"/>
  <c r="I18" i="7"/>
  <c r="H18" i="7"/>
  <c r="G18" i="7"/>
  <c r="F18" i="7"/>
  <c r="E18" i="7"/>
  <c r="D18" i="7"/>
  <c r="C18" i="7"/>
  <c r="B18" i="7"/>
  <c r="A18" i="7"/>
  <c r="J17" i="7"/>
  <c r="I17" i="7"/>
  <c r="H17" i="7"/>
  <c r="G17" i="7"/>
  <c r="F17" i="7"/>
  <c r="E17" i="7"/>
  <c r="D17" i="7"/>
  <c r="C17" i="7"/>
  <c r="B17" i="7"/>
  <c r="A17" i="7"/>
  <c r="J16" i="7"/>
  <c r="I16" i="7"/>
  <c r="H16" i="7"/>
  <c r="G16" i="7"/>
  <c r="F16" i="7"/>
  <c r="E16" i="7"/>
  <c r="D16" i="7"/>
  <c r="C16" i="7"/>
  <c r="B16" i="7"/>
  <c r="A16" i="7"/>
  <c r="J15" i="7"/>
  <c r="I15" i="7"/>
  <c r="H15" i="7"/>
  <c r="G15" i="7"/>
  <c r="F15" i="7"/>
  <c r="E15" i="7"/>
  <c r="D15" i="7"/>
  <c r="C15" i="7"/>
  <c r="B15" i="7"/>
  <c r="A15" i="7"/>
  <c r="J14" i="7"/>
  <c r="I14" i="7"/>
  <c r="H14" i="7"/>
  <c r="G14" i="7"/>
  <c r="F14" i="7"/>
  <c r="E14" i="7"/>
  <c r="D14" i="7"/>
  <c r="C14" i="7"/>
  <c r="B14" i="7"/>
  <c r="A14" i="7"/>
  <c r="J13" i="7"/>
  <c r="I13" i="7"/>
  <c r="H13" i="7"/>
  <c r="G13" i="7"/>
  <c r="F13" i="7"/>
  <c r="E13" i="7"/>
  <c r="D13" i="7"/>
  <c r="C13" i="7"/>
  <c r="B13" i="7"/>
  <c r="A13" i="7"/>
  <c r="J12" i="7"/>
  <c r="I12" i="7"/>
  <c r="H12" i="7"/>
  <c r="G12" i="7"/>
  <c r="F12" i="7"/>
  <c r="E12" i="7"/>
  <c r="D12" i="7"/>
  <c r="C12" i="7"/>
  <c r="B12" i="7"/>
  <c r="A12" i="7"/>
  <c r="J11" i="7"/>
  <c r="I11" i="7"/>
  <c r="H11" i="7"/>
  <c r="G11" i="7"/>
  <c r="F11" i="7"/>
  <c r="E11" i="7"/>
  <c r="D11" i="7"/>
  <c r="C11" i="7"/>
  <c r="B11" i="7"/>
  <c r="A11" i="7"/>
  <c r="J10" i="7"/>
  <c r="I10" i="7"/>
  <c r="H10" i="7"/>
  <c r="G10" i="7"/>
  <c r="F10" i="7"/>
  <c r="E10" i="7"/>
  <c r="D10" i="7"/>
  <c r="C10" i="7"/>
  <c r="B10" i="7"/>
  <c r="A10" i="7"/>
  <c r="J9" i="7"/>
  <c r="I9" i="7"/>
  <c r="H9" i="7"/>
  <c r="G9" i="7"/>
  <c r="F9" i="7"/>
  <c r="E9" i="7"/>
  <c r="D9" i="7"/>
  <c r="C9" i="7"/>
  <c r="B9" i="7"/>
  <c r="A9" i="7"/>
  <c r="J8" i="7"/>
  <c r="I8" i="7"/>
  <c r="H8" i="7"/>
  <c r="G8" i="7"/>
  <c r="F8" i="7"/>
  <c r="E8" i="7"/>
  <c r="D8" i="7"/>
  <c r="C8" i="7"/>
  <c r="B8" i="7"/>
  <c r="A8" i="7"/>
  <c r="J7" i="7"/>
  <c r="I7" i="7"/>
  <c r="H7" i="7"/>
  <c r="G7" i="7"/>
  <c r="F7" i="7"/>
  <c r="E7" i="7"/>
  <c r="D7" i="7"/>
  <c r="C7" i="7"/>
  <c r="B7" i="7"/>
  <c r="A7" i="7"/>
  <c r="J6" i="7"/>
  <c r="I6" i="7"/>
  <c r="H6" i="7"/>
  <c r="G6" i="7"/>
  <c r="F6" i="7"/>
  <c r="E6" i="7"/>
  <c r="D6" i="7"/>
  <c r="C6" i="7"/>
  <c r="B6" i="7"/>
  <c r="A6" i="7"/>
  <c r="J5" i="7"/>
  <c r="I5" i="7"/>
  <c r="H5" i="7"/>
  <c r="G5" i="7"/>
  <c r="F5" i="7"/>
  <c r="E5" i="7"/>
  <c r="D5" i="7"/>
  <c r="C5" i="7"/>
  <c r="B5" i="7"/>
  <c r="A5" i="7"/>
  <c r="J4" i="7"/>
  <c r="I4" i="7"/>
  <c r="H4" i="7"/>
  <c r="G4" i="7"/>
  <c r="F4" i="7"/>
  <c r="E4" i="7"/>
  <c r="D4" i="7"/>
  <c r="C4" i="7"/>
  <c r="B4" i="7"/>
  <c r="A4" i="7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Z16" i="5"/>
  <c r="AA16" i="5" s="1"/>
  <c r="AB16" i="5" s="1"/>
  <c r="V16" i="5"/>
  <c r="X16" i="5" s="1"/>
  <c r="R16" i="5"/>
  <c r="P16" i="5"/>
  <c r="T16" i="5" s="1"/>
  <c r="Z4" i="5"/>
  <c r="AA4" i="5" s="1"/>
  <c r="AB4" i="5" s="1"/>
  <c r="V4" i="5"/>
  <c r="Y4" i="5" s="1"/>
  <c r="T4" i="5"/>
  <c r="S4" i="5"/>
  <c r="R4" i="5"/>
  <c r="Q4" i="5"/>
  <c r="Z21" i="5"/>
  <c r="AA21" i="5" s="1"/>
  <c r="AB21" i="5" s="1"/>
  <c r="V21" i="5"/>
  <c r="Y21" i="5" s="1"/>
  <c r="R21" i="5"/>
  <c r="P21" i="5"/>
  <c r="T21" i="5" s="1"/>
  <c r="Z27" i="5"/>
  <c r="AA27" i="5" s="1"/>
  <c r="AB27" i="5" s="1"/>
  <c r="V27" i="5"/>
  <c r="X27" i="5" s="1"/>
  <c r="R27" i="5"/>
  <c r="P27" i="5"/>
  <c r="T27" i="5" s="1"/>
  <c r="Z8" i="5"/>
  <c r="AA8" i="5" s="1"/>
  <c r="AB8" i="5" s="1"/>
  <c r="V8" i="5"/>
  <c r="Y8" i="5" s="1"/>
  <c r="R8" i="5"/>
  <c r="P8" i="5"/>
  <c r="T8" i="5" s="1"/>
  <c r="Z26" i="5"/>
  <c r="AA26" i="5" s="1"/>
  <c r="AB26" i="5" s="1"/>
  <c r="V26" i="5"/>
  <c r="X26" i="5" s="1"/>
  <c r="R26" i="5"/>
  <c r="P26" i="5"/>
  <c r="T26" i="5" s="1"/>
  <c r="Z15" i="5"/>
  <c r="AA15" i="5" s="1"/>
  <c r="AB15" i="5" s="1"/>
  <c r="V15" i="5"/>
  <c r="X15" i="5" s="1"/>
  <c r="R15" i="5"/>
  <c r="P15" i="5"/>
  <c r="S15" i="5" s="1"/>
  <c r="Z25" i="5"/>
  <c r="AA25" i="5" s="1"/>
  <c r="AB25" i="5" s="1"/>
  <c r="V25" i="5"/>
  <c r="Y25" i="5" s="1"/>
  <c r="R25" i="5"/>
  <c r="P25" i="5"/>
  <c r="T25" i="5" s="1"/>
  <c r="Z23" i="5"/>
  <c r="AA23" i="5" s="1"/>
  <c r="AB23" i="5" s="1"/>
  <c r="V23" i="5"/>
  <c r="X23" i="5" s="1"/>
  <c r="R23" i="5"/>
  <c r="P23" i="5"/>
  <c r="S23" i="5" s="1"/>
  <c r="Z5" i="5"/>
  <c r="AA5" i="5" s="1"/>
  <c r="AB5" i="5" s="1"/>
  <c r="V5" i="5"/>
  <c r="Y5" i="5" s="1"/>
  <c r="R5" i="5"/>
  <c r="P5" i="5"/>
  <c r="S5" i="5" s="1"/>
  <c r="Z17" i="5"/>
  <c r="AA17" i="5" s="1"/>
  <c r="AB17" i="5" s="1"/>
  <c r="V17" i="5"/>
  <c r="X17" i="5" s="1"/>
  <c r="R17" i="5"/>
  <c r="P17" i="5"/>
  <c r="T17" i="5" s="1"/>
  <c r="Z18" i="5"/>
  <c r="AA18" i="5" s="1"/>
  <c r="AB18" i="5" s="1"/>
  <c r="V18" i="5"/>
  <c r="X18" i="5" s="1"/>
  <c r="T18" i="5"/>
  <c r="S18" i="5"/>
  <c r="R18" i="5"/>
  <c r="Q18" i="5"/>
  <c r="Z14" i="5"/>
  <c r="AA14" i="5" s="1"/>
  <c r="AB14" i="5" s="1"/>
  <c r="V14" i="5"/>
  <c r="X14" i="5" s="1"/>
  <c r="R14" i="5"/>
  <c r="P14" i="5"/>
  <c r="S14" i="5" s="1"/>
  <c r="Z41" i="5"/>
  <c r="AA41" i="5" s="1"/>
  <c r="AB41" i="5" s="1"/>
  <c r="V41" i="5"/>
  <c r="Y41" i="5" s="1"/>
  <c r="R41" i="5"/>
  <c r="P41" i="5"/>
  <c r="S41" i="5" s="1"/>
  <c r="Z13" i="5"/>
  <c r="AA13" i="5" s="1"/>
  <c r="AB13" i="5" s="1"/>
  <c r="V13" i="5"/>
  <c r="X13" i="5" s="1"/>
  <c r="R13" i="5"/>
  <c r="P13" i="5"/>
  <c r="T13" i="5" s="1"/>
  <c r="Z19" i="5"/>
  <c r="AA19" i="5" s="1"/>
  <c r="AB19" i="5" s="1"/>
  <c r="V19" i="5"/>
  <c r="Y19" i="5" s="1"/>
  <c r="R19" i="5"/>
  <c r="P19" i="5"/>
  <c r="T19" i="5" s="1"/>
  <c r="Z40" i="5"/>
  <c r="AA40" i="5" s="1"/>
  <c r="AB40" i="5" s="1"/>
  <c r="V40" i="5"/>
  <c r="X40" i="5" s="1"/>
  <c r="R40" i="5"/>
  <c r="P40" i="5"/>
  <c r="S40" i="5" s="1"/>
  <c r="Z39" i="5"/>
  <c r="AA39" i="5" s="1"/>
  <c r="AB39" i="5" s="1"/>
  <c r="V39" i="5"/>
  <c r="Y39" i="5" s="1"/>
  <c r="R39" i="5"/>
  <c r="P39" i="5"/>
  <c r="S39" i="5" s="1"/>
  <c r="Z38" i="5"/>
  <c r="AA38" i="5" s="1"/>
  <c r="AB38" i="5" s="1"/>
  <c r="V38" i="5"/>
  <c r="Y38" i="5" s="1"/>
  <c r="R38" i="5"/>
  <c r="P38" i="5"/>
  <c r="S38" i="5" s="1"/>
  <c r="Z11" i="5"/>
  <c r="AA11" i="5" s="1"/>
  <c r="AB11" i="5" s="1"/>
  <c r="V11" i="5"/>
  <c r="X11" i="5" s="1"/>
  <c r="T11" i="5"/>
  <c r="S11" i="5"/>
  <c r="R11" i="5"/>
  <c r="Q11" i="5"/>
  <c r="Z22" i="5"/>
  <c r="AA22" i="5" s="1"/>
  <c r="AB22" i="5" s="1"/>
  <c r="V22" i="5"/>
  <c r="X22" i="5" s="1"/>
  <c r="R22" i="5"/>
  <c r="P22" i="5"/>
  <c r="T22" i="5" s="1"/>
  <c r="Z28" i="5"/>
  <c r="AA28" i="5" s="1"/>
  <c r="AB28" i="5" s="1"/>
  <c r="V28" i="5"/>
  <c r="Y28" i="5" s="1"/>
  <c r="T28" i="5"/>
  <c r="S28" i="5"/>
  <c r="R28" i="5"/>
  <c r="Q28" i="5"/>
  <c r="Z3" i="5"/>
  <c r="AA3" i="5" s="1"/>
  <c r="AB3" i="5" s="1"/>
  <c r="Y3" i="5"/>
  <c r="X3" i="5"/>
  <c r="R3" i="5"/>
  <c r="P3" i="5"/>
  <c r="T3" i="5" s="1"/>
  <c r="Z12" i="5"/>
  <c r="AA12" i="5" s="1"/>
  <c r="AB12" i="5" s="1"/>
  <c r="V12" i="5"/>
  <c r="X12" i="5" s="1"/>
  <c r="R12" i="5"/>
  <c r="P12" i="5"/>
  <c r="T12" i="5" s="1"/>
  <c r="Z10" i="5"/>
  <c r="AA10" i="5" s="1"/>
  <c r="AB10" i="5" s="1"/>
  <c r="V10" i="5"/>
  <c r="X10" i="5" s="1"/>
  <c r="T10" i="5"/>
  <c r="S10" i="5"/>
  <c r="R10" i="5"/>
  <c r="Q10" i="5"/>
  <c r="V9" i="5"/>
  <c r="X9" i="5" s="1"/>
  <c r="Z20" i="5"/>
  <c r="AA20" i="5" s="1"/>
  <c r="AB20" i="5" s="1"/>
  <c r="V20" i="5"/>
  <c r="X20" i="5" s="1"/>
  <c r="R20" i="5"/>
  <c r="P20" i="5"/>
  <c r="T20" i="5" s="1"/>
  <c r="Z34" i="5"/>
  <c r="AA34" i="5" s="1"/>
  <c r="AB34" i="5" s="1"/>
  <c r="V34" i="5"/>
  <c r="Y34" i="5" s="1"/>
  <c r="R34" i="5"/>
  <c r="P34" i="5"/>
  <c r="T34" i="5" s="1"/>
  <c r="Z37" i="5"/>
  <c r="AA37" i="5" s="1"/>
  <c r="AB37" i="5" s="1"/>
  <c r="V37" i="5"/>
  <c r="Y37" i="5" s="1"/>
  <c r="T37" i="5"/>
  <c r="S37" i="5"/>
  <c r="R37" i="5"/>
  <c r="Q37" i="5"/>
  <c r="Z36" i="5"/>
  <c r="AA36" i="5" s="1"/>
  <c r="AB36" i="5" s="1"/>
  <c r="V36" i="5"/>
  <c r="Y36" i="5" s="1"/>
  <c r="T36" i="5"/>
  <c r="S36" i="5"/>
  <c r="R36" i="5"/>
  <c r="Q36" i="5"/>
  <c r="Z35" i="5"/>
  <c r="AA35" i="5" s="1"/>
  <c r="AB35" i="5" s="1"/>
  <c r="V35" i="5"/>
  <c r="Y35" i="5" s="1"/>
  <c r="T35" i="5"/>
  <c r="S35" i="5"/>
  <c r="R35" i="5"/>
  <c r="Q35" i="5"/>
  <c r="Z6" i="5"/>
  <c r="AA6" i="5" s="1"/>
  <c r="AB6" i="5" s="1"/>
  <c r="V6" i="5"/>
  <c r="Y6" i="5" s="1"/>
  <c r="R6" i="5"/>
  <c r="P6" i="5"/>
  <c r="T6" i="5" s="1"/>
  <c r="M5" i="8" l="1"/>
  <c r="N11" i="8"/>
  <c r="M25" i="8"/>
  <c r="N19" i="8"/>
  <c r="N23" i="8"/>
  <c r="N15" i="8"/>
  <c r="N13" i="8"/>
  <c r="N21" i="8"/>
  <c r="N37" i="8"/>
  <c r="N35" i="8"/>
  <c r="M17" i="8"/>
  <c r="N39" i="8"/>
  <c r="M41" i="8"/>
  <c r="N27" i="8"/>
  <c r="M4" i="8"/>
  <c r="M8" i="8"/>
  <c r="M12" i="8"/>
  <c r="M16" i="8"/>
  <c r="M20" i="8"/>
  <c r="M28" i="8"/>
  <c r="M36" i="8"/>
  <c r="M40" i="8"/>
  <c r="M6" i="8"/>
  <c r="M10" i="8"/>
  <c r="M14" i="8"/>
  <c r="M18" i="8"/>
  <c r="M22" i="8"/>
  <c r="M26" i="8"/>
  <c r="M34" i="8"/>
  <c r="M38" i="8"/>
  <c r="X37" i="5"/>
  <c r="T41" i="5"/>
  <c r="T38" i="5"/>
  <c r="Y14" i="5"/>
  <c r="X34" i="5"/>
  <c r="S27" i="5"/>
  <c r="Y16" i="5"/>
  <c r="X6" i="5"/>
  <c r="Y10" i="5"/>
  <c r="S3" i="5"/>
  <c r="T15" i="5"/>
  <c r="Y18" i="5"/>
  <c r="S13" i="5"/>
  <c r="Y23" i="5"/>
  <c r="X8" i="5"/>
  <c r="T5" i="5"/>
  <c r="Y11" i="5"/>
  <c r="S20" i="5"/>
  <c r="X19" i="5"/>
  <c r="S17" i="5"/>
  <c r="Y12" i="5"/>
  <c r="T39" i="5"/>
  <c r="Y40" i="5"/>
  <c r="Y26" i="5"/>
  <c r="S21" i="5"/>
  <c r="Y22" i="5"/>
  <c r="X25" i="5"/>
  <c r="S16" i="5"/>
  <c r="X35" i="5"/>
  <c r="S22" i="5"/>
  <c r="Y13" i="5"/>
  <c r="Y17" i="5"/>
  <c r="Y15" i="5"/>
  <c r="S26" i="5"/>
  <c r="Y27" i="5"/>
  <c r="Y20" i="5"/>
  <c r="X28" i="5"/>
  <c r="X39" i="5"/>
  <c r="T40" i="5"/>
  <c r="X41" i="5"/>
  <c r="T14" i="5"/>
  <c r="X5" i="5"/>
  <c r="T23" i="5"/>
  <c r="X21" i="5"/>
  <c r="X36" i="5"/>
  <c r="S19" i="5"/>
  <c r="S25" i="5"/>
  <c r="S8" i="5"/>
  <c r="S6" i="5"/>
  <c r="S34" i="5"/>
  <c r="S12" i="5"/>
  <c r="X4" i="5"/>
  <c r="X38" i="5"/>
</calcChain>
</file>

<file path=xl/sharedStrings.xml><?xml version="1.0" encoding="utf-8"?>
<sst xmlns="http://schemas.openxmlformats.org/spreadsheetml/2006/main" count="1666" uniqueCount="534">
  <si>
    <t>Pos.</t>
  </si>
  <si>
    <t>Invent.-No.</t>
  </si>
  <si>
    <t>Code</t>
  </si>
  <si>
    <t>Bldg-No.</t>
  </si>
  <si>
    <t>Floor</t>
  </si>
  <si>
    <t>Item</t>
  </si>
  <si>
    <t>belonging
to:</t>
  </si>
  <si>
    <t>Manufacturer</t>
  </si>
  <si>
    <t>Model-No.:
/
Ident-No.:</t>
  </si>
  <si>
    <t>Capacity</t>
  </si>
  <si>
    <t>Manufacture Year</t>
  </si>
  <si>
    <t>Additional System Components</t>
  </si>
  <si>
    <t>Remarks</t>
  </si>
  <si>
    <t>Clay
#01060</t>
  </si>
  <si>
    <t>Container</t>
  </si>
  <si>
    <t>Diesel Engine I</t>
  </si>
  <si>
    <t>Diesel-Generating</t>
  </si>
  <si>
    <t>TNA</t>
  </si>
  <si>
    <t>TNA 60-4 IWE 70183</t>
  </si>
  <si>
    <t>supplied 1062</t>
  </si>
  <si>
    <t>Haineberg
PX #07850</t>
  </si>
  <si>
    <t>Technic-Room</t>
  </si>
  <si>
    <t xml:space="preserve">Diesel Engine </t>
  </si>
  <si>
    <t>Diesel-Generator-System</t>
  </si>
  <si>
    <t xml:space="preserve">Perkins (Diesel Engine)
/
Perkins </t>
  </si>
  <si>
    <t xml:space="preserve">Model:
/
Engine No.: </t>
  </si>
  <si>
    <t xml:space="preserve">
P= 
800 kW;
Speed: 1500/1800 rpm</t>
  </si>
  <si>
    <t xml:space="preserve">Fuel Oil Day Tank for Diesel Engine  </t>
  </si>
  <si>
    <t>Krampitz Tanksystem GmbH</t>
  </si>
  <si>
    <t xml:space="preserve">Manufacturer-No.: </t>
  </si>
  <si>
    <r>
      <t>0.98 m</t>
    </r>
    <r>
      <rPr>
        <vertAlign val="superscript"/>
        <sz val="11"/>
        <rFont val="Calibri"/>
        <family val="2"/>
      </rPr>
      <t>3</t>
    </r>
  </si>
  <si>
    <t xml:space="preserve">Additional Fuel Oil  Tank for Diesel Engine  </t>
  </si>
  <si>
    <t>CEMO Tanksystem GmbH</t>
  </si>
  <si>
    <t>2000 l</t>
  </si>
  <si>
    <r>
      <t xml:space="preserve">secondary containment
</t>
    </r>
    <r>
      <rPr>
        <sz val="8"/>
        <rFont val="Calibri"/>
        <family val="2"/>
      </rPr>
      <t xml:space="preserve">for Fuel Oil Day Tank for Diesel Engine </t>
    </r>
  </si>
  <si>
    <r>
      <t>1.09 m</t>
    </r>
    <r>
      <rPr>
        <vertAlign val="superscript"/>
        <sz val="11"/>
        <rFont val="Calibri"/>
        <family val="2"/>
      </rPr>
      <t>3</t>
    </r>
  </si>
  <si>
    <t xml:space="preserve">Generator </t>
  </si>
  <si>
    <t xml:space="preserve">Kunzler Generators </t>
  </si>
  <si>
    <t xml:space="preserve">Type: 
Model: </t>
  </si>
  <si>
    <t>Power:
800 kVA</t>
  </si>
  <si>
    <t>Master Control Panel</t>
  </si>
  <si>
    <t>for Generator 
(      )</t>
  </si>
  <si>
    <t xml:space="preserve">Kunzler  </t>
  </si>
  <si>
    <t xml:space="preserve">buried tank / outside </t>
  </si>
  <si>
    <t>Fuel storage tank 
Steel cylinder tank</t>
  </si>
  <si>
    <t>Clay North
#03377</t>
  </si>
  <si>
    <t>Outside</t>
  </si>
  <si>
    <t xml:space="preserve">MTU (Diesel Engine)
/
MTU </t>
  </si>
  <si>
    <t xml:space="preserve">
P= 
1000 kW;
Speed: 1500/1800 rpm</t>
  </si>
  <si>
    <r>
      <rPr>
        <sz val="11"/>
        <rFont val="Calibri"/>
        <family val="2"/>
      </rPr>
      <t xml:space="preserve">Supplied also Bldg.: 03376, 03378, 03374, 01072, 03370, 03371, 03394, 03373 (Clay Nord) </t>
    </r>
    <r>
      <rPr>
        <sz val="11"/>
        <color rgb="FFFF0000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 xml:space="preserve">Not listed on Master Planing List ( Spindler).  </t>
    </r>
    <r>
      <rPr>
        <sz val="11"/>
        <color rgb="FFFF0000"/>
        <rFont val="Calibri"/>
        <family val="2"/>
      </rPr>
      <t xml:space="preserve">            </t>
    </r>
  </si>
  <si>
    <t xml:space="preserve">Generator  </t>
  </si>
  <si>
    <t>Power:
1000 kVA</t>
  </si>
  <si>
    <t xml:space="preserve">Fuel  tank </t>
  </si>
  <si>
    <t>1000 l</t>
  </si>
  <si>
    <t>Clay
#01757</t>
  </si>
  <si>
    <t>Outside See ESP AECOM</t>
  </si>
  <si>
    <t>Caterpillar</t>
  </si>
  <si>
    <t>Power:   500 KVA</t>
  </si>
  <si>
    <t>800 l</t>
  </si>
  <si>
    <t xml:space="preserve">Supplied  Bldg.: 7315 SCHOOL Sprinkler, </t>
  </si>
  <si>
    <t>Clay
#01050</t>
  </si>
  <si>
    <t>See ESP AECOM</t>
  </si>
  <si>
    <t>DB</t>
  </si>
  <si>
    <t>TA 3160S4</t>
  </si>
  <si>
    <t>310 KVA</t>
  </si>
  <si>
    <t xml:space="preserve">Supplied also Bldg.: 01532/Clay, </t>
  </si>
  <si>
    <t>Leroy-Somer</t>
  </si>
  <si>
    <t>2000l      Day Tank 300 l</t>
  </si>
  <si>
    <t>Clay Airfield #01086</t>
  </si>
  <si>
    <t>MAN</t>
  </si>
  <si>
    <t>D2542MLE</t>
  </si>
  <si>
    <t>400 KVA  Speed: 1500/1800 rpm</t>
  </si>
  <si>
    <t xml:space="preserve">Supplied also Bldg.: 03005/Wasserwerk, 01686, 01036/Tower, </t>
  </si>
  <si>
    <t>AEG</t>
  </si>
  <si>
    <t>5000l      Day Tank 300 l</t>
  </si>
  <si>
    <t>250 KVA  Speed: 1500/1800 rpm</t>
  </si>
  <si>
    <t xml:space="preserve">Supplied also Bldg.: 01217, 01417/Clay, </t>
  </si>
  <si>
    <t>Leroy-Samer</t>
  </si>
  <si>
    <t>700 l</t>
  </si>
  <si>
    <t>Deutz</t>
  </si>
  <si>
    <t>47.2047C6/4</t>
  </si>
  <si>
    <t>500 KVA  Speed: 1500/1800 rpm</t>
  </si>
  <si>
    <t xml:space="preserve">Supplied also Bldg.: 01007, 01008, 01009/Clay, and ACP Clay </t>
  </si>
  <si>
    <t>EPS 12.2</t>
  </si>
  <si>
    <t>EPS 12.3</t>
  </si>
  <si>
    <t>EPS 12.4</t>
  </si>
  <si>
    <t>AEC
#05315</t>
  </si>
  <si>
    <t>MTU</t>
  </si>
  <si>
    <t>850 KVA  Speed: 1500/1800 rpm</t>
  </si>
  <si>
    <t>Supplied Bldg. 05301 AEC</t>
  </si>
  <si>
    <t>EPS 13.2</t>
  </si>
  <si>
    <t>Marelli</t>
  </si>
  <si>
    <t>EPS 13.3</t>
  </si>
  <si>
    <t>EPS 13.4</t>
  </si>
  <si>
    <t>Haineberg
Lodge #07898</t>
  </si>
  <si>
    <t>Iveco</t>
  </si>
  <si>
    <t>450 KVA  Speed: 1500/1800 rpm</t>
  </si>
  <si>
    <t>Supplied Bldg. 07890 HBG Lodge</t>
  </si>
  <si>
    <t>EPS 14.2</t>
  </si>
  <si>
    <t>Mecalte</t>
  </si>
  <si>
    <t>EPS 14.3</t>
  </si>
  <si>
    <t>EPS 14.4</t>
  </si>
  <si>
    <t>2000l      Day Tank 250 l</t>
  </si>
  <si>
    <t>Clay North 
#03341</t>
  </si>
  <si>
    <t>3340;3341</t>
  </si>
  <si>
    <t>Clay TACAN 
#01569</t>
  </si>
  <si>
    <t>Diesel Engine</t>
  </si>
  <si>
    <t>IVECO/Leroy Somer</t>
  </si>
  <si>
    <t>Generator</t>
  </si>
  <si>
    <t>Leroy Somer</t>
  </si>
  <si>
    <t>Master Control
Panel</t>
  </si>
  <si>
    <t>Fuel tank</t>
  </si>
  <si>
    <t>1080 l</t>
  </si>
  <si>
    <t>Clay 
Head Quarter
#01205</t>
  </si>
  <si>
    <t>104 kW</t>
  </si>
  <si>
    <r>
      <t xml:space="preserve">Supplied also Bldg.:
1205,1209
</t>
    </r>
    <r>
      <rPr>
        <b/>
        <sz val="11"/>
        <color rgb="FFFF0000"/>
        <rFont val="Calibri"/>
        <family val="2"/>
      </rPr>
      <t>Not listed on Master Planing List ( Spindler). Listed as GEN01</t>
    </r>
  </si>
  <si>
    <t>EPS
17.2</t>
  </si>
  <si>
    <t>EPS
17.3</t>
  </si>
  <si>
    <t>EPS
17.4</t>
  </si>
  <si>
    <t>Clay
Head Quarter
#01205</t>
  </si>
  <si>
    <t>2000l</t>
  </si>
  <si>
    <t>Clay, Cont. 
Fire Department
#01027</t>
  </si>
  <si>
    <t>84 kW</t>
  </si>
  <si>
    <r>
      <t xml:space="preserve">Supplied also Bldg.:
1001,1002 and 1627
</t>
    </r>
    <r>
      <rPr>
        <b/>
        <sz val="11"/>
        <color rgb="FFFF0000"/>
        <rFont val="Calibri"/>
        <family val="2"/>
      </rPr>
      <t>Not listed on Master Planing List ( Spindler). Listed as GEN06</t>
    </r>
  </si>
  <si>
    <t>EPS
18.2</t>
  </si>
  <si>
    <t>Meccalte</t>
  </si>
  <si>
    <t>EPS
18.3</t>
  </si>
  <si>
    <t>EPS
18.4</t>
  </si>
  <si>
    <t>735l</t>
  </si>
  <si>
    <t>Haineberg
Guard Check
#07821</t>
  </si>
  <si>
    <r>
      <t xml:space="preserve">Supplied also Bldg.:
 07821-07825
</t>
    </r>
    <r>
      <rPr>
        <b/>
        <sz val="11"/>
        <color rgb="FFFF0000"/>
        <rFont val="Calibri"/>
        <family val="2"/>
      </rPr>
      <t xml:space="preserve">Not listed on Master Planing List ( Spindler). </t>
    </r>
  </si>
  <si>
    <t>EPS
19.2</t>
  </si>
  <si>
    <t>EPS
19.3</t>
  </si>
  <si>
    <t>EPS
19.4</t>
  </si>
  <si>
    <t>500l</t>
  </si>
  <si>
    <t>Clay North/ Wilson
#01071</t>
  </si>
  <si>
    <t>FG Wilson</t>
  </si>
  <si>
    <t>48 kW</t>
  </si>
  <si>
    <r>
      <t xml:space="preserve">Supplied also Bldg.:
1571 Signal
</t>
    </r>
    <r>
      <rPr>
        <b/>
        <sz val="11"/>
        <color rgb="FFFF0000"/>
        <rFont val="Calibri"/>
        <family val="2"/>
      </rPr>
      <t>Not listed on Master Planing List ( Spindler). Listed as 01072</t>
    </r>
  </si>
  <si>
    <t>EPS
20.2</t>
  </si>
  <si>
    <t>EPS
 20.3</t>
  </si>
  <si>
    <t>EPS
20.4</t>
  </si>
  <si>
    <t>360l</t>
  </si>
  <si>
    <t>McCully Cont.
#06280</t>
  </si>
  <si>
    <t>Supplied Bldg.: 06208
 Signal</t>
  </si>
  <si>
    <t>EPS
21.2</t>
  </si>
  <si>
    <t>ESP
21.3</t>
  </si>
  <si>
    <t>ESP
21.4</t>
  </si>
  <si>
    <t>900l</t>
  </si>
  <si>
    <t>ESP
22.2</t>
  </si>
  <si>
    <t>ESP
22.3</t>
  </si>
  <si>
    <t>22.4</t>
  </si>
  <si>
    <t>300l</t>
  </si>
  <si>
    <t>Kastel St.
#04508</t>
  </si>
  <si>
    <t>Supplied also Bldg.:ACP
POND Guard/Wache</t>
  </si>
  <si>
    <t>23.2</t>
  </si>
  <si>
    <t>23.3</t>
  </si>
  <si>
    <t>23.4</t>
  </si>
  <si>
    <t>McCully
Guard Check
#07203</t>
  </si>
  <si>
    <r>
      <t xml:space="preserve">Supplied also Bldg.:
POND Guard/Wache
</t>
    </r>
    <r>
      <rPr>
        <b/>
        <sz val="11"/>
        <color rgb="FFFF0000"/>
        <rFont val="Calibri"/>
        <family val="2"/>
      </rPr>
      <t>Not listed on Master Planing List ( Spindler).</t>
    </r>
  </si>
  <si>
    <t>24.2</t>
  </si>
  <si>
    <t>24.3</t>
  </si>
  <si>
    <t>24.4</t>
  </si>
  <si>
    <t>60l</t>
  </si>
  <si>
    <t>Haineberg
Guard Check
#07762</t>
  </si>
  <si>
    <t>Supplied also Bldg.:
POND Guard/Wache</t>
  </si>
  <si>
    <t>25.2</t>
  </si>
  <si>
    <t>25.3</t>
  </si>
  <si>
    <t>25.4</t>
  </si>
  <si>
    <t>Clay North Cont.
#01070</t>
  </si>
  <si>
    <t>26.2</t>
  </si>
  <si>
    <t>26.3</t>
  </si>
  <si>
    <t>26.4</t>
  </si>
  <si>
    <t>Clay North Cont. #01070</t>
  </si>
  <si>
    <t>Generatoren Wiesbaden Übersicht</t>
  </si>
  <si>
    <t>Geb.</t>
  </si>
  <si>
    <t xml:space="preserve">Installation </t>
  </si>
  <si>
    <t>Ort</t>
  </si>
  <si>
    <t>EPS</t>
  </si>
  <si>
    <t>Structure/ GFEBS</t>
  </si>
  <si>
    <t>MFG</t>
  </si>
  <si>
    <t>Model</t>
  </si>
  <si>
    <t>SN</t>
  </si>
  <si>
    <t>Bj</t>
  </si>
  <si>
    <t>Sprit</t>
  </si>
  <si>
    <t>Ges.Tank</t>
  </si>
  <si>
    <t>Haupttank</t>
  </si>
  <si>
    <t>Tagestank</t>
  </si>
  <si>
    <t>Stand L</t>
  </si>
  <si>
    <t>Stand %</t>
  </si>
  <si>
    <t>Ges.h</t>
  </si>
  <si>
    <t>fehlt L</t>
  </si>
  <si>
    <t>Rest.h</t>
  </si>
  <si>
    <t>kVA</t>
  </si>
  <si>
    <t>Leist. kW</t>
  </si>
  <si>
    <t>Last kW</t>
  </si>
  <si>
    <t>L.bank</t>
  </si>
  <si>
    <t>Last %</t>
  </si>
  <si>
    <t>l/h</t>
  </si>
  <si>
    <t>l/72h</t>
  </si>
  <si>
    <t>l/1Jahr</t>
  </si>
  <si>
    <t>Wartung</t>
  </si>
  <si>
    <t>Firma</t>
  </si>
  <si>
    <t>etc.</t>
  </si>
  <si>
    <t>Clay</t>
  </si>
  <si>
    <t>Flugleitung</t>
  </si>
  <si>
    <t>GEN13</t>
  </si>
  <si>
    <t>1060 Flugleitung</t>
  </si>
  <si>
    <t>TNA/ IVECO/mecc alte</t>
  </si>
  <si>
    <t>Heizöl</t>
  </si>
  <si>
    <t>x</t>
  </si>
  <si>
    <t>Frerk</t>
  </si>
  <si>
    <t>Hainerberg</t>
  </si>
  <si>
    <t>PX</t>
  </si>
  <si>
    <t>7850GEN1</t>
  </si>
  <si>
    <t>Perkins/meccalte</t>
  </si>
  <si>
    <t>DGDF6002 U19862X</t>
  </si>
  <si>
    <t>4006-23TAG3A</t>
  </si>
  <si>
    <t>SDiesel</t>
  </si>
  <si>
    <t>Heinerberg PX</t>
  </si>
  <si>
    <t>Nordseite MTU bl</t>
  </si>
  <si>
    <t>GEN02</t>
  </si>
  <si>
    <t>Sat-Com</t>
  </si>
  <si>
    <t>MTU / Meccalte</t>
  </si>
  <si>
    <t>16V 2000 G65</t>
  </si>
  <si>
    <t>536110790</t>
  </si>
  <si>
    <t>mob. Zeppelin MA</t>
  </si>
  <si>
    <t>mobil</t>
  </si>
  <si>
    <t>Cat/Zeppelin</t>
  </si>
  <si>
    <t>3412 TT</t>
  </si>
  <si>
    <t>81Z22389</t>
  </si>
  <si>
    <t>2023</t>
  </si>
  <si>
    <t>Elementary</t>
  </si>
  <si>
    <t>7915GEN1</t>
  </si>
  <si>
    <t>mecc alte</t>
  </si>
  <si>
    <t>ECO38 2L4</t>
  </si>
  <si>
    <t>Kastel Annex</t>
  </si>
  <si>
    <t>Guard Check</t>
  </si>
  <si>
    <t>7560GEN1</t>
  </si>
  <si>
    <t>Kastel Annex Wache</t>
  </si>
  <si>
    <t>FPT/Nidec</t>
  </si>
  <si>
    <t>NEF67TM4.S500</t>
  </si>
  <si>
    <t>Tower</t>
  </si>
  <si>
    <t>GEN08</t>
  </si>
  <si>
    <t>1036 Tower</t>
  </si>
  <si>
    <t>FPT/Reoy Somer</t>
  </si>
  <si>
    <t>GX180F</t>
  </si>
  <si>
    <t>210419-1</t>
  </si>
  <si>
    <t>Betongeb. 1036</t>
  </si>
  <si>
    <t>Gen. Shop</t>
  </si>
  <si>
    <t>1050GEN1</t>
  </si>
  <si>
    <t>DB/Leroy-Somer</t>
  </si>
  <si>
    <t>OM 404 A</t>
  </si>
  <si>
    <t>404.901-400-006607</t>
  </si>
  <si>
    <t>Airfield</t>
  </si>
  <si>
    <t>1086GEN1</t>
  </si>
  <si>
    <t>1086,Tow.,Airf.,1686,3005</t>
  </si>
  <si>
    <t>MAN/AEG</t>
  </si>
  <si>
    <t>D2542 MLE</t>
  </si>
  <si>
    <t>347390/032</t>
  </si>
  <si>
    <t>Airfield Thomas</t>
  </si>
  <si>
    <t>EOC</t>
  </si>
  <si>
    <t>1059GEN1</t>
  </si>
  <si>
    <t>1059 EOC</t>
  </si>
  <si>
    <t>FPT</t>
  </si>
  <si>
    <t>NEF45AM1A.S500</t>
  </si>
  <si>
    <t>Nach Testlauf Display einschalten</t>
  </si>
  <si>
    <t>AFN</t>
  </si>
  <si>
    <t>GEN12</t>
  </si>
  <si>
    <t>AFN, AND</t>
  </si>
  <si>
    <t>AFN new</t>
  </si>
  <si>
    <t>Cont. MA-Weiler</t>
  </si>
  <si>
    <t>1507GEN1</t>
  </si>
  <si>
    <t>ACP,1007 - 1009</t>
  </si>
  <si>
    <t>Deutz/Leroy-Somer</t>
  </si>
  <si>
    <t>BF8M 1015 CP</t>
  </si>
  <si>
    <t>BF8M 1015</t>
  </si>
  <si>
    <t>AEC</t>
  </si>
  <si>
    <t>AEC 2 Cont,Grün</t>
  </si>
  <si>
    <t>5315GEN1</t>
  </si>
  <si>
    <t>MTU/Marelli</t>
  </si>
  <si>
    <t>18V 2000</t>
  </si>
  <si>
    <t>539 101 978</t>
  </si>
  <si>
    <t>Lodge Hotel</t>
  </si>
  <si>
    <t>7898GEN1</t>
  </si>
  <si>
    <t>Hotel</t>
  </si>
  <si>
    <t>Iveco/Mecalte</t>
  </si>
  <si>
    <t>F3AE9685B*E</t>
  </si>
  <si>
    <t>121105</t>
  </si>
  <si>
    <t>Heinerberg Hotel</t>
  </si>
  <si>
    <t>wegen Probleme bei Lift Manager anfragen</t>
  </si>
  <si>
    <t>Container NAU</t>
  </si>
  <si>
    <t>3341GEN3</t>
  </si>
  <si>
    <t>NAU</t>
  </si>
  <si>
    <t>MTU/Leroy-Somer</t>
  </si>
  <si>
    <t>12V 2000 G65</t>
  </si>
  <si>
    <t>535 108 596</t>
  </si>
  <si>
    <t>Airfield Tacan</t>
  </si>
  <si>
    <t>1569GEN1</t>
  </si>
  <si>
    <t>Tacan</t>
  </si>
  <si>
    <t>Iveco/Leroy Somer</t>
  </si>
  <si>
    <t>Tankanzeige def.</t>
  </si>
  <si>
    <t>Command</t>
  </si>
  <si>
    <t>GEN10</t>
  </si>
  <si>
    <t>Deutz/Marelli</t>
  </si>
  <si>
    <t>Container Feuerwehr</t>
  </si>
  <si>
    <t>GEN06</t>
  </si>
  <si>
    <t>Iveco/Meccalte</t>
  </si>
  <si>
    <t>Bei Lastlauf Network Div. (Hausser) Informieren Blg.1627</t>
  </si>
  <si>
    <t>Wache Ost 7821-7825</t>
  </si>
  <si>
    <t>Heinerbg. Wache O</t>
  </si>
  <si>
    <t>Nordseite Wilson</t>
  </si>
  <si>
    <t>MCCully</t>
  </si>
  <si>
    <t>Container Signal</t>
  </si>
  <si>
    <t>6280GEN1</t>
  </si>
  <si>
    <t>Telefoner</t>
  </si>
  <si>
    <t>Iveco/Creazzo</t>
  </si>
  <si>
    <t>Kastel St.Tel.</t>
  </si>
  <si>
    <t>Kastel Station</t>
  </si>
  <si>
    <t>AND</t>
  </si>
  <si>
    <t>4062GEN1</t>
  </si>
  <si>
    <t>AND Signal</t>
  </si>
  <si>
    <t>Himoinsa</t>
  </si>
  <si>
    <t>HFW - 75 T5</t>
  </si>
  <si>
    <t>4508GEN1</t>
  </si>
  <si>
    <t>Wache</t>
  </si>
  <si>
    <t xml:space="preserve">   </t>
  </si>
  <si>
    <t>Kastel St.Wache</t>
  </si>
  <si>
    <t>Bei Lastlauf Strassenbel. Zuschalten, Auspuffklappe beachten</t>
  </si>
  <si>
    <t>Diesel</t>
  </si>
  <si>
    <t>McCully Wache</t>
  </si>
  <si>
    <t>Wache bescheid sagen, Rampe und Schranken nicht benutzen</t>
  </si>
  <si>
    <t>Wache (nicht besetzt)</t>
  </si>
  <si>
    <t>Heinerberg Wache N</t>
  </si>
  <si>
    <t>Bei Lastlauf Bel. zuschalten, Auspuffklappe beachten</t>
  </si>
  <si>
    <t>Nord Cont. B.</t>
  </si>
  <si>
    <t>kein Anschluss</t>
  </si>
  <si>
    <t>Iveco/Marelli</t>
  </si>
  <si>
    <t>4061GEN1</t>
  </si>
  <si>
    <t>Bushalte</t>
  </si>
  <si>
    <t>N/A</t>
  </si>
  <si>
    <t>1024GEN1</t>
  </si>
  <si>
    <t>WA</t>
  </si>
  <si>
    <t>D 200 "S"</t>
  </si>
  <si>
    <t>1215310</t>
  </si>
  <si>
    <t>MCC 11</t>
  </si>
  <si>
    <t>1000GEN1</t>
  </si>
  <si>
    <t>MCC</t>
  </si>
  <si>
    <t>20V 4000 G23</t>
  </si>
  <si>
    <t>528102001</t>
  </si>
  <si>
    <t>MCC 12</t>
  </si>
  <si>
    <t>528102002</t>
  </si>
  <si>
    <t>MCC 13</t>
  </si>
  <si>
    <t>528102003</t>
  </si>
  <si>
    <t>Shelter</t>
  </si>
  <si>
    <t>KHD Ansaldo</t>
  </si>
  <si>
    <t>KHD/Ansaldo</t>
  </si>
  <si>
    <t>IPC</t>
  </si>
  <si>
    <t>1500GEN1</t>
  </si>
  <si>
    <t>1012,1812,1500</t>
  </si>
  <si>
    <t>MTU / Marelli</t>
  </si>
  <si>
    <t>16V 4000 G63</t>
  </si>
  <si>
    <t>527 110 467</t>
  </si>
  <si>
    <t>Commissary</t>
  </si>
  <si>
    <t>.</t>
  </si>
  <si>
    <t xml:space="preserve">Leistung und Verbraucherleistung der Generatoren DPW Wiesbaden </t>
  </si>
  <si>
    <t>Geb./Nr.</t>
  </si>
  <si>
    <t>Datum</t>
  </si>
  <si>
    <t>Versorgt</t>
  </si>
  <si>
    <t>kW</t>
  </si>
  <si>
    <t>Verbr. kW</t>
  </si>
  <si>
    <t>Verbr. %</t>
  </si>
  <si>
    <t>Generatoren Tanks Leistung und Verbrauch</t>
  </si>
  <si>
    <t>Tank</t>
  </si>
  <si>
    <t>Leistung</t>
  </si>
  <si>
    <t>Zeit</t>
  </si>
  <si>
    <t>supplied</t>
  </si>
  <si>
    <t>Contract</t>
  </si>
  <si>
    <t>DPW EPS&amp;UPS</t>
  </si>
  <si>
    <t>DPW SCIF</t>
  </si>
  <si>
    <t>DoD/IMCOM</t>
  </si>
  <si>
    <t>Egelsbach</t>
  </si>
  <si>
    <t>DoD/E-Netze</t>
  </si>
  <si>
    <t>SR4B Engine: 3512B</t>
  </si>
  <si>
    <t>GEN:8HM0599</t>
  </si>
  <si>
    <t>GEN:8HM0598</t>
  </si>
  <si>
    <t>GEN:8HM0597</t>
  </si>
  <si>
    <t>2604GEN1</t>
  </si>
  <si>
    <t>2604GEN2</t>
  </si>
  <si>
    <t>2604GEN3</t>
  </si>
  <si>
    <t>Dagger</t>
  </si>
  <si>
    <t>GEN Building</t>
  </si>
  <si>
    <t>4367GEN1</t>
  </si>
  <si>
    <t>E-Netze</t>
  </si>
  <si>
    <t xml:space="preserve">AvK </t>
  </si>
  <si>
    <t>DSG 62M2-4</t>
  </si>
  <si>
    <t>6622307 A001</t>
  </si>
  <si>
    <t>4367GEN2</t>
  </si>
  <si>
    <t>4367GEN3</t>
  </si>
  <si>
    <t>4367GEN4</t>
  </si>
  <si>
    <t>MJB 355SA4 B</t>
  </si>
  <si>
    <t>MZ18513</t>
  </si>
  <si>
    <t>6622307 A002</t>
  </si>
  <si>
    <t>6622307 A003</t>
  </si>
  <si>
    <t>GEN Area</t>
  </si>
  <si>
    <t>GEN1</t>
  </si>
  <si>
    <t>GEN2</t>
  </si>
  <si>
    <t>V375A</t>
  </si>
  <si>
    <t>6664/1</t>
  </si>
  <si>
    <t>6664/2</t>
  </si>
  <si>
    <t>Hainerberg #07915</t>
  </si>
  <si>
    <t>Iveco/Mecc alte</t>
  </si>
  <si>
    <t>Power:
60kVA</t>
  </si>
  <si>
    <t>Power:
300kVA</t>
  </si>
  <si>
    <t>Kastel Annex Guard Check</t>
  </si>
  <si>
    <t>Power:
150kVA</t>
  </si>
  <si>
    <t>1500 l</t>
  </si>
  <si>
    <t>P=
300kVA; 240kW</t>
  </si>
  <si>
    <t>Kastel Annex #07560</t>
  </si>
  <si>
    <t xml:space="preserve">
P= 
120 kW;150 kVA
</t>
  </si>
  <si>
    <t>#07898</t>
  </si>
  <si>
    <t>#03341</t>
  </si>
  <si>
    <t>#01569</t>
  </si>
  <si>
    <t>Near Guard Check</t>
  </si>
  <si>
    <t>see above</t>
  </si>
  <si>
    <t>s/a</t>
  </si>
  <si>
    <t>EPS 10</t>
  </si>
  <si>
    <t>Clay
#1059</t>
  </si>
  <si>
    <t>40kVA; 32kW</t>
  </si>
  <si>
    <t>600 l</t>
  </si>
  <si>
    <t xml:space="preserve">Supplied also Bldg.: 01059 </t>
  </si>
  <si>
    <t>EPS 11</t>
  </si>
  <si>
    <t>EPS 12</t>
  </si>
  <si>
    <t>EPS 13</t>
  </si>
  <si>
    <t>5115GEN1</t>
  </si>
  <si>
    <t>4000 l +
day tank 500 l</t>
  </si>
  <si>
    <t>12500l   +    day tank 500 l</t>
  </si>
  <si>
    <t>EPS 14</t>
  </si>
  <si>
    <t>EPS 15</t>
  </si>
  <si>
    <t>3341GEN1</t>
  </si>
  <si>
    <t>8500l + 
day tank 750l</t>
  </si>
  <si>
    <t xml:space="preserve"> </t>
  </si>
  <si>
    <t>800kVA; 640kW</t>
  </si>
  <si>
    <t>160kVA;      128 kW</t>
  </si>
  <si>
    <t>Supplied Bldg. 1569 TACAN</t>
  </si>
  <si>
    <t>48 kW;
60kVA</t>
  </si>
  <si>
    <t>supplied 7850</t>
  </si>
  <si>
    <t>EPS 5</t>
  </si>
  <si>
    <t>EPS 4</t>
  </si>
  <si>
    <t>EPS 3</t>
  </si>
  <si>
    <t>EPS 2</t>
  </si>
  <si>
    <t>EPS 1</t>
  </si>
  <si>
    <t>EPS 6</t>
  </si>
  <si>
    <t>EPS 7</t>
  </si>
  <si>
    <t>GEN008</t>
  </si>
  <si>
    <t>EPS 8</t>
  </si>
  <si>
    <t>EPS 9</t>
  </si>
  <si>
    <t>EPS 16</t>
  </si>
  <si>
    <t>EPS 17</t>
  </si>
  <si>
    <t>EPS 18</t>
  </si>
  <si>
    <t>EPS 19</t>
  </si>
  <si>
    <t>EPS 20</t>
  </si>
  <si>
    <t>EPS 21</t>
  </si>
  <si>
    <t>EPS 22</t>
  </si>
  <si>
    <t>Kastel St.
#04062</t>
  </si>
  <si>
    <t>Himoinsa - 75 T5</t>
  </si>
  <si>
    <t>73kVA; 58kW</t>
  </si>
  <si>
    <t>Supplied Bldg.: ADN
 Signal</t>
  </si>
  <si>
    <t>60kVA; 48kW</t>
  </si>
  <si>
    <t>EPS 26</t>
  </si>
  <si>
    <t>EPS 25</t>
  </si>
  <si>
    <t>EPS 24</t>
  </si>
  <si>
    <t>EPS 23</t>
  </si>
  <si>
    <t>EPS 27</t>
  </si>
  <si>
    <t>Kastel St. 
#04061</t>
  </si>
  <si>
    <t>Supplied Bldg.: AND 4061
 Signal</t>
  </si>
  <si>
    <t>EPS 28</t>
  </si>
  <si>
    <t>Egelsbach GEN Building 
#02604</t>
  </si>
  <si>
    <t>Clay
 #01507</t>
  </si>
  <si>
    <t>Container Weiler</t>
  </si>
  <si>
    <t>EPS 29</t>
  </si>
  <si>
    <t>EPS 30</t>
  </si>
  <si>
    <t>26.5</t>
  </si>
  <si>
    <t>26.6</t>
  </si>
  <si>
    <t>26.7</t>
  </si>
  <si>
    <t>Clay North Cont. #01071</t>
  </si>
  <si>
    <t>EPS 31</t>
  </si>
  <si>
    <t>26.8</t>
  </si>
  <si>
    <t>26.9</t>
  </si>
  <si>
    <t>26.10</t>
  </si>
  <si>
    <t>Clay
#01761</t>
  </si>
  <si>
    <t>Polyma</t>
  </si>
  <si>
    <t>250kVA</t>
  </si>
  <si>
    <t>mob. GEN</t>
  </si>
  <si>
    <t>Gen. Container</t>
  </si>
  <si>
    <t>mob. Gen.</t>
  </si>
  <si>
    <t>Black Building Test</t>
  </si>
  <si>
    <t>BLDG</t>
  </si>
  <si>
    <t>Year</t>
  </si>
  <si>
    <t>fuel</t>
  </si>
  <si>
    <t>Power
kW</t>
  </si>
  <si>
    <t>Load
kW</t>
  </si>
  <si>
    <t>Load%</t>
  </si>
  <si>
    <t>Last
BBT</t>
  </si>
  <si>
    <t>fuel oil</t>
  </si>
  <si>
    <t>diesel</t>
  </si>
  <si>
    <t>K. Annex</t>
  </si>
  <si>
    <t>K. Station</t>
  </si>
  <si>
    <t>BBT schedule</t>
  </si>
  <si>
    <t>POND</t>
  </si>
  <si>
    <t>Telephone/Signal</t>
  </si>
  <si>
    <t>Guard Ost 7821-7825</t>
  </si>
  <si>
    <t>Kastel Annex POND</t>
  </si>
  <si>
    <t>1060 Base ops</t>
  </si>
  <si>
    <t>Bus station</t>
  </si>
  <si>
    <t>Black Building Test BBT USAG</t>
  </si>
  <si>
    <t>ADN</t>
  </si>
  <si>
    <t>ADN Signal</t>
  </si>
  <si>
    <t>AFN, ADN</t>
  </si>
  <si>
    <t>Commander</t>
  </si>
  <si>
    <t>Clay #01736</t>
  </si>
  <si>
    <t>#01036 Tower</t>
  </si>
  <si>
    <t>Tower #01036</t>
  </si>
  <si>
    <t>Clay
AFN #01217</t>
  </si>
  <si>
    <t>#01627</t>
  </si>
  <si>
    <t>Clay, Cont. 
Fire Department
#01627</t>
  </si>
  <si>
    <t>HBACPGEN</t>
  </si>
  <si>
    <t>Clay North/ Wilson
#01571</t>
  </si>
  <si>
    <t>McCully Cont.
#06208</t>
  </si>
  <si>
    <t>ADN Container</t>
  </si>
  <si>
    <t>6208GEN1</t>
  </si>
  <si>
    <t>Haineberg
Guard Check
#07810</t>
  </si>
  <si>
    <t>Mobile Container
Polyma</t>
  </si>
  <si>
    <r>
      <t xml:space="preserve">1 ea. Starter Batteries for Generator System (    )
exhaust system (  )
cooling system (  )
Diesel control cabinet ( ) 
Generator, devices and cabling
Master control Panel, devices and cabling
</t>
    </r>
    <r>
      <rPr>
        <b/>
        <u/>
        <sz val="11"/>
        <rFont val="Calibri"/>
        <family val="2"/>
      </rPr>
      <t>Load banks, load bank connections, load bank switches, and load bank</t>
    </r>
    <r>
      <rPr>
        <u/>
        <sz val="11"/>
        <rFont val="Calibri"/>
        <family val="2"/>
      </rPr>
      <t xml:space="preserve"> </t>
    </r>
    <r>
      <rPr>
        <b/>
        <u/>
        <sz val="11"/>
        <rFont val="Calibri"/>
        <family val="2"/>
      </rPr>
      <t>cabinets</t>
    </r>
    <r>
      <rPr>
        <u/>
        <sz val="11"/>
        <rFont val="Calibri"/>
        <family val="2"/>
      </rPr>
      <t xml:space="preserve"> 
</t>
    </r>
    <r>
      <rPr>
        <sz val="11"/>
        <rFont val="Calibri"/>
        <family val="2"/>
      </rPr>
      <t>Vaccuum leak detector  for fuel tank and pipe  
and all connected and relevant items (e.g. pipes, valves, mech. &amp; electr. switches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</si>
</sst>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5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108A0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B0F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8"/>
      <name val="Calibri"/>
      <family val="2"/>
      <scheme val="minor"/>
    </font>
    <font>
      <sz val="11"/>
      <color rgb="FF000000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name val="Calibri"/>
      <family val="2"/>
    </font>
    <font>
      <u/>
      <sz val="1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4" fillId="0" borderId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36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3" fillId="0" borderId="10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0" fontId="32" fillId="25" borderId="0" xfId="38" applyFont="1" applyFill="1" applyAlignment="1">
      <alignment horizontal="center" vertical="center"/>
    </xf>
    <xf numFmtId="0" fontId="33" fillId="0" borderId="0" xfId="38" applyFont="1" applyAlignment="1">
      <alignment horizontal="center" vertical="center"/>
    </xf>
    <xf numFmtId="0" fontId="31" fillId="25" borderId="10" xfId="38" applyFont="1" applyFill="1" applyBorder="1" applyAlignment="1">
      <alignment horizontal="center" vertical="center"/>
    </xf>
    <xf numFmtId="0" fontId="31" fillId="25" borderId="17" xfId="38" applyFont="1" applyFill="1" applyBorder="1" applyAlignment="1">
      <alignment horizontal="center" vertical="center"/>
    </xf>
    <xf numFmtId="0" fontId="34" fillId="0" borderId="17" xfId="38" applyFont="1" applyBorder="1" applyAlignment="1">
      <alignment horizontal="center" vertical="center"/>
    </xf>
    <xf numFmtId="0" fontId="31" fillId="25" borderId="23" xfId="38" applyFont="1" applyFill="1" applyBorder="1" applyAlignment="1">
      <alignment horizontal="center" vertical="center" wrapText="1"/>
    </xf>
    <xf numFmtId="0" fontId="31" fillId="25" borderId="0" xfId="38" applyFont="1" applyFill="1" applyAlignment="1">
      <alignment horizontal="center" vertical="center"/>
    </xf>
    <xf numFmtId="0" fontId="33" fillId="0" borderId="0" xfId="38" applyFont="1" applyAlignment="1">
      <alignment vertical="center"/>
    </xf>
    <xf numFmtId="0" fontId="34" fillId="0" borderId="0" xfId="38" applyFont="1" applyAlignment="1">
      <alignment horizontal="center" vertical="center"/>
    </xf>
    <xf numFmtId="0" fontId="33" fillId="0" borderId="32" xfId="38" applyFont="1" applyBorder="1"/>
    <xf numFmtId="0" fontId="33" fillId="0" borderId="0" xfId="38" applyFont="1" applyAlignment="1">
      <alignment horizontal="left"/>
    </xf>
    <xf numFmtId="164" fontId="33" fillId="0" borderId="0" xfId="38" applyNumberFormat="1" applyFont="1" applyAlignment="1">
      <alignment horizontal="center"/>
    </xf>
    <xf numFmtId="0" fontId="33" fillId="0" borderId="0" xfId="38" applyFont="1" applyAlignment="1">
      <alignment horizontal="center"/>
    </xf>
    <xf numFmtId="1" fontId="33" fillId="0" borderId="0" xfId="38" applyNumberFormat="1" applyFont="1" applyAlignment="1">
      <alignment horizontal="center"/>
    </xf>
    <xf numFmtId="1" fontId="36" fillId="0" borderId="0" xfId="38" applyNumberFormat="1" applyFont="1" applyAlignment="1">
      <alignment horizontal="center"/>
    </xf>
    <xf numFmtId="0" fontId="33" fillId="0" borderId="0" xfId="38" applyFont="1"/>
    <xf numFmtId="14" fontId="37" fillId="0" borderId="0" xfId="38" applyNumberFormat="1" applyFont="1" applyAlignment="1">
      <alignment horizontal="left"/>
    </xf>
    <xf numFmtId="0" fontId="39" fillId="0" borderId="0" xfId="38" applyFont="1" applyAlignment="1">
      <alignment horizontal="left"/>
    </xf>
    <xf numFmtId="0" fontId="33" fillId="0" borderId="0" xfId="38" applyFont="1" applyAlignment="1">
      <alignment horizontal="right"/>
    </xf>
    <xf numFmtId="0" fontId="37" fillId="0" borderId="0" xfId="38" applyFont="1" applyAlignment="1">
      <alignment horizontal="left"/>
    </xf>
    <xf numFmtId="0" fontId="36" fillId="0" borderId="0" xfId="38" applyFont="1"/>
    <xf numFmtId="0" fontId="37" fillId="0" borderId="0" xfId="38" applyFont="1"/>
    <xf numFmtId="0" fontId="41" fillId="0" borderId="0" xfId="38" applyFont="1"/>
    <xf numFmtId="0" fontId="33" fillId="0" borderId="34" xfId="38" applyFont="1" applyBorder="1"/>
    <xf numFmtId="0" fontId="33" fillId="0" borderId="35" xfId="38" applyFont="1" applyBorder="1"/>
    <xf numFmtId="0" fontId="33" fillId="0" borderId="35" xfId="38" applyFont="1" applyBorder="1" applyAlignment="1">
      <alignment horizontal="left"/>
    </xf>
    <xf numFmtId="0" fontId="33" fillId="0" borderId="35" xfId="38" applyFont="1" applyBorder="1" applyAlignment="1">
      <alignment horizontal="center"/>
    </xf>
    <xf numFmtId="0" fontId="33" fillId="0" borderId="0" xfId="38" applyFont="1" applyAlignment="1">
      <alignment horizontal="left" wrapText="1"/>
    </xf>
    <xf numFmtId="0" fontId="33" fillId="0" borderId="0" xfId="38" applyFont="1" applyAlignment="1">
      <alignment wrapText="1"/>
    </xf>
    <xf numFmtId="164" fontId="43" fillId="0" borderId="10" xfId="38" applyNumberFormat="1" applyFont="1" applyBorder="1" applyAlignment="1">
      <alignment horizontal="center" vertical="center"/>
    </xf>
    <xf numFmtId="0" fontId="46" fillId="0" borderId="0" xfId="38" applyFont="1" applyAlignment="1">
      <alignment vertical="center"/>
    </xf>
    <xf numFmtId="0" fontId="31" fillId="0" borderId="31" xfId="38" applyFont="1" applyBorder="1" applyAlignment="1">
      <alignment horizontal="center" vertical="center"/>
    </xf>
    <xf numFmtId="0" fontId="31" fillId="0" borderId="10" xfId="38" applyFont="1" applyBorder="1" applyAlignment="1">
      <alignment horizontal="center" vertical="center"/>
    </xf>
    <xf numFmtId="164" fontId="31" fillId="0" borderId="10" xfId="38" applyNumberFormat="1" applyFont="1" applyBorder="1" applyAlignment="1">
      <alignment horizontal="center" vertical="center"/>
    </xf>
    <xf numFmtId="1" fontId="31" fillId="0" borderId="10" xfId="38" applyNumberFormat="1" applyFont="1" applyBorder="1" applyAlignment="1">
      <alignment horizontal="center" vertical="center"/>
    </xf>
    <xf numFmtId="0" fontId="34" fillId="0" borderId="23" xfId="38" applyFont="1" applyBorder="1" applyAlignment="1">
      <alignment horizontal="center" vertical="center"/>
    </xf>
    <xf numFmtId="164" fontId="33" fillId="0" borderId="0" xfId="38" applyNumberFormat="1" applyFont="1"/>
    <xf numFmtId="1" fontId="33" fillId="0" borderId="0" xfId="38" applyNumberFormat="1" applyFont="1" applyAlignment="1">
      <alignment horizontal="right"/>
    </xf>
    <xf numFmtId="1" fontId="33" fillId="0" borderId="0" xfId="38" applyNumberFormat="1" applyFont="1"/>
    <xf numFmtId="1" fontId="33" fillId="0" borderId="33" xfId="38" applyNumberFormat="1" applyFont="1" applyBorder="1"/>
    <xf numFmtId="164" fontId="33" fillId="0" borderId="35" xfId="38" applyNumberFormat="1" applyFont="1" applyBorder="1"/>
    <xf numFmtId="0" fontId="33" fillId="0" borderId="35" xfId="38" applyFont="1" applyBorder="1" applyAlignment="1">
      <alignment horizontal="right"/>
    </xf>
    <xf numFmtId="1" fontId="33" fillId="0" borderId="35" xfId="38" applyNumberFormat="1" applyFont="1" applyBorder="1"/>
    <xf numFmtId="0" fontId="33" fillId="0" borderId="36" xfId="38" applyFont="1" applyBorder="1"/>
    <xf numFmtId="0" fontId="44" fillId="0" borderId="0" xfId="38" applyFont="1"/>
    <xf numFmtId="0" fontId="48" fillId="0" borderId="31" xfId="38" applyFont="1" applyBorder="1" applyAlignment="1">
      <alignment horizontal="center" vertical="center"/>
    </xf>
    <xf numFmtId="0" fontId="48" fillId="0" borderId="10" xfId="38" applyFont="1" applyBorder="1" applyAlignment="1">
      <alignment horizontal="center" vertical="center"/>
    </xf>
    <xf numFmtId="0" fontId="48" fillId="0" borderId="23" xfId="38" applyFont="1" applyBorder="1" applyAlignment="1">
      <alignment horizontal="center" vertical="center"/>
    </xf>
    <xf numFmtId="0" fontId="49" fillId="0" borderId="0" xfId="38" applyFont="1"/>
    <xf numFmtId="0" fontId="34" fillId="0" borderId="32" xfId="38" applyFont="1" applyBorder="1" applyAlignment="1">
      <alignment horizontal="left" vertical="center"/>
    </xf>
    <xf numFmtId="0" fontId="34" fillId="0" borderId="0" xfId="38" applyFont="1" applyAlignment="1">
      <alignment horizontal="right" vertical="center"/>
    </xf>
    <xf numFmtId="0" fontId="34" fillId="0" borderId="0" xfId="38" applyFont="1" applyAlignment="1">
      <alignment vertical="center"/>
    </xf>
    <xf numFmtId="0" fontId="34" fillId="0" borderId="33" xfId="38" applyFont="1" applyBorder="1" applyAlignment="1">
      <alignment horizontal="center" vertical="center"/>
    </xf>
    <xf numFmtId="0" fontId="4" fillId="0" borderId="0" xfId="38"/>
    <xf numFmtId="1" fontId="36" fillId="0" borderId="33" xfId="38" applyNumberFormat="1" applyFont="1" applyBorder="1" applyAlignment="1">
      <alignment horizontal="center"/>
    </xf>
    <xf numFmtId="164" fontId="33" fillId="0" borderId="35" xfId="38" applyNumberFormat="1" applyFont="1" applyBorder="1" applyAlignment="1">
      <alignment horizontal="center"/>
    </xf>
    <xf numFmtId="1" fontId="33" fillId="0" borderId="35" xfId="38" applyNumberFormat="1" applyFont="1" applyBorder="1" applyAlignment="1">
      <alignment horizontal="center"/>
    </xf>
    <xf numFmtId="1" fontId="36" fillId="0" borderId="36" xfId="38" applyNumberFormat="1" applyFont="1" applyBorder="1" applyAlignment="1">
      <alignment horizontal="center"/>
    </xf>
    <xf numFmtId="165" fontId="31" fillId="25" borderId="10" xfId="38" applyNumberFormat="1" applyFont="1" applyFill="1" applyBorder="1" applyAlignment="1">
      <alignment horizontal="center" vertical="center"/>
    </xf>
    <xf numFmtId="0" fontId="31" fillId="25" borderId="12" xfId="38" applyFont="1" applyFill="1" applyBorder="1" applyAlignment="1">
      <alignment horizontal="left" vertical="center"/>
    </xf>
    <xf numFmtId="0" fontId="33" fillId="0" borderId="0" xfId="38" applyFont="1" applyAlignment="1">
      <alignment horizontal="left" vertical="center"/>
    </xf>
    <xf numFmtId="0" fontId="33" fillId="0" borderId="10" xfId="38" applyFont="1" applyBorder="1"/>
    <xf numFmtId="0" fontId="33" fillId="0" borderId="10" xfId="38" applyFont="1" applyBorder="1" applyAlignment="1">
      <alignment horizontal="left" vertical="center"/>
    </xf>
    <xf numFmtId="0" fontId="33" fillId="0" borderId="10" xfId="38" applyFont="1" applyBorder="1" applyAlignment="1">
      <alignment horizontal="left"/>
    </xf>
    <xf numFmtId="0" fontId="33" fillId="0" borderId="10" xfId="38" applyFont="1" applyBorder="1" applyAlignment="1">
      <alignment horizontal="center"/>
    </xf>
    <xf numFmtId="1" fontId="33" fillId="0" borderId="10" xfId="38" applyNumberFormat="1" applyFont="1" applyBorder="1" applyAlignment="1">
      <alignment horizontal="center"/>
    </xf>
    <xf numFmtId="1" fontId="35" fillId="0" borderId="10" xfId="38" applyNumberFormat="1" applyFont="1" applyBorder="1" applyAlignment="1">
      <alignment horizontal="center"/>
    </xf>
    <xf numFmtId="1" fontId="36" fillId="0" borderId="10" xfId="38" applyNumberFormat="1" applyFont="1" applyBorder="1" applyAlignment="1">
      <alignment horizontal="center"/>
    </xf>
    <xf numFmtId="164" fontId="36" fillId="0" borderId="10" xfId="38" applyNumberFormat="1" applyFont="1" applyBorder="1" applyAlignment="1">
      <alignment horizontal="center"/>
    </xf>
    <xf numFmtId="0" fontId="35" fillId="0" borderId="10" xfId="38" applyFont="1" applyBorder="1" applyAlignment="1">
      <alignment horizontal="center"/>
    </xf>
    <xf numFmtId="0" fontId="36" fillId="0" borderId="10" xfId="38" applyFont="1" applyBorder="1"/>
    <xf numFmtId="0" fontId="36" fillId="0" borderId="10" xfId="38" applyFont="1" applyBorder="1" applyAlignment="1">
      <alignment horizontal="left" vertical="center"/>
    </xf>
    <xf numFmtId="0" fontId="36" fillId="0" borderId="10" xfId="38" applyFont="1" applyBorder="1" applyAlignment="1">
      <alignment horizontal="left"/>
    </xf>
    <xf numFmtId="0" fontId="36" fillId="0" borderId="10" xfId="38" applyFont="1" applyBorder="1" applyAlignment="1">
      <alignment horizontal="center"/>
    </xf>
    <xf numFmtId="49" fontId="33" fillId="0" borderId="10" xfId="38" applyNumberFormat="1" applyFont="1" applyBorder="1" applyAlignment="1">
      <alignment horizontal="left"/>
    </xf>
    <xf numFmtId="1" fontId="36" fillId="0" borderId="10" xfId="38" applyNumberFormat="1" applyFont="1" applyBorder="1"/>
    <xf numFmtId="0" fontId="37" fillId="0" borderId="23" xfId="38" applyFont="1" applyBorder="1" applyAlignment="1">
      <alignment horizontal="left" wrapText="1"/>
    </xf>
    <xf numFmtId="0" fontId="33" fillId="0" borderId="23" xfId="38" applyFont="1" applyBorder="1" applyAlignment="1">
      <alignment horizontal="left" wrapText="1"/>
    </xf>
    <xf numFmtId="0" fontId="33" fillId="0" borderId="23" xfId="38" applyFont="1" applyBorder="1" applyAlignment="1">
      <alignment wrapText="1"/>
    </xf>
    <xf numFmtId="0" fontId="39" fillId="0" borderId="23" xfId="38" applyFont="1" applyBorder="1" applyAlignment="1">
      <alignment horizontal="left" wrapText="1"/>
    </xf>
    <xf numFmtId="0" fontId="37" fillId="0" borderId="23" xfId="38" applyFont="1" applyBorder="1" applyAlignment="1">
      <alignment wrapText="1"/>
    </xf>
    <xf numFmtId="0" fontId="36" fillId="0" borderId="23" xfId="38" applyFont="1" applyBorder="1" applyAlignment="1">
      <alignment wrapText="1"/>
    </xf>
    <xf numFmtId="165" fontId="33" fillId="0" borderId="10" xfId="38" applyNumberFormat="1" applyFont="1" applyBorder="1" applyAlignment="1">
      <alignment horizontal="left"/>
    </xf>
    <xf numFmtId="165" fontId="33" fillId="0" borderId="0" xfId="38" applyNumberFormat="1" applyFont="1" applyAlignment="1">
      <alignment horizontal="left"/>
    </xf>
    <xf numFmtId="165" fontId="31" fillId="25" borderId="10" xfId="38" applyNumberFormat="1" applyFont="1" applyFill="1" applyBorder="1" applyAlignment="1">
      <alignment horizontal="left"/>
    </xf>
    <xf numFmtId="3" fontId="33" fillId="0" borderId="10" xfId="38" applyNumberFormat="1" applyFont="1" applyBorder="1" applyAlignment="1">
      <alignment horizontal="left"/>
    </xf>
    <xf numFmtId="0" fontId="33" fillId="26" borderId="10" xfId="38" applyFont="1" applyFill="1" applyBorder="1" applyAlignment="1">
      <alignment horizontal="left" vertical="center"/>
    </xf>
    <xf numFmtId="0" fontId="33" fillId="26" borderId="10" xfId="38" applyFont="1" applyFill="1" applyBorder="1"/>
    <xf numFmtId="165" fontId="33" fillId="26" borderId="10" xfId="38" applyNumberFormat="1" applyFont="1" applyFill="1" applyBorder="1" applyAlignment="1">
      <alignment horizontal="left"/>
    </xf>
    <xf numFmtId="0" fontId="40" fillId="26" borderId="10" xfId="38" applyFont="1" applyFill="1" applyBorder="1" applyAlignment="1">
      <alignment horizontal="left"/>
    </xf>
    <xf numFmtId="0" fontId="40" fillId="26" borderId="10" xfId="38" applyFont="1" applyFill="1" applyBorder="1" applyAlignment="1">
      <alignment horizontal="center"/>
    </xf>
    <xf numFmtId="0" fontId="33" fillId="26" borderId="10" xfId="38" applyFont="1" applyFill="1" applyBorder="1" applyAlignment="1">
      <alignment horizontal="left"/>
    </xf>
    <xf numFmtId="0" fontId="33" fillId="26" borderId="10" xfId="38" applyFont="1" applyFill="1" applyBorder="1" applyAlignment="1">
      <alignment horizontal="center"/>
    </xf>
    <xf numFmtId="1" fontId="33" fillId="26" borderId="10" xfId="38" applyNumberFormat="1" applyFont="1" applyFill="1" applyBorder="1" applyAlignment="1">
      <alignment horizontal="center"/>
    </xf>
    <xf numFmtId="1" fontId="35" fillId="26" borderId="10" xfId="38" applyNumberFormat="1" applyFont="1" applyFill="1" applyBorder="1" applyAlignment="1">
      <alignment horizontal="center"/>
    </xf>
    <xf numFmtId="1" fontId="36" fillId="26" borderId="10" xfId="38" applyNumberFormat="1" applyFont="1" applyFill="1" applyBorder="1" applyAlignment="1">
      <alignment horizontal="center"/>
    </xf>
    <xf numFmtId="164" fontId="36" fillId="26" borderId="10" xfId="38" applyNumberFormat="1" applyFont="1" applyFill="1" applyBorder="1" applyAlignment="1">
      <alignment horizontal="center"/>
    </xf>
    <xf numFmtId="0" fontId="33" fillId="26" borderId="23" xfId="38" applyFont="1" applyFill="1" applyBorder="1" applyAlignment="1">
      <alignment wrapText="1"/>
    </xf>
    <xf numFmtId="1" fontId="38" fillId="26" borderId="10" xfId="38" applyNumberFormat="1" applyFont="1" applyFill="1" applyBorder="1" applyAlignment="1">
      <alignment horizontal="center"/>
    </xf>
    <xf numFmtId="0" fontId="36" fillId="26" borderId="10" xfId="38" applyFont="1" applyFill="1" applyBorder="1" applyAlignment="1">
      <alignment horizontal="center"/>
    </xf>
    <xf numFmtId="0" fontId="39" fillId="26" borderId="23" xfId="38" applyFont="1" applyFill="1" applyBorder="1" applyAlignment="1">
      <alignment horizontal="left" wrapText="1"/>
    </xf>
    <xf numFmtId="0" fontId="35" fillId="26" borderId="10" xfId="38" applyFont="1" applyFill="1" applyBorder="1" applyAlignment="1">
      <alignment horizontal="center"/>
    </xf>
    <xf numFmtId="0" fontId="33" fillId="26" borderId="23" xfId="38" applyFont="1" applyFill="1" applyBorder="1" applyAlignment="1">
      <alignment horizontal="left" wrapText="1"/>
    </xf>
    <xf numFmtId="0" fontId="37" fillId="26" borderId="23" xfId="38" applyFont="1" applyFill="1" applyBorder="1" applyAlignment="1">
      <alignment horizontal="left" wrapText="1"/>
    </xf>
    <xf numFmtId="0" fontId="33" fillId="26" borderId="13" xfId="38" applyFont="1" applyFill="1" applyBorder="1" applyAlignment="1">
      <alignment horizontal="left" vertical="center"/>
    </xf>
    <xf numFmtId="0" fontId="33" fillId="26" borderId="13" xfId="38" applyFont="1" applyFill="1" applyBorder="1" applyAlignment="1">
      <alignment horizontal="left"/>
    </xf>
    <xf numFmtId="165" fontId="33" fillId="26" borderId="13" xfId="38" applyNumberFormat="1" applyFont="1" applyFill="1" applyBorder="1" applyAlignment="1">
      <alignment horizontal="left"/>
    </xf>
    <xf numFmtId="0" fontId="33" fillId="26" borderId="13" xfId="38" applyFont="1" applyFill="1" applyBorder="1" applyAlignment="1">
      <alignment horizontal="center"/>
    </xf>
    <xf numFmtId="1" fontId="33" fillId="26" borderId="13" xfId="38" applyNumberFormat="1" applyFont="1" applyFill="1" applyBorder="1" applyAlignment="1">
      <alignment horizontal="center"/>
    </xf>
    <xf numFmtId="0" fontId="35" fillId="26" borderId="13" xfId="38" applyFont="1" applyFill="1" applyBorder="1" applyAlignment="1">
      <alignment horizontal="center"/>
    </xf>
    <xf numFmtId="1" fontId="35" fillId="26" borderId="13" xfId="38" applyNumberFormat="1" applyFont="1" applyFill="1" applyBorder="1" applyAlignment="1">
      <alignment horizontal="center"/>
    </xf>
    <xf numFmtId="1" fontId="36" fillId="26" borderId="13" xfId="38" applyNumberFormat="1" applyFont="1" applyFill="1" applyBorder="1" applyAlignment="1">
      <alignment horizontal="center"/>
    </xf>
    <xf numFmtId="164" fontId="36" fillId="26" borderId="13" xfId="38" applyNumberFormat="1" applyFont="1" applyFill="1" applyBorder="1" applyAlignment="1">
      <alignment horizontal="center"/>
    </xf>
    <xf numFmtId="0" fontId="37" fillId="26" borderId="44" xfId="38" applyFont="1" applyFill="1" applyBorder="1" applyAlignment="1">
      <alignment horizontal="left" wrapText="1"/>
    </xf>
    <xf numFmtId="0" fontId="44" fillId="0" borderId="12" xfId="38" applyFont="1" applyBorder="1" applyAlignment="1">
      <alignment horizontal="center" vertical="center"/>
    </xf>
    <xf numFmtId="165" fontId="50" fillId="25" borderId="10" xfId="38" applyNumberFormat="1" applyFont="1" applyFill="1" applyBorder="1" applyAlignment="1">
      <alignment horizontal="left" wrapText="1"/>
    </xf>
    <xf numFmtId="0" fontId="33" fillId="27" borderId="14" xfId="38" applyFont="1" applyFill="1" applyBorder="1" applyAlignment="1">
      <alignment horizontal="left" vertical="center"/>
    </xf>
    <xf numFmtId="0" fontId="33" fillId="27" borderId="14" xfId="38" applyFont="1" applyFill="1" applyBorder="1" applyAlignment="1">
      <alignment horizontal="left"/>
    </xf>
    <xf numFmtId="165" fontId="33" fillId="27" borderId="10" xfId="38" applyNumberFormat="1" applyFont="1" applyFill="1" applyBorder="1" applyAlignment="1">
      <alignment horizontal="left"/>
    </xf>
    <xf numFmtId="165" fontId="33" fillId="27" borderId="14" xfId="38" applyNumberFormat="1" applyFont="1" applyFill="1" applyBorder="1" applyAlignment="1">
      <alignment horizontal="left"/>
    </xf>
    <xf numFmtId="0" fontId="33" fillId="27" borderId="14" xfId="38" applyFont="1" applyFill="1" applyBorder="1" applyAlignment="1">
      <alignment horizontal="center"/>
    </xf>
    <xf numFmtId="1" fontId="33" fillId="27" borderId="14" xfId="38" applyNumberFormat="1" applyFont="1" applyFill="1" applyBorder="1" applyAlignment="1">
      <alignment horizontal="center"/>
    </xf>
    <xf numFmtId="0" fontId="35" fillId="27" borderId="14" xfId="38" applyFont="1" applyFill="1" applyBorder="1" applyAlignment="1">
      <alignment horizontal="center"/>
    </xf>
    <xf numFmtId="1" fontId="35" fillId="27" borderId="14" xfId="38" applyNumberFormat="1" applyFont="1" applyFill="1" applyBorder="1" applyAlignment="1">
      <alignment horizontal="center"/>
    </xf>
    <xf numFmtId="1" fontId="36" fillId="27" borderId="14" xfId="38" applyNumberFormat="1" applyFont="1" applyFill="1" applyBorder="1" applyAlignment="1">
      <alignment horizontal="center"/>
    </xf>
    <xf numFmtId="164" fontId="36" fillId="27" borderId="14" xfId="38" applyNumberFormat="1" applyFont="1" applyFill="1" applyBorder="1" applyAlignment="1">
      <alignment horizontal="center"/>
    </xf>
    <xf numFmtId="0" fontId="37" fillId="27" borderId="27" xfId="38" applyFont="1" applyFill="1" applyBorder="1" applyAlignment="1">
      <alignment horizontal="left" wrapText="1"/>
    </xf>
    <xf numFmtId="0" fontId="33" fillId="27" borderId="10" xfId="38" applyFont="1" applyFill="1" applyBorder="1" applyAlignment="1">
      <alignment horizontal="left" vertical="center"/>
    </xf>
    <xf numFmtId="0" fontId="33" fillId="27" borderId="10" xfId="38" applyFont="1" applyFill="1" applyBorder="1" applyAlignment="1">
      <alignment horizontal="left"/>
    </xf>
    <xf numFmtId="0" fontId="33" fillId="27" borderId="10" xfId="38" applyFont="1" applyFill="1" applyBorder="1" applyAlignment="1">
      <alignment horizontal="center"/>
    </xf>
    <xf numFmtId="1" fontId="33" fillId="27" borderId="10" xfId="38" applyNumberFormat="1" applyFont="1" applyFill="1" applyBorder="1" applyAlignment="1">
      <alignment horizontal="center"/>
    </xf>
    <xf numFmtId="0" fontId="35" fillId="27" borderId="10" xfId="38" applyFont="1" applyFill="1" applyBorder="1" applyAlignment="1">
      <alignment horizontal="center"/>
    </xf>
    <xf numFmtId="1" fontId="35" fillId="27" borderId="10" xfId="38" applyNumberFormat="1" applyFont="1" applyFill="1" applyBorder="1" applyAlignment="1">
      <alignment horizontal="center"/>
    </xf>
    <xf numFmtId="1" fontId="36" fillId="27" borderId="10" xfId="38" applyNumberFormat="1" applyFont="1" applyFill="1" applyBorder="1" applyAlignment="1">
      <alignment horizontal="center"/>
    </xf>
    <xf numFmtId="164" fontId="36" fillId="27" borderId="10" xfId="38" applyNumberFormat="1" applyFont="1" applyFill="1" applyBorder="1" applyAlignment="1">
      <alignment horizontal="center"/>
    </xf>
    <xf numFmtId="0" fontId="37" fillId="27" borderId="23" xfId="38" applyFont="1" applyFill="1" applyBorder="1" applyAlignment="1">
      <alignment horizontal="left" wrapText="1"/>
    </xf>
    <xf numFmtId="0" fontId="30" fillId="24" borderId="51" xfId="0" applyFont="1" applyFill="1" applyBorder="1" applyAlignment="1">
      <alignment horizontal="center"/>
    </xf>
    <xf numFmtId="0" fontId="30" fillId="24" borderId="51" xfId="0" applyFont="1" applyFill="1" applyBorder="1" applyAlignment="1">
      <alignment horizontal="center" wrapText="1"/>
    </xf>
    <xf numFmtId="0" fontId="2" fillId="24" borderId="51" xfId="0" applyFont="1" applyFill="1" applyBorder="1" applyAlignment="1">
      <alignment horizontal="center" wrapText="1"/>
    </xf>
    <xf numFmtId="0" fontId="30" fillId="24" borderId="52" xfId="0" applyFont="1" applyFill="1" applyBorder="1" applyAlignment="1">
      <alignment horizontal="center" wrapText="1"/>
    </xf>
    <xf numFmtId="0" fontId="0" fillId="0" borderId="20" xfId="0" applyBorder="1" applyAlignment="1">
      <alignment horizontal="center" vertical="center" wrapText="1"/>
    </xf>
    <xf numFmtId="0" fontId="23" fillId="0" borderId="53" xfId="0" applyFont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51" fillId="25" borderId="10" xfId="0" applyFont="1" applyFill="1" applyBorder="1" applyAlignment="1">
      <alignment horizontal="center" vertical="center" wrapText="1"/>
    </xf>
    <xf numFmtId="0" fontId="51" fillId="25" borderId="10" xfId="0" applyFont="1" applyFill="1" applyBorder="1" applyAlignment="1">
      <alignment vertical="center"/>
    </xf>
    <xf numFmtId="0" fontId="23" fillId="25" borderId="10" xfId="0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horizontal="left" vertical="center" wrapText="1"/>
    </xf>
    <xf numFmtId="49" fontId="30" fillId="24" borderId="49" xfId="0" applyNumberFormat="1" applyFont="1" applyFill="1" applyBorder="1" applyAlignment="1">
      <alignment horizontal="center" textRotation="90"/>
    </xf>
    <xf numFmtId="49" fontId="30" fillId="24" borderId="50" xfId="0" applyNumberFormat="1" applyFont="1" applyFill="1" applyBorder="1" applyAlignment="1">
      <alignment horizontal="center" textRotation="90"/>
    </xf>
    <xf numFmtId="49" fontId="52" fillId="24" borderId="51" xfId="0" applyNumberFormat="1" applyFont="1" applyFill="1" applyBorder="1" applyAlignment="1">
      <alignment horizontal="center" textRotation="90"/>
    </xf>
    <xf numFmtId="0" fontId="27" fillId="0" borderId="0" xfId="0" applyFont="1"/>
    <xf numFmtId="49" fontId="27" fillId="0" borderId="0" xfId="0" applyNumberFormat="1" applyFont="1" applyAlignment="1">
      <alignment textRotation="90"/>
    </xf>
    <xf numFmtId="165" fontId="33" fillId="26" borderId="10" xfId="38" applyNumberFormat="1" applyFont="1" applyFill="1" applyBorder="1" applyAlignment="1">
      <alignment horizontal="center"/>
    </xf>
    <xf numFmtId="165" fontId="33" fillId="26" borderId="13" xfId="38" applyNumberFormat="1" applyFont="1" applyFill="1" applyBorder="1" applyAlignment="1">
      <alignment horizontal="center"/>
    </xf>
    <xf numFmtId="165" fontId="33" fillId="27" borderId="14" xfId="38" applyNumberFormat="1" applyFont="1" applyFill="1" applyBorder="1" applyAlignment="1">
      <alignment horizontal="center"/>
    </xf>
    <xf numFmtId="165" fontId="33" fillId="27" borderId="10" xfId="38" applyNumberFormat="1" applyFont="1" applyFill="1" applyBorder="1" applyAlignment="1">
      <alignment horizontal="center"/>
    </xf>
    <xf numFmtId="165" fontId="33" fillId="0" borderId="0" xfId="38" applyNumberFormat="1" applyFont="1" applyAlignment="1">
      <alignment horizontal="center"/>
    </xf>
    <xf numFmtId="0" fontId="31" fillId="25" borderId="31" xfId="38" applyFont="1" applyFill="1" applyBorder="1" applyAlignment="1">
      <alignment horizontal="left" vertical="center"/>
    </xf>
    <xf numFmtId="0" fontId="33" fillId="0" borderId="31" xfId="38" applyFont="1" applyBorder="1" applyAlignment="1">
      <alignment horizontal="left"/>
    </xf>
    <xf numFmtId="0" fontId="36" fillId="0" borderId="31" xfId="38" applyFont="1" applyBorder="1" applyAlignment="1">
      <alignment horizontal="left"/>
    </xf>
    <xf numFmtId="0" fontId="33" fillId="26" borderId="31" xfId="38" applyFont="1" applyFill="1" applyBorder="1" applyAlignment="1">
      <alignment horizontal="left"/>
    </xf>
    <xf numFmtId="0" fontId="33" fillId="26" borderId="43" xfId="38" applyFont="1" applyFill="1" applyBorder="1" applyAlignment="1">
      <alignment horizontal="left"/>
    </xf>
    <xf numFmtId="0" fontId="33" fillId="27" borderId="45" xfId="38" applyFont="1" applyFill="1" applyBorder="1" applyAlignment="1">
      <alignment horizontal="left"/>
    </xf>
    <xf numFmtId="0" fontId="33" fillId="27" borderId="31" xfId="38" applyFont="1" applyFill="1" applyBorder="1" applyAlignment="1">
      <alignment horizontal="left"/>
    </xf>
    <xf numFmtId="0" fontId="0" fillId="0" borderId="53" xfId="0" applyBorder="1" applyAlignment="1">
      <alignment horizontal="left" vertical="center"/>
    </xf>
    <xf numFmtId="0" fontId="0" fillId="0" borderId="53" xfId="0" applyBorder="1" applyAlignment="1">
      <alignment horizontal="center" vertical="center" wrapText="1"/>
    </xf>
    <xf numFmtId="0" fontId="3" fillId="0" borderId="53" xfId="0" applyFont="1" applyBorder="1" applyAlignment="1">
      <alignment vertical="center"/>
    </xf>
    <xf numFmtId="0" fontId="0" fillId="0" borderId="53" xfId="0" applyBorder="1" applyAlignment="1">
      <alignment horizontal="center" vertical="center"/>
    </xf>
    <xf numFmtId="0" fontId="31" fillId="25" borderId="10" xfId="38" applyFont="1" applyFill="1" applyBorder="1" applyAlignment="1">
      <alignment horizontal="center" vertical="center" wrapText="1"/>
    </xf>
    <xf numFmtId="0" fontId="34" fillId="0" borderId="17" xfId="38" applyFont="1" applyBorder="1" applyAlignment="1">
      <alignment horizontal="center" vertical="center" wrapText="1"/>
    </xf>
    <xf numFmtId="0" fontId="53" fillId="25" borderId="31" xfId="38" applyFont="1" applyFill="1" applyBorder="1" applyAlignment="1">
      <alignment horizontal="left" vertical="center"/>
    </xf>
    <xf numFmtId="0" fontId="53" fillId="25" borderId="12" xfId="38" applyFont="1" applyFill="1" applyBorder="1" applyAlignment="1">
      <alignment horizontal="left" vertical="center"/>
    </xf>
    <xf numFmtId="0" fontId="53" fillId="25" borderId="10" xfId="38" applyFont="1" applyFill="1" applyBorder="1" applyAlignment="1">
      <alignment horizontal="center" vertical="center"/>
    </xf>
    <xf numFmtId="165" fontId="53" fillId="25" borderId="10" xfId="38" applyNumberFormat="1" applyFont="1" applyFill="1" applyBorder="1" applyAlignment="1">
      <alignment horizontal="center" vertical="center"/>
    </xf>
    <xf numFmtId="165" fontId="53" fillId="25" borderId="10" xfId="38" applyNumberFormat="1" applyFont="1" applyFill="1" applyBorder="1" applyAlignment="1">
      <alignment horizontal="left" wrapText="1"/>
    </xf>
    <xf numFmtId="165" fontId="53" fillId="25" borderId="10" xfId="38" applyNumberFormat="1" applyFont="1" applyFill="1" applyBorder="1" applyAlignment="1">
      <alignment horizontal="left"/>
    </xf>
    <xf numFmtId="0" fontId="54" fillId="0" borderId="10" xfId="38" applyFont="1" applyBorder="1" applyAlignment="1">
      <alignment horizontal="left" vertical="center"/>
    </xf>
    <xf numFmtId="0" fontId="1" fillId="0" borderId="10" xfId="38" applyFont="1" applyBorder="1" applyAlignment="1">
      <alignment horizontal="left" vertical="center"/>
    </xf>
    <xf numFmtId="0" fontId="54" fillId="26" borderId="10" xfId="38" applyFont="1" applyFill="1" applyBorder="1" applyAlignment="1">
      <alignment horizontal="left" vertical="center"/>
    </xf>
    <xf numFmtId="0" fontId="54" fillId="26" borderId="13" xfId="38" applyFont="1" applyFill="1" applyBorder="1" applyAlignment="1">
      <alignment horizontal="left" vertical="center"/>
    </xf>
    <xf numFmtId="0" fontId="54" fillId="27" borderId="14" xfId="38" applyFont="1" applyFill="1" applyBorder="1" applyAlignment="1">
      <alignment horizontal="left" vertical="center"/>
    </xf>
    <xf numFmtId="0" fontId="54" fillId="27" borderId="10" xfId="38" applyFont="1" applyFill="1" applyBorder="1" applyAlignment="1">
      <alignment horizontal="left" vertical="center"/>
    </xf>
    <xf numFmtId="0" fontId="54" fillId="0" borderId="31" xfId="38" applyFont="1" applyBorder="1" applyAlignment="1">
      <alignment horizontal="left" vertical="center"/>
    </xf>
    <xf numFmtId="0" fontId="54" fillId="0" borderId="10" xfId="38" applyFont="1" applyBorder="1" applyAlignment="1">
      <alignment vertical="center"/>
    </xf>
    <xf numFmtId="1" fontId="54" fillId="0" borderId="10" xfId="38" applyNumberFormat="1" applyFont="1" applyBorder="1" applyAlignment="1">
      <alignment horizontal="center" vertical="center"/>
    </xf>
    <xf numFmtId="165" fontId="54" fillId="0" borderId="10" xfId="38" applyNumberFormat="1" applyFont="1" applyBorder="1" applyAlignment="1">
      <alignment horizontal="left" vertical="center"/>
    </xf>
    <xf numFmtId="0" fontId="1" fillId="0" borderId="31" xfId="38" applyFont="1" applyBorder="1" applyAlignment="1">
      <alignment horizontal="left" vertical="center"/>
    </xf>
    <xf numFmtId="0" fontId="1" fillId="0" borderId="10" xfId="38" applyFont="1" applyBorder="1" applyAlignment="1">
      <alignment vertical="center"/>
    </xf>
    <xf numFmtId="3" fontId="54" fillId="0" borderId="10" xfId="38" applyNumberFormat="1" applyFont="1" applyBorder="1" applyAlignment="1">
      <alignment horizontal="left" vertical="center"/>
    </xf>
    <xf numFmtId="0" fontId="54" fillId="26" borderId="31" xfId="38" applyFont="1" applyFill="1" applyBorder="1" applyAlignment="1">
      <alignment horizontal="left" vertical="center"/>
    </xf>
    <xf numFmtId="0" fontId="54" fillId="26" borderId="10" xfId="38" applyFont="1" applyFill="1" applyBorder="1" applyAlignment="1">
      <alignment vertical="center"/>
    </xf>
    <xf numFmtId="165" fontId="54" fillId="26" borderId="10" xfId="38" applyNumberFormat="1" applyFont="1" applyFill="1" applyBorder="1" applyAlignment="1">
      <alignment horizontal="center" vertical="center"/>
    </xf>
    <xf numFmtId="165" fontId="54" fillId="26" borderId="10" xfId="38" applyNumberFormat="1" applyFont="1" applyFill="1" applyBorder="1" applyAlignment="1">
      <alignment horizontal="left" vertical="center"/>
    </xf>
    <xf numFmtId="0" fontId="55" fillId="26" borderId="10" xfId="38" applyFont="1" applyFill="1" applyBorder="1" applyAlignment="1">
      <alignment horizontal="left" vertical="center"/>
    </xf>
    <xf numFmtId="0" fontId="54" fillId="26" borderId="43" xfId="38" applyFont="1" applyFill="1" applyBorder="1" applyAlignment="1">
      <alignment horizontal="left" vertical="center"/>
    </xf>
    <xf numFmtId="165" fontId="54" fillId="26" borderId="13" xfId="38" applyNumberFormat="1" applyFont="1" applyFill="1" applyBorder="1" applyAlignment="1">
      <alignment horizontal="center" vertical="center"/>
    </xf>
    <xf numFmtId="165" fontId="54" fillId="26" borderId="13" xfId="38" applyNumberFormat="1" applyFont="1" applyFill="1" applyBorder="1" applyAlignment="1">
      <alignment horizontal="left" vertical="center"/>
    </xf>
    <xf numFmtId="0" fontId="54" fillId="27" borderId="45" xfId="38" applyFont="1" applyFill="1" applyBorder="1" applyAlignment="1">
      <alignment horizontal="left" vertical="center"/>
    </xf>
    <xf numFmtId="165" fontId="54" fillId="27" borderId="14" xfId="38" applyNumberFormat="1" applyFont="1" applyFill="1" applyBorder="1" applyAlignment="1">
      <alignment horizontal="center" vertical="center"/>
    </xf>
    <xf numFmtId="165" fontId="54" fillId="27" borderId="10" xfId="38" applyNumberFormat="1" applyFont="1" applyFill="1" applyBorder="1" applyAlignment="1">
      <alignment horizontal="left" vertical="center"/>
    </xf>
    <xf numFmtId="165" fontId="54" fillId="27" borderId="14" xfId="38" applyNumberFormat="1" applyFont="1" applyFill="1" applyBorder="1" applyAlignment="1">
      <alignment horizontal="left" vertical="center"/>
    </xf>
    <xf numFmtId="0" fontId="54" fillId="27" borderId="31" xfId="38" applyFont="1" applyFill="1" applyBorder="1" applyAlignment="1">
      <alignment horizontal="left" vertical="center"/>
    </xf>
    <xf numFmtId="165" fontId="54" fillId="27" borderId="10" xfId="38" applyNumberFormat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 wrapText="1"/>
    </xf>
    <xf numFmtId="0" fontId="3" fillId="0" borderId="16" xfId="0" applyFon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56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 textRotation="90"/>
    </xf>
    <xf numFmtId="49" fontId="27" fillId="0" borderId="56" xfId="0" applyNumberFormat="1" applyFont="1" applyBorder="1" applyAlignment="1">
      <alignment horizontal="center" vertical="center" textRotation="90"/>
    </xf>
    <xf numFmtId="0" fontId="27" fillId="0" borderId="11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49" fontId="2" fillId="0" borderId="46" xfId="0" applyNumberFormat="1" applyFont="1" applyBorder="1" applyAlignment="1">
      <alignment horizontal="center" vertical="center" wrapText="1"/>
    </xf>
    <xf numFmtId="49" fontId="2" fillId="0" borderId="47" xfId="0" applyNumberFormat="1" applyFont="1" applyBorder="1" applyAlignment="1">
      <alignment horizontal="center" vertical="center" wrapText="1"/>
    </xf>
    <xf numFmtId="49" fontId="27" fillId="0" borderId="46" xfId="0" applyNumberFormat="1" applyFont="1" applyBorder="1" applyAlignment="1">
      <alignment horizontal="center" vertical="center" textRotation="90"/>
    </xf>
    <xf numFmtId="49" fontId="27" fillId="0" borderId="47" xfId="0" applyNumberFormat="1" applyFont="1" applyBorder="1" applyAlignment="1">
      <alignment horizontal="center" vertical="center" textRotation="90"/>
    </xf>
    <xf numFmtId="0" fontId="2" fillId="0" borderId="4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49" fontId="27" fillId="0" borderId="14" xfId="0" applyNumberFormat="1" applyFont="1" applyBorder="1" applyAlignment="1">
      <alignment horizontal="center" vertical="center" wrapText="1"/>
    </xf>
    <xf numFmtId="49" fontId="27" fillId="0" borderId="10" xfId="0" applyNumberFormat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49" fontId="27" fillId="0" borderId="14" xfId="0" applyNumberFormat="1" applyFont="1" applyBorder="1" applyAlignment="1">
      <alignment horizontal="center" vertical="center" textRotation="90" wrapText="1"/>
    </xf>
    <xf numFmtId="49" fontId="27" fillId="0" borderId="10" xfId="0" applyNumberFormat="1" applyFont="1" applyBorder="1" applyAlignment="1">
      <alignment horizontal="center" vertical="center" textRotation="90" wrapText="1"/>
    </xf>
    <xf numFmtId="49" fontId="27" fillId="0" borderId="15" xfId="0" applyNumberFormat="1" applyFont="1" applyBorder="1" applyAlignment="1">
      <alignment horizontal="center" vertical="center" textRotation="90" wrapText="1"/>
    </xf>
    <xf numFmtId="0" fontId="27" fillId="0" borderId="14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49" fontId="27" fillId="0" borderId="46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47" xfId="0" applyNumberFormat="1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49" fontId="27" fillId="0" borderId="46" xfId="0" applyNumberFormat="1" applyFont="1" applyBorder="1" applyAlignment="1">
      <alignment horizontal="center" vertical="center" textRotation="90" wrapText="1"/>
    </xf>
    <xf numFmtId="49" fontId="27" fillId="0" borderId="11" xfId="0" applyNumberFormat="1" applyFont="1" applyBorder="1" applyAlignment="1">
      <alignment horizontal="center" vertical="center" textRotation="90" wrapText="1"/>
    </xf>
    <xf numFmtId="49" fontId="27" fillId="0" borderId="47" xfId="0" applyNumberFormat="1" applyFont="1" applyBorder="1" applyAlignment="1">
      <alignment horizontal="center" vertical="center" textRotation="90" wrapText="1"/>
    </xf>
    <xf numFmtId="0" fontId="23" fillId="0" borderId="13" xfId="0" applyFont="1" applyBorder="1" applyAlignment="1">
      <alignment horizontal="center" vertical="center" wrapText="1"/>
    </xf>
    <xf numFmtId="49" fontId="27" fillId="0" borderId="20" xfId="0" applyNumberFormat="1" applyFont="1" applyBorder="1" applyAlignment="1">
      <alignment horizontal="center" vertical="center" wrapText="1"/>
    </xf>
    <xf numFmtId="49" fontId="27" fillId="0" borderId="20" xfId="0" applyNumberFormat="1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1" fillId="25" borderId="18" xfId="38" applyFont="1" applyFill="1" applyBorder="1" applyAlignment="1">
      <alignment horizontal="center" vertical="center"/>
    </xf>
    <xf numFmtId="0" fontId="31" fillId="25" borderId="19" xfId="38" applyFont="1" applyFill="1" applyBorder="1" applyAlignment="1">
      <alignment horizontal="center" vertical="center"/>
    </xf>
    <xf numFmtId="0" fontId="32" fillId="25" borderId="20" xfId="38" applyFont="1" applyFill="1" applyBorder="1" applyAlignment="1">
      <alignment horizontal="center" vertical="center"/>
    </xf>
    <xf numFmtId="0" fontId="32" fillId="25" borderId="30" xfId="38" applyFont="1" applyFill="1" applyBorder="1" applyAlignment="1">
      <alignment horizontal="center" vertical="center"/>
    </xf>
    <xf numFmtId="0" fontId="32" fillId="25" borderId="21" xfId="38" applyFont="1" applyFill="1" applyBorder="1" applyAlignment="1">
      <alignment horizontal="center" vertical="center"/>
    </xf>
    <xf numFmtId="0" fontId="47" fillId="0" borderId="18" xfId="38" applyFont="1" applyBorder="1" applyAlignment="1">
      <alignment horizontal="center" vertical="center"/>
    </xf>
    <xf numFmtId="0" fontId="44" fillId="0" borderId="20" xfId="38" applyFont="1" applyBorder="1" applyAlignment="1">
      <alignment horizontal="center" vertical="center"/>
    </xf>
    <xf numFmtId="0" fontId="44" fillId="0" borderId="21" xfId="38" applyFont="1" applyBorder="1" applyAlignment="1">
      <alignment horizontal="center" vertical="center"/>
    </xf>
    <xf numFmtId="0" fontId="42" fillId="0" borderId="37" xfId="38" applyFont="1" applyBorder="1" applyAlignment="1">
      <alignment horizontal="center" vertical="center"/>
    </xf>
    <xf numFmtId="0" fontId="4" fillId="0" borderId="38" xfId="38" applyBorder="1" applyAlignment="1">
      <alignment horizontal="center" vertical="center"/>
    </xf>
    <xf numFmtId="0" fontId="4" fillId="0" borderId="39" xfId="38" applyBorder="1"/>
    <xf numFmtId="0" fontId="43" fillId="0" borderId="40" xfId="38" applyFont="1" applyBorder="1" applyAlignment="1">
      <alignment horizontal="center" vertical="center"/>
    </xf>
    <xf numFmtId="0" fontId="44" fillId="0" borderId="12" xfId="38" applyFont="1" applyBorder="1" applyAlignment="1">
      <alignment horizontal="center" vertical="center"/>
    </xf>
    <xf numFmtId="0" fontId="43" fillId="0" borderId="17" xfId="38" applyFont="1" applyBorder="1" applyAlignment="1">
      <alignment horizontal="center" vertical="center"/>
    </xf>
    <xf numFmtId="0" fontId="45" fillId="0" borderId="41" xfId="38" applyFont="1" applyBorder="1" applyAlignment="1">
      <alignment horizontal="center" vertical="center"/>
    </xf>
    <xf numFmtId="0" fontId="45" fillId="0" borderId="12" xfId="38" applyFont="1" applyBorder="1" applyAlignment="1">
      <alignment horizontal="center" vertical="center"/>
    </xf>
    <xf numFmtId="1" fontId="43" fillId="0" borderId="17" xfId="38" applyNumberFormat="1" applyFont="1" applyBorder="1" applyAlignment="1">
      <alignment horizontal="center" vertical="center"/>
    </xf>
    <xf numFmtId="1" fontId="43" fillId="0" borderId="41" xfId="38" applyNumberFormat="1" applyFont="1" applyBorder="1" applyAlignment="1">
      <alignment horizontal="center" vertical="center"/>
    </xf>
    <xf numFmtId="1" fontId="43" fillId="0" borderId="12" xfId="38" applyNumberFormat="1" applyFont="1" applyBorder="1" applyAlignment="1">
      <alignment horizontal="center" vertical="center"/>
    </xf>
    <xf numFmtId="0" fontId="4" fillId="0" borderId="42" xfId="38" applyBorder="1" applyAlignment="1">
      <alignment vertical="center"/>
    </xf>
    <xf numFmtId="0" fontId="54" fillId="0" borderId="17" xfId="38" applyFont="1" applyBorder="1" applyAlignment="1">
      <alignment horizontal="center" vertical="center"/>
    </xf>
    <xf numFmtId="0" fontId="54" fillId="0" borderId="12" xfId="38" applyFont="1" applyBorder="1" applyAlignment="1">
      <alignment horizontal="center" vertical="center"/>
    </xf>
    <xf numFmtId="0" fontId="54" fillId="0" borderId="58" xfId="38" applyFont="1" applyBorder="1" applyAlignment="1">
      <alignment horizontal="center" vertical="center"/>
    </xf>
    <xf numFmtId="0" fontId="54" fillId="0" borderId="59" xfId="38" applyFont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53" fillId="25" borderId="17" xfId="38" applyFont="1" applyFill="1" applyBorder="1" applyAlignment="1">
      <alignment horizontal="center" vertical="center"/>
    </xf>
    <xf numFmtId="0" fontId="53" fillId="25" borderId="12" xfId="38" applyFont="1" applyFill="1" applyBorder="1" applyAlignment="1">
      <alignment horizontal="center" vertical="center"/>
    </xf>
    <xf numFmtId="0" fontId="43" fillId="0" borderId="0" xfId="38" applyFont="1" applyAlignment="1">
      <alignment horizontal="center" vertical="center"/>
    </xf>
    <xf numFmtId="0" fontId="43" fillId="0" borderId="60" xfId="38" applyFont="1" applyBorder="1" applyAlignment="1">
      <alignment horizontal="center" vertical="center"/>
    </xf>
    <xf numFmtId="0" fontId="23" fillId="26" borderId="51" xfId="0" applyFont="1" applyFill="1" applyBorder="1" applyAlignment="1">
      <alignment horizontal="left" vertical="center" wrapText="1"/>
    </xf>
    <xf numFmtId="0" fontId="23" fillId="26" borderId="11" xfId="0" applyFont="1" applyFill="1" applyBorder="1" applyAlignment="1">
      <alignment horizontal="left" vertical="center" wrapText="1"/>
    </xf>
    <xf numFmtId="0" fontId="23" fillId="26" borderId="47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myeitaas.sharepoint-mil.us/teams/DPW-TST-OMD/Shared%20Documents/OMD/2_2%20Contract_Branch/4_Electrical/4.2%20EPS_UPS_and%20PV/Base%20Year/I)%20Contract%20package,%20in%20progress/CONTRACT%20RENEWAL%20or%20NEW/10)%20Inventory%20List/24M10%20Gen%20Wi%20Uebersicht%20.xlsx" TargetMode="External"/><Relationship Id="rId2" Type="http://schemas.microsoft.com/office/2019/04/relationships/externalLinkLongPath" Target="/teams/DPW-TST-OMD/Shared%20Documents/OMD/2_2%20Contract_Branch/4_Electrical/4.2%20EPS_UPS_and%20PV/Base%20Year/I)%20Contract%20package,%20in%20progress/CONTRACT%20RENEWAL%20or%20NEW/10)%20Inventory%20List/24M10%20Gen%20Wi%20Uebersicht%20.xlsx?8A30C0EB" TargetMode="External"/><Relationship Id="rId1" Type="http://schemas.openxmlformats.org/officeDocument/2006/relationships/externalLinkPath" Target="file:///\\8A30C0EB\24M10%20Gen%20Wi%20Uebersicht%20.xlsx" TargetMode="External"/><Relationship Id="rId4" Type="http://schemas.openxmlformats.org/officeDocument/2006/relationships/externalLinkPath" Target="../../../../../Base%20Year/I)%20Contract%20package,%20in%20progress/CONTRACT%20RENEWAL%20or%20NEW/10)%20Inventory%20List/24M10%20Gen%20Wi%20Uebersich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KP7yFtD0i0W48pZ23AKykolQzxWM8BlDt7GAsngmRZ7NPJkC5q5VTbKi-MzLfyGQ" itemId="017HJJLO4XLDM3XZJTPBG2NNU2NNSZHFIZ">
      <xxl21:absoluteUrl r:id="rId3"/>
      <xxl21:relativeUrl r:id="rId4"/>
    </xxl21:alternateUrls>
    <sheetNames>
      <sheetName val="Generatoren"/>
      <sheetName val="Tanks Verbrauch"/>
      <sheetName val="Leistung Last"/>
    </sheetNames>
    <sheetDataSet>
      <sheetData sheetId="0">
        <row r="2">
          <cell r="A2" t="str">
            <v>Geb.</v>
          </cell>
          <cell r="B2" t="str">
            <v>Ort</v>
          </cell>
          <cell r="C2" t="str">
            <v>EPS</v>
          </cell>
          <cell r="D2" t="str">
            <v>Check</v>
          </cell>
          <cell r="J2" t="str">
            <v>Sprit</v>
          </cell>
          <cell r="K2" t="str">
            <v>Ges.Tank</v>
          </cell>
          <cell r="L2" t="str">
            <v>Haupttank</v>
          </cell>
          <cell r="M2" t="str">
            <v>Tagestank</v>
          </cell>
          <cell r="N2" t="str">
            <v>Stand L</v>
          </cell>
          <cell r="O2" t="str">
            <v>Stand %</v>
          </cell>
          <cell r="P2" t="str">
            <v>Ges.h</v>
          </cell>
          <cell r="Q2" t="str">
            <v>fehlt L</v>
          </cell>
          <cell r="R2" t="str">
            <v>Rest.h</v>
          </cell>
          <cell r="T2" t="str">
            <v>Leist. kW</v>
          </cell>
          <cell r="U2" t="str">
            <v>Last kW</v>
          </cell>
          <cell r="W2" t="str">
            <v>Last %</v>
          </cell>
          <cell r="X2" t="str">
            <v>l/h</v>
          </cell>
          <cell r="Y2" t="str">
            <v>l/72h</v>
          </cell>
        </row>
        <row r="4">
          <cell r="A4">
            <v>5</v>
          </cell>
          <cell r="B4" t="str">
            <v>mob. Zeppelin MA</v>
          </cell>
          <cell r="C4" t="str">
            <v>4.1</v>
          </cell>
          <cell r="D4">
            <v>45546</v>
          </cell>
          <cell r="E4" t="str">
            <v>mobil</v>
          </cell>
          <cell r="F4" t="str">
            <v>Cat/Zeppelin</v>
          </cell>
          <cell r="J4" t="str">
            <v>Heizöl</v>
          </cell>
          <cell r="K4">
            <v>800</v>
          </cell>
          <cell r="L4">
            <v>800</v>
          </cell>
          <cell r="M4" t="str">
            <v>x</v>
          </cell>
          <cell r="N4">
            <v>640</v>
          </cell>
          <cell r="O4">
            <v>80</v>
          </cell>
          <cell r="P4">
            <v>21.482277121374864</v>
          </cell>
          <cell r="Q4">
            <v>120</v>
          </cell>
          <cell r="R4">
            <v>17.185821697099893</v>
          </cell>
          <cell r="S4">
            <v>500</v>
          </cell>
          <cell r="T4">
            <v>400</v>
          </cell>
          <cell r="U4">
            <v>133</v>
          </cell>
          <cell r="W4">
            <v>33.25</v>
          </cell>
          <cell r="X4">
            <v>37.24</v>
          </cell>
          <cell r="Y4">
            <v>2681.28</v>
          </cell>
          <cell r="Z4">
            <v>3128.1600000000003</v>
          </cell>
        </row>
        <row r="5">
          <cell r="A5">
            <v>1000</v>
          </cell>
          <cell r="B5" t="str">
            <v>MCC 11</v>
          </cell>
          <cell r="C5" t="str">
            <v>x</v>
          </cell>
          <cell r="D5">
            <v>45588</v>
          </cell>
          <cell r="E5" t="str">
            <v>MCC</v>
          </cell>
          <cell r="F5" t="str">
            <v>MTU/Marelli</v>
          </cell>
          <cell r="J5" t="str">
            <v>Heizöl</v>
          </cell>
          <cell r="K5">
            <v>18666</v>
          </cell>
          <cell r="L5">
            <v>16666</v>
          </cell>
          <cell r="M5">
            <v>2000</v>
          </cell>
          <cell r="N5">
            <v>15300</v>
          </cell>
          <cell r="O5">
            <v>92.168674698795186</v>
          </cell>
          <cell r="P5">
            <v>150.53225806451613</v>
          </cell>
          <cell r="Q5">
            <v>532.69999999999891</v>
          </cell>
          <cell r="R5">
            <v>139.51612903225808</v>
          </cell>
          <cell r="S5">
            <v>2500</v>
          </cell>
          <cell r="T5">
            <v>2000</v>
          </cell>
          <cell r="U5">
            <v>400</v>
          </cell>
          <cell r="W5">
            <v>20</v>
          </cell>
          <cell r="X5">
            <v>124</v>
          </cell>
          <cell r="Y5">
            <v>8928</v>
          </cell>
          <cell r="Z5">
            <v>10416</v>
          </cell>
        </row>
        <row r="6">
          <cell r="A6">
            <v>1000</v>
          </cell>
          <cell r="B6" t="str">
            <v>MCC 12</v>
          </cell>
          <cell r="C6" t="str">
            <v>x</v>
          </cell>
          <cell r="D6">
            <v>45588</v>
          </cell>
          <cell r="E6" t="str">
            <v>MCC</v>
          </cell>
          <cell r="F6" t="str">
            <v>MTU/Marelli</v>
          </cell>
          <cell r="J6" t="str">
            <v>Heizöl</v>
          </cell>
          <cell r="K6">
            <v>18666</v>
          </cell>
          <cell r="L6">
            <v>16666</v>
          </cell>
          <cell r="M6">
            <v>2000</v>
          </cell>
          <cell r="N6">
            <v>15300</v>
          </cell>
          <cell r="O6">
            <v>92.168674698795186</v>
          </cell>
          <cell r="P6">
            <v>150.53225806451613</v>
          </cell>
          <cell r="Q6">
            <v>532.69999999999891</v>
          </cell>
          <cell r="R6">
            <v>139.51612903225808</v>
          </cell>
          <cell r="S6">
            <v>2500</v>
          </cell>
          <cell r="T6">
            <v>2000</v>
          </cell>
          <cell r="U6">
            <v>400</v>
          </cell>
          <cell r="W6">
            <v>20</v>
          </cell>
          <cell r="X6">
            <v>124</v>
          </cell>
          <cell r="Y6">
            <v>8928</v>
          </cell>
          <cell r="Z6">
            <v>10416</v>
          </cell>
        </row>
        <row r="7">
          <cell r="A7">
            <v>1000</v>
          </cell>
          <cell r="B7" t="str">
            <v>MCC 13</v>
          </cell>
          <cell r="C7" t="str">
            <v>x</v>
          </cell>
          <cell r="D7">
            <v>45588</v>
          </cell>
          <cell r="E7" t="str">
            <v>MCC</v>
          </cell>
          <cell r="F7" t="str">
            <v>MTU/Marelli</v>
          </cell>
          <cell r="J7" t="str">
            <v>Heizöl</v>
          </cell>
          <cell r="K7">
            <v>18666</v>
          </cell>
          <cell r="L7">
            <v>16666</v>
          </cell>
          <cell r="M7">
            <v>2000</v>
          </cell>
          <cell r="N7">
            <v>15300</v>
          </cell>
          <cell r="O7">
            <v>92.168674698795186</v>
          </cell>
          <cell r="P7">
            <v>150.53225806451613</v>
          </cell>
          <cell r="Q7">
            <v>532.69999999999891</v>
          </cell>
          <cell r="R7">
            <v>139.51612903225808</v>
          </cell>
          <cell r="S7">
            <v>2500</v>
          </cell>
          <cell r="T7">
            <v>2000</v>
          </cell>
          <cell r="U7">
            <v>400</v>
          </cell>
          <cell r="W7">
            <v>20</v>
          </cell>
          <cell r="X7">
            <v>124</v>
          </cell>
          <cell r="Y7">
            <v>8928</v>
          </cell>
          <cell r="Z7">
            <v>10416</v>
          </cell>
        </row>
        <row r="8">
          <cell r="A8">
            <v>1024</v>
          </cell>
          <cell r="B8" t="str">
            <v>Bushalte</v>
          </cell>
          <cell r="C8" t="str">
            <v>5.1</v>
          </cell>
          <cell r="D8">
            <v>45567</v>
          </cell>
          <cell r="E8">
            <v>1024</v>
          </cell>
          <cell r="F8" t="str">
            <v>WA</v>
          </cell>
          <cell r="J8" t="str">
            <v>Heizöl</v>
          </cell>
          <cell r="K8">
            <v>700</v>
          </cell>
          <cell r="L8">
            <v>700</v>
          </cell>
          <cell r="M8" t="str">
            <v>x</v>
          </cell>
          <cell r="N8">
            <v>630</v>
          </cell>
          <cell r="O8">
            <v>90</v>
          </cell>
          <cell r="P8">
            <v>35.714285714285708</v>
          </cell>
          <cell r="Q8">
            <v>35</v>
          </cell>
          <cell r="R8">
            <v>32.142857142857139</v>
          </cell>
          <cell r="S8">
            <v>200</v>
          </cell>
          <cell r="T8">
            <v>160</v>
          </cell>
          <cell r="U8">
            <v>70</v>
          </cell>
          <cell r="W8">
            <v>43.75</v>
          </cell>
          <cell r="X8">
            <v>19.600000000000001</v>
          </cell>
          <cell r="Y8">
            <v>1411.2</v>
          </cell>
          <cell r="Z8">
            <v>1646.4</v>
          </cell>
        </row>
        <row r="9">
          <cell r="A9">
            <v>1027</v>
          </cell>
          <cell r="B9" t="str">
            <v>Container Feuerwehr</v>
          </cell>
          <cell r="C9" t="str">
            <v>18.1</v>
          </cell>
          <cell r="D9">
            <v>45567</v>
          </cell>
          <cell r="E9" t="str">
            <v>1001,1002,1627</v>
          </cell>
          <cell r="F9" t="str">
            <v>Iveco/Meccalte</v>
          </cell>
          <cell r="J9" t="str">
            <v>Heizöl</v>
          </cell>
          <cell r="K9">
            <v>735</v>
          </cell>
          <cell r="L9">
            <v>735</v>
          </cell>
          <cell r="M9" t="str">
            <v>x</v>
          </cell>
          <cell r="N9">
            <v>661.5</v>
          </cell>
          <cell r="O9">
            <v>90</v>
          </cell>
          <cell r="P9">
            <v>47.115384615384613</v>
          </cell>
          <cell r="Q9">
            <v>36.75</v>
          </cell>
          <cell r="R9">
            <v>42.403846153846153</v>
          </cell>
          <cell r="S9">
            <v>105</v>
          </cell>
          <cell r="T9">
            <v>84</v>
          </cell>
          <cell r="U9">
            <v>60</v>
          </cell>
          <cell r="W9">
            <v>71.428571428571431</v>
          </cell>
          <cell r="X9">
            <v>15.600000000000001</v>
          </cell>
          <cell r="Y9">
            <v>1123.2</v>
          </cell>
          <cell r="Z9">
            <v>1310.4000000000001</v>
          </cell>
        </row>
        <row r="11">
          <cell r="A11">
            <v>1050</v>
          </cell>
          <cell r="B11" t="str">
            <v>Gen. Shop</v>
          </cell>
          <cell r="C11" t="str">
            <v>8.1</v>
          </cell>
          <cell r="D11">
            <v>45580</v>
          </cell>
          <cell r="E11">
            <v>1050.1532</v>
          </cell>
          <cell r="F11" t="str">
            <v>DB/Leroy-Somer</v>
          </cell>
          <cell r="J11" t="str">
            <v>Heizöl</v>
          </cell>
          <cell r="K11">
            <v>2500</v>
          </cell>
          <cell r="L11">
            <v>2000</v>
          </cell>
          <cell r="M11">
            <v>500</v>
          </cell>
          <cell r="N11">
            <v>1650</v>
          </cell>
          <cell r="O11">
            <v>82.5</v>
          </cell>
          <cell r="P11">
            <v>230.41474654377882</v>
          </cell>
          <cell r="Q11">
            <v>250</v>
          </cell>
          <cell r="R11">
            <v>198.15668202764977</v>
          </cell>
          <cell r="S11">
            <v>310</v>
          </cell>
          <cell r="T11">
            <v>248</v>
          </cell>
          <cell r="U11">
            <v>35</v>
          </cell>
          <cell r="W11">
            <v>14.112903225806452</v>
          </cell>
          <cell r="X11">
            <v>10.85</v>
          </cell>
          <cell r="Y11">
            <v>781.19999999999993</v>
          </cell>
          <cell r="Z11">
            <v>911.39999999999986</v>
          </cell>
        </row>
        <row r="12">
          <cell r="A12">
            <v>1059</v>
          </cell>
          <cell r="B12" t="str">
            <v>EOC</v>
          </cell>
          <cell r="C12" t="str">
            <v>x</v>
          </cell>
          <cell r="D12">
            <v>45594</v>
          </cell>
          <cell r="E12" t="str">
            <v>1059 EOC</v>
          </cell>
          <cell r="F12" t="str">
            <v>FPT</v>
          </cell>
          <cell r="J12" t="str">
            <v>Heizöl</v>
          </cell>
          <cell r="K12">
            <v>600</v>
          </cell>
          <cell r="L12">
            <v>600</v>
          </cell>
          <cell r="M12" t="str">
            <v>x</v>
          </cell>
          <cell r="N12">
            <v>492</v>
          </cell>
          <cell r="O12">
            <v>82</v>
          </cell>
          <cell r="P12">
            <v>120.96774193548387</v>
          </cell>
          <cell r="Q12">
            <v>78</v>
          </cell>
          <cell r="R12">
            <v>99.193548387096769</v>
          </cell>
          <cell r="S12">
            <v>40</v>
          </cell>
          <cell r="T12">
            <v>32</v>
          </cell>
          <cell r="U12">
            <v>16</v>
          </cell>
          <cell r="W12">
            <v>50</v>
          </cell>
          <cell r="X12">
            <v>4.96</v>
          </cell>
          <cell r="Y12">
            <v>357.12</v>
          </cell>
          <cell r="Z12">
            <v>416.64</v>
          </cell>
        </row>
        <row r="13">
          <cell r="A13">
            <v>1060</v>
          </cell>
          <cell r="B13" t="str">
            <v>Flugleitung</v>
          </cell>
          <cell r="C13" t="str">
            <v>1.1</v>
          </cell>
          <cell r="D13">
            <v>45572</v>
          </cell>
          <cell r="E13" t="str">
            <v>1060 Flugleitung</v>
          </cell>
          <cell r="J13" t="str">
            <v>Heizöl</v>
          </cell>
          <cell r="K13">
            <v>1000</v>
          </cell>
          <cell r="L13">
            <v>1000</v>
          </cell>
          <cell r="M13" t="str">
            <v>x</v>
          </cell>
          <cell r="N13">
            <v>760</v>
          </cell>
          <cell r="O13">
            <v>76</v>
          </cell>
          <cell r="P13">
            <v>226.24434389140271</v>
          </cell>
          <cell r="Q13">
            <v>190</v>
          </cell>
          <cell r="R13">
            <v>171.94570135746608</v>
          </cell>
          <cell r="S13">
            <v>60</v>
          </cell>
          <cell r="T13">
            <v>48</v>
          </cell>
          <cell r="U13">
            <v>17</v>
          </cell>
          <cell r="W13">
            <v>35.416666666666671</v>
          </cell>
          <cell r="X13">
            <v>5.27</v>
          </cell>
          <cell r="Y13">
            <v>379.43999999999994</v>
          </cell>
          <cell r="Z13">
            <v>442.67999999999995</v>
          </cell>
        </row>
        <row r="14">
          <cell r="A14">
            <v>1070</v>
          </cell>
          <cell r="B14" t="str">
            <v>Nord Cont. B.</v>
          </cell>
          <cell r="C14" t="str">
            <v>26.1</v>
          </cell>
          <cell r="D14">
            <v>45593</v>
          </cell>
          <cell r="E14" t="str">
            <v>kein Anschluss</v>
          </cell>
          <cell r="F14" t="str">
            <v>Iveco/Marelli</v>
          </cell>
          <cell r="J14" t="str">
            <v>Heizöl</v>
          </cell>
          <cell r="K14">
            <v>700</v>
          </cell>
          <cell r="L14">
            <v>700</v>
          </cell>
          <cell r="M14" t="str">
            <v>x</v>
          </cell>
          <cell r="N14">
            <v>595</v>
          </cell>
          <cell r="O14">
            <v>85</v>
          </cell>
          <cell r="P14">
            <v>168.26923076923077</v>
          </cell>
          <cell r="Q14">
            <v>70</v>
          </cell>
          <cell r="R14">
            <v>143.02884615384616</v>
          </cell>
          <cell r="S14">
            <v>60</v>
          </cell>
          <cell r="T14">
            <v>48</v>
          </cell>
          <cell r="U14">
            <v>16</v>
          </cell>
          <cell r="W14">
            <v>33.333333333333336</v>
          </cell>
          <cell r="X14">
            <v>4.16</v>
          </cell>
          <cell r="Y14">
            <v>299.52</v>
          </cell>
          <cell r="Z14">
            <v>349.44</v>
          </cell>
        </row>
        <row r="15">
          <cell r="A15">
            <v>1071</v>
          </cell>
          <cell r="B15" t="str">
            <v>Nordseite Wilson</v>
          </cell>
          <cell r="C15" t="str">
            <v>20.1</v>
          </cell>
          <cell r="D15">
            <v>45593</v>
          </cell>
          <cell r="E15">
            <v>1571</v>
          </cell>
          <cell r="F15" t="str">
            <v>FG Wilson</v>
          </cell>
          <cell r="J15" t="str">
            <v>Heizöl</v>
          </cell>
          <cell r="K15">
            <v>360</v>
          </cell>
          <cell r="L15">
            <v>360</v>
          </cell>
          <cell r="M15" t="str">
            <v>x</v>
          </cell>
          <cell r="N15">
            <v>324</v>
          </cell>
          <cell r="O15">
            <v>90</v>
          </cell>
          <cell r="P15">
            <v>75</v>
          </cell>
          <cell r="Q15">
            <v>18</v>
          </cell>
          <cell r="R15">
            <v>67.5</v>
          </cell>
          <cell r="S15">
            <v>60</v>
          </cell>
          <cell r="T15">
            <v>48</v>
          </cell>
          <cell r="U15">
            <v>16</v>
          </cell>
          <cell r="W15">
            <v>33.333333333333336</v>
          </cell>
          <cell r="X15">
            <v>4.8</v>
          </cell>
          <cell r="Y15">
            <v>345.59999999999997</v>
          </cell>
          <cell r="Z15">
            <v>403.19999999999993</v>
          </cell>
        </row>
        <row r="16">
          <cell r="A16">
            <v>1086</v>
          </cell>
          <cell r="B16" t="str">
            <v>Airfield Thomas</v>
          </cell>
          <cell r="C16" t="str">
            <v>9.1</v>
          </cell>
          <cell r="D16">
            <v>45581</v>
          </cell>
          <cell r="E16" t="str">
            <v>1086,Tow.,Airf.,1686,3005</v>
          </cell>
          <cell r="F16" t="str">
            <v>MAN/AEG</v>
          </cell>
          <cell r="J16" t="str">
            <v>Heizöl</v>
          </cell>
          <cell r="K16">
            <v>5200</v>
          </cell>
          <cell r="L16">
            <v>5000</v>
          </cell>
          <cell r="M16">
            <v>200</v>
          </cell>
          <cell r="N16">
            <v>4070</v>
          </cell>
          <cell r="O16">
            <v>81.400000000000006</v>
          </cell>
          <cell r="P16">
            <v>279.56989247311827</v>
          </cell>
          <cell r="Q16">
            <v>680</v>
          </cell>
          <cell r="R16">
            <v>229.56989247311827</v>
          </cell>
          <cell r="S16">
            <v>400</v>
          </cell>
          <cell r="T16">
            <v>320</v>
          </cell>
          <cell r="U16">
            <v>60</v>
          </cell>
          <cell r="W16">
            <v>18.75</v>
          </cell>
          <cell r="X16">
            <v>18.600000000000001</v>
          </cell>
          <cell r="Y16">
            <v>1339.2</v>
          </cell>
          <cell r="Z16">
            <v>1562.4</v>
          </cell>
        </row>
        <row r="17">
          <cell r="A17">
            <v>1183</v>
          </cell>
          <cell r="B17" t="str">
            <v>Shelter</v>
          </cell>
          <cell r="C17" t="str">
            <v>x</v>
          </cell>
          <cell r="D17">
            <v>45594</v>
          </cell>
          <cell r="E17">
            <v>1183</v>
          </cell>
          <cell r="F17" t="str">
            <v>KHD Ansaldo</v>
          </cell>
          <cell r="J17" t="str">
            <v>Heizöl</v>
          </cell>
          <cell r="K17">
            <v>500</v>
          </cell>
          <cell r="L17">
            <v>500</v>
          </cell>
          <cell r="M17" t="str">
            <v>x</v>
          </cell>
          <cell r="N17">
            <v>100</v>
          </cell>
          <cell r="O17">
            <v>20</v>
          </cell>
          <cell r="P17">
            <v>192.30769230769229</v>
          </cell>
          <cell r="Q17">
            <v>375</v>
          </cell>
          <cell r="R17">
            <v>38.46153846153846</v>
          </cell>
          <cell r="S17">
            <v>40</v>
          </cell>
          <cell r="T17">
            <v>32</v>
          </cell>
          <cell r="U17">
            <v>10</v>
          </cell>
          <cell r="W17">
            <v>31.25</v>
          </cell>
          <cell r="X17">
            <v>2.6</v>
          </cell>
          <cell r="Y17">
            <v>187.20000000000002</v>
          </cell>
          <cell r="Z17">
            <v>218.40000000000003</v>
          </cell>
        </row>
        <row r="18">
          <cell r="A18">
            <v>1186</v>
          </cell>
          <cell r="B18" t="str">
            <v>Shelter</v>
          </cell>
          <cell r="C18" t="str">
            <v>x</v>
          </cell>
          <cell r="D18">
            <v>45594</v>
          </cell>
          <cell r="E18">
            <v>1186</v>
          </cell>
          <cell r="F18" t="str">
            <v>KHD Ansaldo</v>
          </cell>
          <cell r="J18" t="str">
            <v>Heizöl</v>
          </cell>
          <cell r="K18">
            <v>500</v>
          </cell>
          <cell r="L18">
            <v>500</v>
          </cell>
          <cell r="M18" t="str">
            <v>x</v>
          </cell>
          <cell r="N18">
            <v>125</v>
          </cell>
          <cell r="O18">
            <v>25</v>
          </cell>
          <cell r="P18">
            <v>192.30769230769229</v>
          </cell>
          <cell r="Q18">
            <v>350</v>
          </cell>
          <cell r="R18">
            <v>48.076923076923073</v>
          </cell>
          <cell r="S18">
            <v>40</v>
          </cell>
          <cell r="T18">
            <v>32</v>
          </cell>
          <cell r="U18">
            <v>10</v>
          </cell>
          <cell r="W18">
            <v>31.25</v>
          </cell>
          <cell r="X18">
            <v>2.6</v>
          </cell>
          <cell r="Y18">
            <v>187.20000000000002</v>
          </cell>
          <cell r="Z18">
            <v>218.40000000000003</v>
          </cell>
        </row>
        <row r="19">
          <cell r="A19">
            <v>1191</v>
          </cell>
          <cell r="B19" t="str">
            <v>Shelter</v>
          </cell>
          <cell r="C19" t="str">
            <v>x</v>
          </cell>
          <cell r="D19">
            <v>45595</v>
          </cell>
          <cell r="E19">
            <v>1191</v>
          </cell>
          <cell r="F19" t="str">
            <v>KHD/Ansaldo</v>
          </cell>
          <cell r="J19" t="str">
            <v>Heizöl</v>
          </cell>
          <cell r="K19">
            <v>500</v>
          </cell>
          <cell r="L19">
            <v>500</v>
          </cell>
          <cell r="M19" t="str">
            <v>x</v>
          </cell>
          <cell r="N19">
            <v>100</v>
          </cell>
          <cell r="O19">
            <v>20</v>
          </cell>
          <cell r="P19">
            <v>192.30769230769229</v>
          </cell>
          <cell r="Q19">
            <v>375</v>
          </cell>
          <cell r="R19">
            <v>38.46153846153846</v>
          </cell>
          <cell r="S19">
            <v>40</v>
          </cell>
          <cell r="T19">
            <v>32</v>
          </cell>
          <cell r="U19">
            <v>10</v>
          </cell>
          <cell r="W19">
            <v>31.25</v>
          </cell>
          <cell r="X19">
            <v>2.6</v>
          </cell>
          <cell r="Y19">
            <v>187.20000000000002</v>
          </cell>
          <cell r="Z19">
            <v>218.40000000000003</v>
          </cell>
        </row>
        <row r="20">
          <cell r="A20">
            <v>1205</v>
          </cell>
          <cell r="B20" t="str">
            <v>Command</v>
          </cell>
          <cell r="C20" t="str">
            <v>17.1</v>
          </cell>
          <cell r="D20">
            <v>45574</v>
          </cell>
          <cell r="E20">
            <v>1205.1208999999999</v>
          </cell>
          <cell r="F20" t="str">
            <v>Deutz/Marelli</v>
          </cell>
          <cell r="J20" t="str">
            <v>Heizöl</v>
          </cell>
          <cell r="K20">
            <v>2000</v>
          </cell>
          <cell r="L20">
            <v>2000</v>
          </cell>
          <cell r="M20" t="str">
            <v>x</v>
          </cell>
          <cell r="N20">
            <v>1900</v>
          </cell>
          <cell r="O20">
            <v>95</v>
          </cell>
          <cell r="P20">
            <v>255.10204081632651</v>
          </cell>
          <cell r="Q20">
            <v>0</v>
          </cell>
          <cell r="R20">
            <v>242.34693877551018</v>
          </cell>
          <cell r="S20">
            <v>130</v>
          </cell>
          <cell r="T20">
            <v>104</v>
          </cell>
          <cell r="U20">
            <v>28</v>
          </cell>
          <cell r="W20">
            <v>26.923076923076923</v>
          </cell>
          <cell r="X20">
            <v>7.8400000000000007</v>
          </cell>
          <cell r="Y20">
            <v>564.48</v>
          </cell>
          <cell r="Z20">
            <v>658.56000000000006</v>
          </cell>
        </row>
        <row r="21">
          <cell r="A21">
            <v>1222</v>
          </cell>
          <cell r="B21" t="str">
            <v>AFN</v>
          </cell>
          <cell r="C21" t="str">
            <v>11.1</v>
          </cell>
          <cell r="D21">
            <v>45574</v>
          </cell>
          <cell r="E21" t="str">
            <v>AFN, AND</v>
          </cell>
          <cell r="J21" t="str">
            <v>Heizöl</v>
          </cell>
          <cell r="K21">
            <v>700</v>
          </cell>
          <cell r="L21">
            <v>700</v>
          </cell>
          <cell r="M21" t="str">
            <v>x</v>
          </cell>
          <cell r="N21">
            <v>455</v>
          </cell>
          <cell r="O21">
            <v>65</v>
          </cell>
          <cell r="P21">
            <v>76.92307692307692</v>
          </cell>
          <cell r="Q21">
            <v>210</v>
          </cell>
          <cell r="R21">
            <v>50</v>
          </cell>
          <cell r="S21">
            <v>96</v>
          </cell>
          <cell r="T21">
            <v>76.8</v>
          </cell>
          <cell r="U21">
            <v>35</v>
          </cell>
          <cell r="W21">
            <v>45.572916666666664</v>
          </cell>
          <cell r="X21">
            <v>9.1</v>
          </cell>
          <cell r="Y21">
            <v>655.19999999999993</v>
          </cell>
          <cell r="Z21">
            <v>764.39999999999986</v>
          </cell>
        </row>
        <row r="22">
          <cell r="A22">
            <v>1500</v>
          </cell>
          <cell r="B22" t="str">
            <v>IPC</v>
          </cell>
          <cell r="C22" t="str">
            <v>x</v>
          </cell>
          <cell r="D22">
            <v>45572</v>
          </cell>
          <cell r="E22" t="str">
            <v>1012,1812,1500</v>
          </cell>
          <cell r="F22" t="str">
            <v>MTU / Marelli</v>
          </cell>
          <cell r="J22" t="str">
            <v>Heizöl</v>
          </cell>
          <cell r="K22">
            <v>31000</v>
          </cell>
          <cell r="L22">
            <v>30000</v>
          </cell>
          <cell r="M22">
            <v>1000</v>
          </cell>
          <cell r="N22">
            <v>27000</v>
          </cell>
          <cell r="O22">
            <v>90</v>
          </cell>
          <cell r="P22">
            <v>259.74025974025977</v>
          </cell>
          <cell r="Q22">
            <v>1500</v>
          </cell>
          <cell r="R22">
            <v>234.60410557184753</v>
          </cell>
          <cell r="S22">
            <v>1856</v>
          </cell>
          <cell r="T22">
            <v>1484.8</v>
          </cell>
          <cell r="U22">
            <v>385</v>
          </cell>
          <cell r="W22">
            <v>25.929418103448278</v>
          </cell>
          <cell r="X22">
            <v>119.35</v>
          </cell>
          <cell r="Y22">
            <v>8593.1999999999989</v>
          </cell>
          <cell r="Z22">
            <v>10025.399999999998</v>
          </cell>
        </row>
        <row r="23">
          <cell r="A23">
            <v>1507</v>
          </cell>
          <cell r="B23" t="str">
            <v>Cont. MA-Weiler</v>
          </cell>
          <cell r="C23" t="str">
            <v>12.1</v>
          </cell>
          <cell r="D23">
            <v>45573</v>
          </cell>
          <cell r="E23" t="str">
            <v>ACP,1007 - 1009</v>
          </cell>
          <cell r="F23" t="str">
            <v>Deutz/Leroy-Somer</v>
          </cell>
          <cell r="J23" t="str">
            <v>Heizöl</v>
          </cell>
          <cell r="K23">
            <v>4500</v>
          </cell>
          <cell r="L23">
            <v>4000</v>
          </cell>
          <cell r="M23">
            <v>500</v>
          </cell>
          <cell r="N23">
            <v>3800</v>
          </cell>
          <cell r="O23">
            <v>95</v>
          </cell>
          <cell r="P23">
            <v>96.774193548387103</v>
          </cell>
          <cell r="Q23">
            <v>0</v>
          </cell>
          <cell r="R23">
            <v>92.473118279569889</v>
          </cell>
          <cell r="S23">
            <v>500</v>
          </cell>
          <cell r="T23">
            <v>400</v>
          </cell>
          <cell r="U23">
            <v>150</v>
          </cell>
          <cell r="W23">
            <v>37.5</v>
          </cell>
          <cell r="X23">
            <v>46.5</v>
          </cell>
          <cell r="Y23">
            <v>3348</v>
          </cell>
          <cell r="Z23">
            <v>3906</v>
          </cell>
        </row>
        <row r="24">
          <cell r="A24">
            <v>1569</v>
          </cell>
          <cell r="B24" t="str">
            <v>Airfield Tacan</v>
          </cell>
          <cell r="C24" t="str">
            <v>16.1</v>
          </cell>
          <cell r="D24">
            <v>45582</v>
          </cell>
          <cell r="E24" t="str">
            <v>Tacan</v>
          </cell>
          <cell r="F24" t="str">
            <v>Iveco/Leroy Somer</v>
          </cell>
          <cell r="J24" t="str">
            <v>Heizöl</v>
          </cell>
          <cell r="K24">
            <v>1080</v>
          </cell>
          <cell r="L24">
            <v>1080</v>
          </cell>
          <cell r="M24" t="str">
            <v>x</v>
          </cell>
          <cell r="N24">
            <v>990</v>
          </cell>
          <cell r="O24">
            <v>91.666666666666657</v>
          </cell>
          <cell r="P24">
            <v>226.89075630252097</v>
          </cell>
          <cell r="Q24">
            <v>36</v>
          </cell>
          <cell r="R24">
            <v>207.9831932773109</v>
          </cell>
          <cell r="S24">
            <v>160</v>
          </cell>
          <cell r="T24">
            <v>128</v>
          </cell>
          <cell r="U24">
            <v>17</v>
          </cell>
          <cell r="W24">
            <v>13.28125</v>
          </cell>
          <cell r="X24">
            <v>4.7600000000000007</v>
          </cell>
          <cell r="Y24">
            <v>342.72</v>
          </cell>
          <cell r="Z24">
            <v>399.84000000000003</v>
          </cell>
        </row>
        <row r="25">
          <cell r="A25">
            <v>3341</v>
          </cell>
          <cell r="B25" t="str">
            <v>Container NAU</v>
          </cell>
          <cell r="C25" t="str">
            <v>15.1</v>
          </cell>
          <cell r="D25">
            <v>45595</v>
          </cell>
          <cell r="E25" t="str">
            <v>NAU</v>
          </cell>
          <cell r="F25" t="str">
            <v>MTU/Leroy-Somer</v>
          </cell>
          <cell r="J25" t="str">
            <v>Heizöl</v>
          </cell>
          <cell r="K25">
            <v>9250</v>
          </cell>
          <cell r="L25">
            <v>8500</v>
          </cell>
          <cell r="M25">
            <v>750</v>
          </cell>
          <cell r="N25">
            <v>7650</v>
          </cell>
          <cell r="O25">
            <v>90</v>
          </cell>
          <cell r="P25">
            <v>142.08909370199694</v>
          </cell>
          <cell r="Q25">
            <v>425</v>
          </cell>
          <cell r="R25">
            <v>117.5115207373272</v>
          </cell>
          <cell r="S25">
            <v>800</v>
          </cell>
          <cell r="T25">
            <v>640</v>
          </cell>
          <cell r="U25">
            <v>210</v>
          </cell>
          <cell r="W25">
            <v>32.8125</v>
          </cell>
          <cell r="X25">
            <v>65.099999999999994</v>
          </cell>
          <cell r="Y25">
            <v>4687.2</v>
          </cell>
          <cell r="Z25">
            <v>5468.4</v>
          </cell>
        </row>
        <row r="26">
          <cell r="A26">
            <v>3377</v>
          </cell>
          <cell r="B26" t="str">
            <v>Nordseite MTU bl</v>
          </cell>
          <cell r="C26" t="str">
            <v>3.1</v>
          </cell>
          <cell r="D26">
            <v>45596</v>
          </cell>
          <cell r="E26" t="str">
            <v>Sat-Com</v>
          </cell>
          <cell r="F26" t="str">
            <v>MTU / Meccalte</v>
          </cell>
          <cell r="J26" t="str">
            <v>Heizöl</v>
          </cell>
          <cell r="K26">
            <v>1000</v>
          </cell>
          <cell r="L26">
            <v>1000</v>
          </cell>
          <cell r="M26" t="str">
            <v>x</v>
          </cell>
          <cell r="N26">
            <v>900</v>
          </cell>
          <cell r="O26">
            <v>90</v>
          </cell>
          <cell r="P26">
            <v>54.674685620557682</v>
          </cell>
          <cell r="Q26">
            <v>50</v>
          </cell>
          <cell r="R26">
            <v>49.207217058501918</v>
          </cell>
          <cell r="S26">
            <v>1000</v>
          </cell>
          <cell r="T26">
            <v>800</v>
          </cell>
          <cell r="U26">
            <v>59</v>
          </cell>
          <cell r="W26">
            <v>7.375</v>
          </cell>
          <cell r="X26">
            <v>18.29</v>
          </cell>
          <cell r="Y26">
            <v>1316.8799999999999</v>
          </cell>
          <cell r="Z26">
            <v>1536.36</v>
          </cell>
        </row>
        <row r="27">
          <cell r="A27">
            <v>4008</v>
          </cell>
          <cell r="B27" t="str">
            <v>Kastel St.Tel.</v>
          </cell>
          <cell r="C27" t="str">
            <v>22.1</v>
          </cell>
          <cell r="D27">
            <v>45566</v>
          </cell>
          <cell r="E27" t="str">
            <v>Telefoner</v>
          </cell>
          <cell r="F27" t="str">
            <v>Iveco/Creazzo</v>
          </cell>
          <cell r="J27" t="str">
            <v>Heizöl</v>
          </cell>
          <cell r="K27">
            <v>300</v>
          </cell>
          <cell r="L27">
            <v>300</v>
          </cell>
          <cell r="M27" t="str">
            <v>x</v>
          </cell>
          <cell r="N27">
            <v>240</v>
          </cell>
          <cell r="O27">
            <v>80</v>
          </cell>
          <cell r="P27">
            <v>46.153846153846153</v>
          </cell>
          <cell r="Q27">
            <v>45</v>
          </cell>
          <cell r="R27">
            <v>36.92307692307692</v>
          </cell>
          <cell r="S27">
            <v>85</v>
          </cell>
          <cell r="T27">
            <v>68</v>
          </cell>
          <cell r="U27">
            <v>25</v>
          </cell>
          <cell r="W27">
            <v>36.764705882352942</v>
          </cell>
          <cell r="X27">
            <v>6.5</v>
          </cell>
          <cell r="Y27">
            <v>468</v>
          </cell>
          <cell r="Z27">
            <v>546</v>
          </cell>
        </row>
        <row r="28">
          <cell r="A28">
            <v>4508</v>
          </cell>
          <cell r="B28" t="str">
            <v>Kastel St.Wache</v>
          </cell>
          <cell r="C28" t="str">
            <v>23.1</v>
          </cell>
          <cell r="D28">
            <v>45566</v>
          </cell>
          <cell r="E28" t="str">
            <v>Wache</v>
          </cell>
          <cell r="F28" t="str">
            <v>Iveco/Meccalte</v>
          </cell>
          <cell r="J28" t="str">
            <v>Heizöl</v>
          </cell>
          <cell r="K28">
            <v>500</v>
          </cell>
          <cell r="L28">
            <v>500</v>
          </cell>
          <cell r="M28" t="str">
            <v>x</v>
          </cell>
          <cell r="N28">
            <v>450</v>
          </cell>
          <cell r="O28">
            <v>90</v>
          </cell>
          <cell r="P28">
            <v>96.153846153846146</v>
          </cell>
          <cell r="Q28">
            <v>25</v>
          </cell>
          <cell r="R28">
            <v>86.538461538461533</v>
          </cell>
          <cell r="S28">
            <v>40</v>
          </cell>
          <cell r="T28">
            <v>32</v>
          </cell>
          <cell r="U28">
            <v>20</v>
          </cell>
          <cell r="W28">
            <v>62.5</v>
          </cell>
          <cell r="X28">
            <v>5.2</v>
          </cell>
          <cell r="Y28">
            <v>374.40000000000003</v>
          </cell>
          <cell r="Z28">
            <v>436.80000000000007</v>
          </cell>
        </row>
        <row r="29">
          <cell r="A29">
            <v>5301</v>
          </cell>
          <cell r="B29" t="str">
            <v>AEC 2 Cont,Grün</v>
          </cell>
          <cell r="C29" t="str">
            <v>13.1</v>
          </cell>
          <cell r="D29">
            <v>45588</v>
          </cell>
          <cell r="E29" t="str">
            <v>AEC</v>
          </cell>
          <cell r="F29" t="str">
            <v>MTU/Marelli</v>
          </cell>
          <cell r="J29" t="str">
            <v>Heizöl</v>
          </cell>
          <cell r="K29">
            <v>13000</v>
          </cell>
          <cell r="L29">
            <v>12500</v>
          </cell>
          <cell r="M29">
            <v>500</v>
          </cell>
          <cell r="N29">
            <v>11000</v>
          </cell>
          <cell r="O29">
            <v>88</v>
          </cell>
          <cell r="P29">
            <v>209.67741935483872</v>
          </cell>
          <cell r="Q29">
            <v>875</v>
          </cell>
          <cell r="R29">
            <v>185.48387096774192</v>
          </cell>
          <cell r="S29">
            <v>800</v>
          </cell>
          <cell r="T29">
            <v>640</v>
          </cell>
          <cell r="U29">
            <v>200</v>
          </cell>
          <cell r="W29">
            <v>31.25</v>
          </cell>
          <cell r="X29">
            <v>62</v>
          </cell>
          <cell r="Y29">
            <v>4464</v>
          </cell>
          <cell r="Z29">
            <v>5208</v>
          </cell>
        </row>
        <row r="30">
          <cell r="A30">
            <v>6208</v>
          </cell>
          <cell r="B30" t="str">
            <v>McCully Cont. Tel.</v>
          </cell>
          <cell r="C30" t="str">
            <v>21.1</v>
          </cell>
          <cell r="D30">
            <v>45566</v>
          </cell>
          <cell r="E30" t="str">
            <v>Telefoner</v>
          </cell>
          <cell r="F30" t="str">
            <v>Iveco/Meccalte</v>
          </cell>
          <cell r="J30" t="str">
            <v>Heizöl</v>
          </cell>
          <cell r="K30">
            <v>900</v>
          </cell>
          <cell r="L30">
            <v>700</v>
          </cell>
          <cell r="M30">
            <v>200</v>
          </cell>
          <cell r="N30">
            <v>560</v>
          </cell>
          <cell r="O30">
            <v>80</v>
          </cell>
          <cell r="P30">
            <v>138.46153846153845</v>
          </cell>
          <cell r="Q30">
            <v>105</v>
          </cell>
          <cell r="R30">
            <v>116.92307692307692</v>
          </cell>
          <cell r="S30">
            <v>60</v>
          </cell>
          <cell r="T30">
            <v>48</v>
          </cell>
          <cell r="U30">
            <v>25</v>
          </cell>
          <cell r="W30">
            <v>52.083333333333336</v>
          </cell>
          <cell r="X30">
            <v>6.5</v>
          </cell>
          <cell r="Y30">
            <v>468</v>
          </cell>
          <cell r="Z30">
            <v>546</v>
          </cell>
        </row>
        <row r="31">
          <cell r="A31">
            <v>7203</v>
          </cell>
          <cell r="B31" t="str">
            <v>McCully Wache</v>
          </cell>
          <cell r="C31" t="str">
            <v>24.1</v>
          </cell>
          <cell r="D31">
            <v>45566</v>
          </cell>
          <cell r="E31" t="str">
            <v>Wache</v>
          </cell>
          <cell r="F31" t="str">
            <v>Iveco/Meccalte</v>
          </cell>
          <cell r="J31" t="str">
            <v>Diesel</v>
          </cell>
          <cell r="K31">
            <v>60</v>
          </cell>
          <cell r="L31">
            <v>60</v>
          </cell>
          <cell r="M31" t="str">
            <v>x</v>
          </cell>
          <cell r="N31">
            <v>38.4</v>
          </cell>
          <cell r="O31">
            <v>64</v>
          </cell>
          <cell r="P31">
            <v>15.384615384615383</v>
          </cell>
          <cell r="Q31">
            <v>18.600000000000001</v>
          </cell>
          <cell r="R31">
            <v>9.8461538461538449</v>
          </cell>
          <cell r="S31">
            <v>40</v>
          </cell>
          <cell r="T31">
            <v>32</v>
          </cell>
          <cell r="U31">
            <v>15</v>
          </cell>
          <cell r="W31">
            <v>46.875</v>
          </cell>
          <cell r="X31">
            <v>3.9000000000000004</v>
          </cell>
          <cell r="Y31">
            <v>280.8</v>
          </cell>
          <cell r="Z31">
            <v>327.60000000000002</v>
          </cell>
        </row>
        <row r="32">
          <cell r="A32">
            <v>7560</v>
          </cell>
          <cell r="B32" t="str">
            <v>Kastel Annex Wache</v>
          </cell>
          <cell r="C32" t="str">
            <v>x</v>
          </cell>
          <cell r="D32">
            <v>45595</v>
          </cell>
          <cell r="E32" t="str">
            <v>Kastel Annex Wache</v>
          </cell>
          <cell r="F32" t="str">
            <v>FPT/Nidec</v>
          </cell>
          <cell r="J32" t="str">
            <v>Heizöl</v>
          </cell>
          <cell r="K32">
            <v>1500</v>
          </cell>
          <cell r="L32">
            <v>1500</v>
          </cell>
          <cell r="M32" t="str">
            <v>x</v>
          </cell>
          <cell r="N32">
            <v>1425</v>
          </cell>
          <cell r="O32">
            <v>95</v>
          </cell>
          <cell r="P32">
            <v>288.46153846153845</v>
          </cell>
          <cell r="Q32">
            <v>0</v>
          </cell>
          <cell r="R32">
            <v>274.03846153846155</v>
          </cell>
          <cell r="S32">
            <v>150</v>
          </cell>
          <cell r="T32">
            <v>120</v>
          </cell>
          <cell r="U32">
            <v>20</v>
          </cell>
          <cell r="W32">
            <v>16.666666666666668</v>
          </cell>
          <cell r="X32">
            <v>5.2</v>
          </cell>
          <cell r="Y32">
            <v>374.40000000000003</v>
          </cell>
          <cell r="Z32">
            <v>436.80000000000007</v>
          </cell>
        </row>
        <row r="33">
          <cell r="A33">
            <v>7762</v>
          </cell>
          <cell r="B33" t="str">
            <v>Heinerberg Wache N</v>
          </cell>
          <cell r="C33" t="str">
            <v>25.1</v>
          </cell>
          <cell r="D33">
            <v>45586</v>
          </cell>
          <cell r="E33" t="str">
            <v>Wache (nicht besetzt)</v>
          </cell>
          <cell r="F33" t="str">
            <v>Iveco/Meccalte</v>
          </cell>
          <cell r="J33" t="str">
            <v>Heizöl</v>
          </cell>
          <cell r="K33">
            <v>500</v>
          </cell>
          <cell r="L33">
            <v>500</v>
          </cell>
          <cell r="M33" t="str">
            <v>x</v>
          </cell>
          <cell r="N33">
            <v>300</v>
          </cell>
          <cell r="O33">
            <v>60</v>
          </cell>
          <cell r="P33">
            <v>128.2051282051282</v>
          </cell>
          <cell r="Q33">
            <v>175</v>
          </cell>
          <cell r="R33">
            <v>76.92307692307692</v>
          </cell>
          <cell r="S33">
            <v>40</v>
          </cell>
          <cell r="T33">
            <v>32</v>
          </cell>
          <cell r="U33">
            <v>15</v>
          </cell>
          <cell r="W33">
            <v>46.875</v>
          </cell>
          <cell r="X33">
            <v>3.9000000000000004</v>
          </cell>
          <cell r="Y33">
            <v>280.8</v>
          </cell>
          <cell r="Z33">
            <v>327.60000000000002</v>
          </cell>
        </row>
        <row r="34">
          <cell r="A34">
            <v>7821</v>
          </cell>
          <cell r="B34" t="str">
            <v>Heinerbg. Wache O</v>
          </cell>
          <cell r="C34" t="str">
            <v>19.1</v>
          </cell>
          <cell r="D34">
            <v>45587</v>
          </cell>
          <cell r="E34" t="str">
            <v>Wache Ost 7821-7825</v>
          </cell>
          <cell r="F34" t="str">
            <v>Deutz/Leroy-Somer</v>
          </cell>
          <cell r="J34" t="str">
            <v>Heizöl</v>
          </cell>
          <cell r="K34">
            <v>500</v>
          </cell>
          <cell r="L34">
            <v>500</v>
          </cell>
          <cell r="M34" t="str">
            <v>x</v>
          </cell>
          <cell r="N34">
            <v>400</v>
          </cell>
          <cell r="O34">
            <v>80</v>
          </cell>
          <cell r="P34">
            <v>76.92307692307692</v>
          </cell>
          <cell r="Q34">
            <v>75</v>
          </cell>
          <cell r="R34">
            <v>61.53846153846154</v>
          </cell>
          <cell r="S34">
            <v>130</v>
          </cell>
          <cell r="T34">
            <v>104</v>
          </cell>
          <cell r="U34">
            <v>25</v>
          </cell>
          <cell r="W34">
            <v>24.038461538461537</v>
          </cell>
          <cell r="X34">
            <v>6.5</v>
          </cell>
          <cell r="Y34">
            <v>468</v>
          </cell>
          <cell r="Z34">
            <v>546</v>
          </cell>
        </row>
        <row r="35">
          <cell r="A35">
            <v>7850</v>
          </cell>
          <cell r="B35" t="str">
            <v>Heinerberg PX</v>
          </cell>
          <cell r="C35" t="str">
            <v>2.1</v>
          </cell>
          <cell r="D35">
            <v>45587</v>
          </cell>
          <cell r="E35" t="str">
            <v>PX</v>
          </cell>
          <cell r="F35" t="str">
            <v>Perkins/meccalte</v>
          </cell>
          <cell r="J35" t="str">
            <v>SDiesel</v>
          </cell>
          <cell r="K35">
            <v>3000</v>
          </cell>
          <cell r="L35">
            <v>2000</v>
          </cell>
          <cell r="M35">
            <v>1000</v>
          </cell>
          <cell r="N35">
            <v>1880</v>
          </cell>
          <cell r="O35">
            <v>94</v>
          </cell>
          <cell r="P35">
            <v>64.516129032258064</v>
          </cell>
          <cell r="Q35">
            <v>20</v>
          </cell>
          <cell r="R35">
            <v>61.935483870967744</v>
          </cell>
          <cell r="S35">
            <v>800</v>
          </cell>
          <cell r="T35">
            <v>640</v>
          </cell>
          <cell r="U35">
            <v>150</v>
          </cell>
          <cell r="W35">
            <v>23.4375</v>
          </cell>
          <cell r="X35">
            <v>46.5</v>
          </cell>
          <cell r="Y35">
            <v>3348</v>
          </cell>
          <cell r="Z35">
            <v>3906</v>
          </cell>
        </row>
        <row r="36">
          <cell r="A36">
            <v>7890</v>
          </cell>
          <cell r="B36" t="str">
            <v>Heinerberg Hotel</v>
          </cell>
          <cell r="C36" t="str">
            <v>14.1</v>
          </cell>
          <cell r="D36">
            <v>45587</v>
          </cell>
          <cell r="E36" t="str">
            <v>Hotel</v>
          </cell>
          <cell r="F36" t="str">
            <v>Iveco/Mecalte</v>
          </cell>
          <cell r="J36" t="str">
            <v>Heizöl</v>
          </cell>
          <cell r="K36">
            <v>2250</v>
          </cell>
          <cell r="L36">
            <v>2000</v>
          </cell>
          <cell r="M36">
            <v>250</v>
          </cell>
          <cell r="N36">
            <v>1900</v>
          </cell>
          <cell r="O36">
            <v>95</v>
          </cell>
          <cell r="P36">
            <v>330.88235294117646</v>
          </cell>
          <cell r="Q36">
            <v>0</v>
          </cell>
          <cell r="R36">
            <v>316.17647058823525</v>
          </cell>
          <cell r="S36">
            <v>400</v>
          </cell>
          <cell r="T36">
            <v>320</v>
          </cell>
          <cell r="U36">
            <v>17</v>
          </cell>
          <cell r="W36">
            <v>5.3125</v>
          </cell>
          <cell r="X36">
            <v>6.8000000000000007</v>
          </cell>
          <cell r="Y36">
            <v>489.6</v>
          </cell>
          <cell r="Z36">
            <v>571.20000000000005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1"/>
  <sheetViews>
    <sheetView tabSelected="1" zoomScale="90" zoomScaleNormal="90" workbookViewId="0">
      <selection activeCell="D2" sqref="D2:D5"/>
    </sheetView>
  </sheetViews>
  <sheetFormatPr defaultColWidth="2.7109375" defaultRowHeight="15" x14ac:dyDescent="0.25"/>
  <cols>
    <col min="1" max="1" width="5.28515625" bestFit="1" customWidth="1"/>
    <col min="2" max="2" width="8.28515625" style="3" bestFit="1" customWidth="1"/>
    <col min="3" max="3" width="5.28515625" style="190" bestFit="1" customWidth="1"/>
    <col min="4" max="4" width="22.7109375" style="10" bestFit="1" customWidth="1"/>
    <col min="5" max="5" width="19.7109375" style="1" bestFit="1" customWidth="1"/>
    <col min="6" max="6" width="21.28515625" style="11" bestFit="1" customWidth="1"/>
    <col min="7" max="7" width="21.5703125" style="25" customWidth="1"/>
    <col min="8" max="8" width="25.5703125" style="8" bestFit="1" customWidth="1"/>
    <col min="9" max="9" width="25.28515625" style="32" bestFit="1" customWidth="1"/>
    <col min="10" max="10" width="13.42578125" style="9" bestFit="1" customWidth="1"/>
    <col min="11" max="11" width="12" style="9" customWidth="1"/>
    <col min="12" max="12" width="76.7109375" style="9" customWidth="1"/>
    <col min="13" max="13" width="30.5703125" style="9" bestFit="1" customWidth="1"/>
  </cols>
  <sheetData>
    <row r="1" spans="1:13" s="2" customFormat="1" ht="76.7" customHeight="1" thickBot="1" x14ac:dyDescent="0.35">
      <c r="A1" s="186" t="s">
        <v>0</v>
      </c>
      <c r="B1" s="187" t="s">
        <v>1</v>
      </c>
      <c r="C1" s="188" t="s">
        <v>2</v>
      </c>
      <c r="D1" s="174" t="s">
        <v>3</v>
      </c>
      <c r="E1" s="173" t="s">
        <v>4</v>
      </c>
      <c r="F1" s="174" t="s">
        <v>5</v>
      </c>
      <c r="G1" s="174" t="s">
        <v>6</v>
      </c>
      <c r="H1" s="173" t="s">
        <v>7</v>
      </c>
      <c r="I1" s="174" t="s">
        <v>8</v>
      </c>
      <c r="J1" s="174" t="s">
        <v>9</v>
      </c>
      <c r="K1" s="175" t="s">
        <v>10</v>
      </c>
      <c r="L1" s="174" t="s">
        <v>11</v>
      </c>
      <c r="M1" s="176" t="s">
        <v>12</v>
      </c>
    </row>
    <row r="2" spans="1:13" s="2" customFormat="1" ht="60" customHeight="1" x14ac:dyDescent="0.25">
      <c r="A2" s="320">
        <v>1</v>
      </c>
      <c r="B2" s="310" t="s">
        <v>451</v>
      </c>
      <c r="C2" s="311" t="s">
        <v>206</v>
      </c>
      <c r="D2" s="312" t="s">
        <v>13</v>
      </c>
      <c r="E2" s="314" t="s">
        <v>14</v>
      </c>
      <c r="F2" s="179" t="s">
        <v>15</v>
      </c>
      <c r="G2" s="177" t="s">
        <v>16</v>
      </c>
      <c r="H2" s="177" t="s">
        <v>411</v>
      </c>
      <c r="I2" s="177" t="s">
        <v>18</v>
      </c>
      <c r="J2" s="177" t="s">
        <v>445</v>
      </c>
      <c r="K2" s="314">
        <v>2020</v>
      </c>
      <c r="L2" s="365" t="s">
        <v>533</v>
      </c>
      <c r="M2" s="327" t="s">
        <v>19</v>
      </c>
    </row>
    <row r="3" spans="1:13" s="2" customFormat="1" ht="30" x14ac:dyDescent="0.25">
      <c r="A3" s="321"/>
      <c r="B3" s="281"/>
      <c r="C3" s="284"/>
      <c r="D3" s="313"/>
      <c r="E3" s="254"/>
      <c r="F3" s="12" t="s">
        <v>27</v>
      </c>
      <c r="G3" s="4"/>
      <c r="H3" s="4"/>
      <c r="I3" s="4"/>
      <c r="J3" s="4" t="s">
        <v>53</v>
      </c>
      <c r="K3" s="254"/>
      <c r="L3" s="366"/>
      <c r="M3" s="328"/>
    </row>
    <row r="4" spans="1:13" s="2" customFormat="1" ht="30" x14ac:dyDescent="0.25">
      <c r="A4" s="321"/>
      <c r="B4" s="281"/>
      <c r="C4" s="284"/>
      <c r="D4" s="313"/>
      <c r="E4" s="254"/>
      <c r="F4" s="12" t="s">
        <v>36</v>
      </c>
      <c r="G4" s="4"/>
      <c r="H4" s="4" t="s">
        <v>17</v>
      </c>
      <c r="I4" s="4"/>
      <c r="J4" s="4" t="s">
        <v>412</v>
      </c>
      <c r="K4" s="254"/>
      <c r="L4" s="366"/>
      <c r="M4" s="328"/>
    </row>
    <row r="5" spans="1:13" s="2" customFormat="1" ht="15.75" thickBot="1" x14ac:dyDescent="0.3">
      <c r="A5" s="322"/>
      <c r="B5" s="282"/>
      <c r="C5" s="285"/>
      <c r="D5" s="319"/>
      <c r="E5" s="274"/>
      <c r="F5" s="14" t="s">
        <v>40</v>
      </c>
      <c r="G5" s="7"/>
      <c r="H5" s="7"/>
      <c r="I5" s="7"/>
      <c r="J5" s="7"/>
      <c r="K5" s="274"/>
      <c r="L5" s="367"/>
      <c r="M5" s="329"/>
    </row>
    <row r="6" spans="1:13" s="11" customFormat="1" ht="90.75" thickTop="1" x14ac:dyDescent="0.25">
      <c r="A6" s="246">
        <v>2</v>
      </c>
      <c r="B6" s="302" t="s">
        <v>450</v>
      </c>
      <c r="C6" s="307" t="s">
        <v>214</v>
      </c>
      <c r="D6" s="252" t="s">
        <v>20</v>
      </c>
      <c r="E6" s="259" t="s">
        <v>21</v>
      </c>
      <c r="F6" s="13" t="s">
        <v>22</v>
      </c>
      <c r="G6" s="35" t="s">
        <v>23</v>
      </c>
      <c r="H6" s="33" t="s">
        <v>24</v>
      </c>
      <c r="I6" s="33" t="s">
        <v>25</v>
      </c>
      <c r="J6" s="33" t="s">
        <v>26</v>
      </c>
      <c r="K6" s="275">
        <v>2014</v>
      </c>
      <c r="L6" s="275" t="s">
        <v>424</v>
      </c>
      <c r="M6" s="315" t="s">
        <v>446</v>
      </c>
    </row>
    <row r="7" spans="1:13" s="11" customFormat="1" ht="30" x14ac:dyDescent="0.25">
      <c r="A7" s="246"/>
      <c r="B7" s="302"/>
      <c r="C7" s="307"/>
      <c r="D7" s="252"/>
      <c r="E7" s="259"/>
      <c r="F7" s="12" t="s">
        <v>27</v>
      </c>
      <c r="G7" s="20" t="s">
        <v>23</v>
      </c>
      <c r="H7" s="27" t="s">
        <v>28</v>
      </c>
      <c r="I7" s="27" t="s">
        <v>29</v>
      </c>
      <c r="J7" s="27" t="s">
        <v>30</v>
      </c>
      <c r="K7" s="259"/>
      <c r="L7" s="259"/>
      <c r="M7" s="316"/>
    </row>
    <row r="8" spans="1:13" s="11" customFormat="1" ht="30" x14ac:dyDescent="0.25">
      <c r="A8" s="246"/>
      <c r="B8" s="302"/>
      <c r="C8" s="307"/>
      <c r="D8" s="252"/>
      <c r="E8" s="259"/>
      <c r="F8" s="12" t="s">
        <v>31</v>
      </c>
      <c r="G8" s="20" t="s">
        <v>23</v>
      </c>
      <c r="H8" s="27" t="s">
        <v>32</v>
      </c>
      <c r="I8" s="27" t="s">
        <v>29</v>
      </c>
      <c r="J8" s="27" t="s">
        <v>33</v>
      </c>
      <c r="K8" s="259"/>
      <c r="L8" s="259"/>
      <c r="M8" s="316"/>
    </row>
    <row r="9" spans="1:13" s="11" customFormat="1" ht="52.5" x14ac:dyDescent="0.25">
      <c r="A9" s="246"/>
      <c r="B9" s="302"/>
      <c r="C9" s="307"/>
      <c r="D9" s="252"/>
      <c r="E9" s="259"/>
      <c r="F9" s="12" t="s">
        <v>34</v>
      </c>
      <c r="G9" s="20" t="s">
        <v>23</v>
      </c>
      <c r="H9" s="27" t="s">
        <v>28</v>
      </c>
      <c r="I9" s="27" t="s">
        <v>29</v>
      </c>
      <c r="J9" s="27" t="s">
        <v>35</v>
      </c>
      <c r="K9" s="259"/>
      <c r="L9" s="259"/>
      <c r="M9" s="316"/>
    </row>
    <row r="10" spans="1:13" s="11" customFormat="1" ht="30" x14ac:dyDescent="0.25">
      <c r="A10" s="246"/>
      <c r="B10" s="302"/>
      <c r="C10" s="307"/>
      <c r="D10" s="252"/>
      <c r="E10" s="259"/>
      <c r="F10" s="12" t="s">
        <v>36</v>
      </c>
      <c r="G10" s="20" t="s">
        <v>23</v>
      </c>
      <c r="H10" s="27" t="s">
        <v>37</v>
      </c>
      <c r="I10" s="27" t="s">
        <v>38</v>
      </c>
      <c r="J10" s="27" t="s">
        <v>39</v>
      </c>
      <c r="K10" s="259"/>
      <c r="L10" s="259"/>
      <c r="M10" s="316"/>
    </row>
    <row r="11" spans="1:13" s="11" customFormat="1" ht="30" x14ac:dyDescent="0.25">
      <c r="A11" s="246"/>
      <c r="B11" s="302"/>
      <c r="C11" s="307"/>
      <c r="D11" s="252"/>
      <c r="E11" s="289"/>
      <c r="F11" s="12" t="s">
        <v>40</v>
      </c>
      <c r="G11" s="20" t="s">
        <v>41</v>
      </c>
      <c r="H11" s="36" t="s">
        <v>42</v>
      </c>
      <c r="I11" s="27" t="s">
        <v>38</v>
      </c>
      <c r="J11" s="36"/>
      <c r="K11" s="259"/>
      <c r="L11" s="259"/>
      <c r="M11" s="316"/>
    </row>
    <row r="12" spans="1:13" s="11" customFormat="1" ht="30.75" thickBot="1" x14ac:dyDescent="0.3">
      <c r="A12" s="318"/>
      <c r="B12" s="303"/>
      <c r="C12" s="308"/>
      <c r="D12" s="305"/>
      <c r="E12" s="242" t="s">
        <v>43</v>
      </c>
      <c r="F12" s="14" t="s">
        <v>44</v>
      </c>
      <c r="G12" s="34" t="s">
        <v>23</v>
      </c>
      <c r="H12" s="242"/>
      <c r="I12" s="242"/>
      <c r="J12" s="242"/>
      <c r="K12" s="264"/>
      <c r="L12" s="264"/>
      <c r="M12" s="317"/>
    </row>
    <row r="13" spans="1:13" s="11" customFormat="1" ht="90.75" thickTop="1" x14ac:dyDescent="0.25">
      <c r="A13" s="326">
        <v>3</v>
      </c>
      <c r="B13" s="301" t="s">
        <v>449</v>
      </c>
      <c r="C13" s="306" t="s">
        <v>221</v>
      </c>
      <c r="D13" s="304" t="s">
        <v>45</v>
      </c>
      <c r="E13" s="275" t="s">
        <v>46</v>
      </c>
      <c r="F13" s="13" t="s">
        <v>22</v>
      </c>
      <c r="G13" s="35" t="s">
        <v>22</v>
      </c>
      <c r="H13" s="33" t="s">
        <v>47</v>
      </c>
      <c r="I13" s="33" t="s">
        <v>25</v>
      </c>
      <c r="J13" s="33" t="s">
        <v>48</v>
      </c>
      <c r="K13" s="275">
        <v>2012</v>
      </c>
      <c r="L13" s="275" t="s">
        <v>425</v>
      </c>
      <c r="M13" s="330" t="s">
        <v>49</v>
      </c>
    </row>
    <row r="14" spans="1:13" s="11" customFormat="1" ht="30" x14ac:dyDescent="0.25">
      <c r="A14" s="246"/>
      <c r="B14" s="302"/>
      <c r="C14" s="307"/>
      <c r="D14" s="252"/>
      <c r="E14" s="259"/>
      <c r="F14" s="12" t="s">
        <v>50</v>
      </c>
      <c r="G14" s="20" t="s">
        <v>50</v>
      </c>
      <c r="H14" s="27"/>
      <c r="I14" s="27" t="s">
        <v>38</v>
      </c>
      <c r="J14" s="27" t="s">
        <v>51</v>
      </c>
      <c r="K14" s="259"/>
      <c r="L14" s="259"/>
      <c r="M14" s="331"/>
    </row>
    <row r="15" spans="1:13" s="11" customFormat="1" ht="30" x14ac:dyDescent="0.25">
      <c r="A15" s="246"/>
      <c r="B15" s="302"/>
      <c r="C15" s="307"/>
      <c r="D15" s="252"/>
      <c r="E15" s="259"/>
      <c r="F15" s="12" t="s">
        <v>40</v>
      </c>
      <c r="G15" s="20" t="s">
        <v>40</v>
      </c>
      <c r="H15" s="36"/>
      <c r="I15" s="27" t="s">
        <v>38</v>
      </c>
      <c r="J15" s="36"/>
      <c r="K15" s="259"/>
      <c r="L15" s="259"/>
      <c r="M15" s="331"/>
    </row>
    <row r="16" spans="1:13" s="11" customFormat="1" ht="15.75" thickBot="1" x14ac:dyDescent="0.3">
      <c r="A16" s="318"/>
      <c r="B16" s="303"/>
      <c r="C16" s="308"/>
      <c r="D16" s="305"/>
      <c r="E16" s="264"/>
      <c r="F16" s="14" t="s">
        <v>52</v>
      </c>
      <c r="G16" s="34" t="s">
        <v>52</v>
      </c>
      <c r="H16" s="242"/>
      <c r="I16" s="242"/>
      <c r="J16" s="242" t="s">
        <v>53</v>
      </c>
      <c r="K16" s="264"/>
      <c r="L16" s="264"/>
      <c r="M16" s="332"/>
    </row>
    <row r="17" spans="1:13" s="11" customFormat="1" ht="30.75" thickTop="1" x14ac:dyDescent="0.25">
      <c r="A17" s="326">
        <v>4</v>
      </c>
      <c r="B17" s="301" t="s">
        <v>448</v>
      </c>
      <c r="C17" s="306"/>
      <c r="D17" s="304" t="s">
        <v>54</v>
      </c>
      <c r="E17" s="275" t="s">
        <v>55</v>
      </c>
      <c r="F17" s="13" t="s">
        <v>22</v>
      </c>
      <c r="G17" s="35" t="s">
        <v>22</v>
      </c>
      <c r="H17" s="33" t="s">
        <v>56</v>
      </c>
      <c r="I17" s="33" t="s">
        <v>38</v>
      </c>
      <c r="J17" s="33" t="s">
        <v>57</v>
      </c>
      <c r="K17" s="275">
        <v>2007</v>
      </c>
      <c r="L17" s="275" t="s">
        <v>425</v>
      </c>
      <c r="M17" s="315"/>
    </row>
    <row r="18" spans="1:13" s="11" customFormat="1" ht="45.6" customHeight="1" x14ac:dyDescent="0.25">
      <c r="A18" s="246"/>
      <c r="B18" s="302"/>
      <c r="C18" s="307"/>
      <c r="D18" s="252"/>
      <c r="E18" s="259"/>
      <c r="F18" s="12" t="s">
        <v>50</v>
      </c>
      <c r="G18" s="20" t="s">
        <v>50</v>
      </c>
      <c r="H18" s="27" t="s">
        <v>56</v>
      </c>
      <c r="I18" s="27" t="s">
        <v>38</v>
      </c>
      <c r="J18" s="27"/>
      <c r="K18" s="259"/>
      <c r="L18" s="259"/>
      <c r="M18" s="316"/>
    </row>
    <row r="19" spans="1:13" s="11" customFormat="1" ht="43.15" customHeight="1" x14ac:dyDescent="0.25">
      <c r="A19" s="246"/>
      <c r="B19" s="302"/>
      <c r="C19" s="307"/>
      <c r="D19" s="252"/>
      <c r="E19" s="259"/>
      <c r="F19" s="12" t="s">
        <v>40</v>
      </c>
      <c r="G19" s="20" t="s">
        <v>40</v>
      </c>
      <c r="H19" s="27" t="s">
        <v>56</v>
      </c>
      <c r="I19" s="27" t="s">
        <v>38</v>
      </c>
      <c r="J19" s="36"/>
      <c r="K19" s="259"/>
      <c r="L19" s="259"/>
      <c r="M19" s="316"/>
    </row>
    <row r="20" spans="1:13" s="11" customFormat="1" ht="15.75" thickBot="1" x14ac:dyDescent="0.3">
      <c r="A20" s="318"/>
      <c r="B20" s="303"/>
      <c r="C20" s="308"/>
      <c r="D20" s="305"/>
      <c r="E20" s="264"/>
      <c r="F20" s="14" t="s">
        <v>52</v>
      </c>
      <c r="G20" s="34" t="s">
        <v>52</v>
      </c>
      <c r="H20" s="242"/>
      <c r="I20" s="242"/>
      <c r="J20" s="242" t="s">
        <v>58</v>
      </c>
      <c r="K20" s="264"/>
      <c r="L20" s="264"/>
      <c r="M20" s="317"/>
    </row>
    <row r="21" spans="1:13" s="11" customFormat="1" ht="45.75" thickTop="1" x14ac:dyDescent="0.25">
      <c r="A21" s="326">
        <v>5</v>
      </c>
      <c r="B21" s="301" t="s">
        <v>447</v>
      </c>
      <c r="C21" s="306" t="s">
        <v>233</v>
      </c>
      <c r="D21" s="304" t="s">
        <v>410</v>
      </c>
      <c r="E21" s="275" t="s">
        <v>55</v>
      </c>
      <c r="F21" s="179" t="s">
        <v>15</v>
      </c>
      <c r="G21" s="177" t="s">
        <v>16</v>
      </c>
      <c r="H21" s="182" t="s">
        <v>234</v>
      </c>
      <c r="I21" s="182" t="s">
        <v>235</v>
      </c>
      <c r="J21" s="180" t="s">
        <v>417</v>
      </c>
      <c r="K21" s="273"/>
      <c r="L21" s="275" t="s">
        <v>425</v>
      </c>
      <c r="M21" s="298" t="s">
        <v>59</v>
      </c>
    </row>
    <row r="22" spans="1:13" s="11" customFormat="1" ht="30" x14ac:dyDescent="0.25">
      <c r="A22" s="246"/>
      <c r="B22" s="302"/>
      <c r="C22" s="307"/>
      <c r="D22" s="252"/>
      <c r="E22" s="259"/>
      <c r="F22" s="12" t="s">
        <v>27</v>
      </c>
      <c r="G22" s="4"/>
      <c r="H22" s="4"/>
      <c r="I22" s="4"/>
      <c r="J22" s="4" t="s">
        <v>416</v>
      </c>
      <c r="K22" s="254"/>
      <c r="L22" s="259"/>
      <c r="M22" s="299"/>
    </row>
    <row r="23" spans="1:13" s="11" customFormat="1" ht="30" x14ac:dyDescent="0.25">
      <c r="A23" s="246"/>
      <c r="B23" s="302"/>
      <c r="C23" s="307"/>
      <c r="D23" s="252"/>
      <c r="E23" s="259"/>
      <c r="F23" s="12" t="s">
        <v>36</v>
      </c>
      <c r="G23" s="4"/>
      <c r="H23" s="181" t="s">
        <v>241</v>
      </c>
      <c r="I23" s="4"/>
      <c r="J23" s="4" t="s">
        <v>413</v>
      </c>
      <c r="K23" s="254"/>
      <c r="L23" s="259"/>
      <c r="M23" s="299"/>
    </row>
    <row r="24" spans="1:13" s="11" customFormat="1" ht="15.75" thickBot="1" x14ac:dyDescent="0.3">
      <c r="A24" s="246"/>
      <c r="B24" s="302"/>
      <c r="C24" s="307"/>
      <c r="D24" s="252"/>
      <c r="E24" s="259"/>
      <c r="F24" s="12" t="s">
        <v>40</v>
      </c>
      <c r="G24" s="4"/>
      <c r="H24" s="4"/>
      <c r="I24" s="4"/>
      <c r="J24" s="4"/>
      <c r="K24" s="254"/>
      <c r="L24" s="264"/>
      <c r="M24" s="299"/>
    </row>
    <row r="25" spans="1:13" s="2" customFormat="1" ht="76.7" customHeight="1" thickTop="1" x14ac:dyDescent="0.25">
      <c r="A25" s="320">
        <v>6</v>
      </c>
      <c r="B25" s="310" t="s">
        <v>452</v>
      </c>
      <c r="C25" s="311" t="s">
        <v>238</v>
      </c>
      <c r="D25" s="312" t="s">
        <v>418</v>
      </c>
      <c r="E25" s="275" t="s">
        <v>414</v>
      </c>
      <c r="F25" s="179" t="s">
        <v>15</v>
      </c>
      <c r="G25" s="177" t="s">
        <v>16</v>
      </c>
      <c r="H25" s="177" t="s">
        <v>411</v>
      </c>
      <c r="I25" s="177" t="s">
        <v>18</v>
      </c>
      <c r="J25" s="177" t="s">
        <v>419</v>
      </c>
      <c r="K25" s="273">
        <v>2024</v>
      </c>
      <c r="L25" s="275" t="s">
        <v>425</v>
      </c>
      <c r="M25" s="298" t="s">
        <v>414</v>
      </c>
    </row>
    <row r="26" spans="1:13" s="2" customFormat="1" ht="30" x14ac:dyDescent="0.25">
      <c r="A26" s="321"/>
      <c r="B26" s="281"/>
      <c r="C26" s="284"/>
      <c r="D26" s="313"/>
      <c r="E26" s="259"/>
      <c r="F26" s="12" t="s">
        <v>27</v>
      </c>
      <c r="G26" s="4"/>
      <c r="H26" s="4"/>
      <c r="I26" s="4"/>
      <c r="J26" s="4" t="s">
        <v>53</v>
      </c>
      <c r="K26" s="254"/>
      <c r="L26" s="259"/>
      <c r="M26" s="299"/>
    </row>
    <row r="27" spans="1:13" s="2" customFormat="1" ht="30" x14ac:dyDescent="0.25">
      <c r="A27" s="321"/>
      <c r="B27" s="281"/>
      <c r="C27" s="284"/>
      <c r="D27" s="313"/>
      <c r="E27" s="259"/>
      <c r="F27" s="12" t="s">
        <v>36</v>
      </c>
      <c r="G27" s="4"/>
      <c r="H27" s="4" t="s">
        <v>17</v>
      </c>
      <c r="I27" s="4"/>
      <c r="J27" s="4" t="s">
        <v>415</v>
      </c>
      <c r="K27" s="254"/>
      <c r="L27" s="259"/>
      <c r="M27" s="299"/>
    </row>
    <row r="28" spans="1:13" s="2" customFormat="1" ht="15.75" thickBot="1" x14ac:dyDescent="0.3">
      <c r="A28" s="321"/>
      <c r="B28" s="281"/>
      <c r="C28" s="284"/>
      <c r="D28" s="313"/>
      <c r="E28" s="259"/>
      <c r="F28" s="12" t="s">
        <v>40</v>
      </c>
      <c r="G28" s="4"/>
      <c r="H28" s="4"/>
      <c r="I28" s="4"/>
      <c r="J28" s="4"/>
      <c r="K28" s="254"/>
      <c r="L28" s="264"/>
      <c r="M28" s="299"/>
    </row>
    <row r="29" spans="1:13" s="2" customFormat="1" ht="54.75" customHeight="1" thickTop="1" x14ac:dyDescent="0.25">
      <c r="A29" s="320">
        <v>7</v>
      </c>
      <c r="B29" s="310" t="s">
        <v>453</v>
      </c>
      <c r="C29" s="311" t="s">
        <v>454</v>
      </c>
      <c r="D29" s="312" t="s">
        <v>520</v>
      </c>
      <c r="E29" s="275" t="s">
        <v>521</v>
      </c>
      <c r="F29" s="179" t="s">
        <v>15</v>
      </c>
      <c r="G29" s="177" t="s">
        <v>16</v>
      </c>
      <c r="H29" s="177" t="s">
        <v>411</v>
      </c>
      <c r="I29" s="177" t="s">
        <v>18</v>
      </c>
      <c r="J29" s="177" t="s">
        <v>419</v>
      </c>
      <c r="K29" s="273">
        <v>2024</v>
      </c>
      <c r="L29" s="275" t="s">
        <v>425</v>
      </c>
      <c r="M29" s="298" t="s">
        <v>522</v>
      </c>
    </row>
    <row r="30" spans="1:13" s="2" customFormat="1" ht="30" x14ac:dyDescent="0.25">
      <c r="A30" s="321"/>
      <c r="B30" s="281"/>
      <c r="C30" s="284"/>
      <c r="D30" s="313"/>
      <c r="E30" s="259"/>
      <c r="F30" s="12" t="s">
        <v>27</v>
      </c>
      <c r="G30" s="4"/>
      <c r="H30" s="4"/>
      <c r="I30" s="4"/>
      <c r="J30" s="4" t="s">
        <v>53</v>
      </c>
      <c r="K30" s="254"/>
      <c r="L30" s="259"/>
      <c r="M30" s="299"/>
    </row>
    <row r="31" spans="1:13" s="2" customFormat="1" ht="30" x14ac:dyDescent="0.25">
      <c r="A31" s="321"/>
      <c r="B31" s="281"/>
      <c r="C31" s="284"/>
      <c r="D31" s="313"/>
      <c r="E31" s="259"/>
      <c r="F31" s="12" t="s">
        <v>36</v>
      </c>
      <c r="G31" s="4"/>
      <c r="H31" s="4" t="s">
        <v>17</v>
      </c>
      <c r="I31" s="4"/>
      <c r="J31" s="4" t="s">
        <v>415</v>
      </c>
      <c r="K31" s="254"/>
      <c r="L31" s="259"/>
      <c r="M31" s="299"/>
    </row>
    <row r="32" spans="1:13" s="2" customFormat="1" ht="15.75" thickBot="1" x14ac:dyDescent="0.3">
      <c r="A32" s="322"/>
      <c r="B32" s="282"/>
      <c r="C32" s="285"/>
      <c r="D32" s="319"/>
      <c r="E32" s="264"/>
      <c r="F32" s="14" t="s">
        <v>40</v>
      </c>
      <c r="G32" s="7"/>
      <c r="H32" s="7"/>
      <c r="I32" s="7"/>
      <c r="J32" s="7"/>
      <c r="K32" s="274"/>
      <c r="L32" s="264"/>
      <c r="M32" s="300"/>
    </row>
    <row r="33" spans="1:13" s="11" customFormat="1" ht="15.75" customHeight="1" thickTop="1" x14ac:dyDescent="0.25">
      <c r="A33" s="246">
        <v>8</v>
      </c>
      <c r="B33" s="302" t="s">
        <v>455</v>
      </c>
      <c r="C33" s="307" t="s">
        <v>250</v>
      </c>
      <c r="D33" s="252" t="s">
        <v>60</v>
      </c>
      <c r="E33" s="259" t="s">
        <v>61</v>
      </c>
      <c r="F33" s="13" t="s">
        <v>22</v>
      </c>
      <c r="G33" s="35" t="s">
        <v>22</v>
      </c>
      <c r="H33" s="33" t="s">
        <v>62</v>
      </c>
      <c r="I33" s="33" t="s">
        <v>63</v>
      </c>
      <c r="J33" s="33" t="s">
        <v>64</v>
      </c>
      <c r="K33" s="323">
        <v>2009</v>
      </c>
      <c r="L33" s="259" t="s">
        <v>425</v>
      </c>
      <c r="M33" s="299" t="s">
        <v>65</v>
      </c>
    </row>
    <row r="34" spans="1:13" s="11" customFormat="1" x14ac:dyDescent="0.25">
      <c r="A34" s="246"/>
      <c r="B34" s="302"/>
      <c r="C34" s="307"/>
      <c r="D34" s="252"/>
      <c r="E34" s="259"/>
      <c r="F34" s="12" t="s">
        <v>50</v>
      </c>
      <c r="G34" s="20" t="s">
        <v>50</v>
      </c>
      <c r="H34" s="27" t="s">
        <v>66</v>
      </c>
      <c r="I34" s="27"/>
      <c r="J34" s="27"/>
      <c r="K34" s="324"/>
      <c r="L34" s="259"/>
      <c r="M34" s="299"/>
    </row>
    <row r="35" spans="1:13" s="11" customFormat="1" x14ac:dyDescent="0.25">
      <c r="A35" s="246"/>
      <c r="B35" s="302"/>
      <c r="C35" s="307"/>
      <c r="D35" s="252"/>
      <c r="E35" s="259"/>
      <c r="F35" s="12" t="s">
        <v>40</v>
      </c>
      <c r="G35" s="20" t="s">
        <v>40</v>
      </c>
      <c r="H35" s="27"/>
      <c r="I35" s="27"/>
      <c r="J35" s="36"/>
      <c r="K35" s="324"/>
      <c r="L35" s="259"/>
      <c r="M35" s="299"/>
    </row>
    <row r="36" spans="1:13" s="11" customFormat="1" ht="30.75" thickBot="1" x14ac:dyDescent="0.3">
      <c r="A36" s="318"/>
      <c r="B36" s="303"/>
      <c r="C36" s="308"/>
      <c r="D36" s="305"/>
      <c r="E36" s="264"/>
      <c r="F36" s="14" t="s">
        <v>52</v>
      </c>
      <c r="G36" s="34" t="s">
        <v>52</v>
      </c>
      <c r="H36" s="242"/>
      <c r="I36" s="242"/>
      <c r="J36" s="242" t="s">
        <v>67</v>
      </c>
      <c r="K36" s="325"/>
      <c r="L36" s="264"/>
      <c r="M36" s="300"/>
    </row>
    <row r="37" spans="1:13" s="11" customFormat="1" ht="60.75" customHeight="1" thickTop="1" x14ac:dyDescent="0.25">
      <c r="A37" s="246">
        <v>9</v>
      </c>
      <c r="B37" s="302" t="s">
        <v>456</v>
      </c>
      <c r="C37" s="307" t="s">
        <v>255</v>
      </c>
      <c r="D37" s="252" t="s">
        <v>68</v>
      </c>
      <c r="E37" s="259" t="s">
        <v>61</v>
      </c>
      <c r="F37" s="13" t="s">
        <v>22</v>
      </c>
      <c r="G37" s="35" t="s">
        <v>22</v>
      </c>
      <c r="H37" s="33" t="s">
        <v>69</v>
      </c>
      <c r="I37" s="33" t="s">
        <v>70</v>
      </c>
      <c r="J37" s="33" t="s">
        <v>71</v>
      </c>
      <c r="K37" s="275">
        <v>1986</v>
      </c>
      <c r="L37" s="259" t="s">
        <v>425</v>
      </c>
      <c r="M37" s="299" t="s">
        <v>72</v>
      </c>
    </row>
    <row r="38" spans="1:13" s="11" customFormat="1" x14ac:dyDescent="0.25">
      <c r="A38" s="246"/>
      <c r="B38" s="302"/>
      <c r="C38" s="307"/>
      <c r="D38" s="252"/>
      <c r="E38" s="259"/>
      <c r="F38" s="12" t="s">
        <v>50</v>
      </c>
      <c r="G38" s="20" t="s">
        <v>50</v>
      </c>
      <c r="H38" s="27" t="s">
        <v>73</v>
      </c>
      <c r="I38" s="27"/>
      <c r="J38" s="27"/>
      <c r="K38" s="259"/>
      <c r="L38" s="259"/>
      <c r="M38" s="299"/>
    </row>
    <row r="39" spans="1:13" s="11" customFormat="1" x14ac:dyDescent="0.25">
      <c r="A39" s="246"/>
      <c r="B39" s="302"/>
      <c r="C39" s="307"/>
      <c r="D39" s="252"/>
      <c r="E39" s="259"/>
      <c r="F39" s="12" t="s">
        <v>40</v>
      </c>
      <c r="G39" s="20" t="s">
        <v>40</v>
      </c>
      <c r="H39" s="27"/>
      <c r="I39" s="27"/>
      <c r="J39" s="36"/>
      <c r="K39" s="259"/>
      <c r="L39" s="259"/>
      <c r="M39" s="299"/>
    </row>
    <row r="40" spans="1:13" s="11" customFormat="1" ht="30.75" thickBot="1" x14ac:dyDescent="0.3">
      <c r="A40" s="318"/>
      <c r="B40" s="303"/>
      <c r="C40" s="308"/>
      <c r="D40" s="305"/>
      <c r="E40" s="264"/>
      <c r="F40" s="14" t="s">
        <v>52</v>
      </c>
      <c r="G40" s="34" t="s">
        <v>52</v>
      </c>
      <c r="H40" s="242"/>
      <c r="I40" s="242"/>
      <c r="J40" s="242" t="s">
        <v>74</v>
      </c>
      <c r="K40" s="289"/>
      <c r="L40" s="264"/>
      <c r="M40" s="300"/>
    </row>
    <row r="41" spans="1:13" s="11" customFormat="1" ht="15.75" thickTop="1" x14ac:dyDescent="0.25">
      <c r="A41" s="326">
        <v>10</v>
      </c>
      <c r="B41" s="301" t="s">
        <v>426</v>
      </c>
      <c r="C41" s="306" t="s">
        <v>262</v>
      </c>
      <c r="D41" s="304" t="s">
        <v>427</v>
      </c>
      <c r="E41" s="275" t="s">
        <v>61</v>
      </c>
      <c r="F41" s="13" t="s">
        <v>22</v>
      </c>
      <c r="G41" s="35" t="s">
        <v>22</v>
      </c>
      <c r="H41" s="182" t="s">
        <v>264</v>
      </c>
      <c r="I41" s="33"/>
      <c r="J41" s="182" t="s">
        <v>428</v>
      </c>
      <c r="K41" s="309">
        <v>2024</v>
      </c>
      <c r="L41" s="259" t="s">
        <v>425</v>
      </c>
      <c r="M41" s="299" t="s">
        <v>430</v>
      </c>
    </row>
    <row r="42" spans="1:13" s="11" customFormat="1" x14ac:dyDescent="0.25">
      <c r="A42" s="246"/>
      <c r="B42" s="302"/>
      <c r="C42" s="307"/>
      <c r="D42" s="252"/>
      <c r="E42" s="259"/>
      <c r="F42" s="12" t="s">
        <v>50</v>
      </c>
      <c r="G42" s="20" t="s">
        <v>50</v>
      </c>
      <c r="H42" s="27"/>
      <c r="I42" s="27"/>
      <c r="J42" s="27"/>
      <c r="K42" s="259"/>
      <c r="L42" s="259"/>
      <c r="M42" s="299"/>
    </row>
    <row r="43" spans="1:13" s="11" customFormat="1" x14ac:dyDescent="0.25">
      <c r="A43" s="246"/>
      <c r="B43" s="302"/>
      <c r="C43" s="307"/>
      <c r="D43" s="252"/>
      <c r="E43" s="259"/>
      <c r="F43" s="12" t="s">
        <v>40</v>
      </c>
      <c r="G43" s="20" t="s">
        <v>40</v>
      </c>
      <c r="H43" s="27"/>
      <c r="I43" s="27"/>
      <c r="J43" s="36"/>
      <c r="K43" s="259"/>
      <c r="L43" s="259"/>
      <c r="M43" s="299"/>
    </row>
    <row r="44" spans="1:13" s="11" customFormat="1" ht="15.75" thickBot="1" x14ac:dyDescent="0.3">
      <c r="A44" s="318"/>
      <c r="B44" s="303"/>
      <c r="C44" s="308"/>
      <c r="D44" s="305"/>
      <c r="E44" s="264"/>
      <c r="F44" s="14" t="s">
        <v>52</v>
      </c>
      <c r="G44" s="34" t="s">
        <v>52</v>
      </c>
      <c r="H44" s="242"/>
      <c r="I44" s="242"/>
      <c r="J44" s="242" t="s">
        <v>429</v>
      </c>
      <c r="K44" s="264"/>
      <c r="L44" s="264"/>
      <c r="M44" s="300"/>
    </row>
    <row r="45" spans="1:13" s="11" customFormat="1" ht="60.75" customHeight="1" thickTop="1" x14ac:dyDescent="0.25">
      <c r="A45" s="326">
        <v>11</v>
      </c>
      <c r="B45" s="301" t="s">
        <v>431</v>
      </c>
      <c r="C45" s="306" t="s">
        <v>268</v>
      </c>
      <c r="D45" s="304" t="s">
        <v>523</v>
      </c>
      <c r="E45" s="275" t="s">
        <v>61</v>
      </c>
      <c r="F45" s="13" t="s">
        <v>22</v>
      </c>
      <c r="G45" s="35" t="s">
        <v>22</v>
      </c>
      <c r="H45" s="33" t="s">
        <v>62</v>
      </c>
      <c r="I45" s="33"/>
      <c r="J45" s="33" t="s">
        <v>75</v>
      </c>
      <c r="K45" s="309">
        <v>1984</v>
      </c>
      <c r="L45" s="259" t="s">
        <v>425</v>
      </c>
      <c r="M45" s="298" t="s">
        <v>76</v>
      </c>
    </row>
    <row r="46" spans="1:13" s="11" customFormat="1" x14ac:dyDescent="0.25">
      <c r="A46" s="246"/>
      <c r="B46" s="302"/>
      <c r="C46" s="307"/>
      <c r="D46" s="252"/>
      <c r="E46" s="259"/>
      <c r="F46" s="12" t="s">
        <v>50</v>
      </c>
      <c r="G46" s="20" t="s">
        <v>50</v>
      </c>
      <c r="H46" s="27" t="s">
        <v>77</v>
      </c>
      <c r="I46" s="27"/>
      <c r="J46" s="27"/>
      <c r="K46" s="259"/>
      <c r="L46" s="259"/>
      <c r="M46" s="299"/>
    </row>
    <row r="47" spans="1:13" s="11" customFormat="1" x14ac:dyDescent="0.25">
      <c r="A47" s="246"/>
      <c r="B47" s="302"/>
      <c r="C47" s="307"/>
      <c r="D47" s="252"/>
      <c r="E47" s="259"/>
      <c r="F47" s="12" t="s">
        <v>40</v>
      </c>
      <c r="G47" s="20" t="s">
        <v>40</v>
      </c>
      <c r="H47" s="27"/>
      <c r="I47" s="27"/>
      <c r="J47" s="36"/>
      <c r="K47" s="259"/>
      <c r="L47" s="259"/>
      <c r="M47" s="299"/>
    </row>
    <row r="48" spans="1:13" s="11" customFormat="1" ht="15.75" thickBot="1" x14ac:dyDescent="0.3">
      <c r="A48" s="318"/>
      <c r="B48" s="303"/>
      <c r="C48" s="308"/>
      <c r="D48" s="305"/>
      <c r="E48" s="264"/>
      <c r="F48" s="14" t="s">
        <v>52</v>
      </c>
      <c r="G48" s="34" t="s">
        <v>52</v>
      </c>
      <c r="H48" s="242"/>
      <c r="I48" s="242"/>
      <c r="J48" s="242" t="s">
        <v>78</v>
      </c>
      <c r="K48" s="264"/>
      <c r="L48" s="264"/>
      <c r="M48" s="300"/>
    </row>
    <row r="49" spans="1:13" s="11" customFormat="1" ht="60.75" customHeight="1" thickTop="1" x14ac:dyDescent="0.25">
      <c r="A49" s="326">
        <v>12</v>
      </c>
      <c r="B49" s="301" t="s">
        <v>432</v>
      </c>
      <c r="C49" s="306" t="s">
        <v>272</v>
      </c>
      <c r="D49" s="304" t="s">
        <v>478</v>
      </c>
      <c r="E49" s="275" t="s">
        <v>479</v>
      </c>
      <c r="F49" s="13" t="s">
        <v>22</v>
      </c>
      <c r="G49" s="35" t="s">
        <v>22</v>
      </c>
      <c r="H49" s="33" t="s">
        <v>79</v>
      </c>
      <c r="I49" s="33" t="s">
        <v>80</v>
      </c>
      <c r="J49" s="33" t="s">
        <v>81</v>
      </c>
      <c r="K49" s="275">
        <v>2005</v>
      </c>
      <c r="L49" s="259" t="s">
        <v>425</v>
      </c>
      <c r="M49" s="298" t="s">
        <v>82</v>
      </c>
    </row>
    <row r="50" spans="1:13" s="11" customFormat="1" x14ac:dyDescent="0.25">
      <c r="A50" s="246"/>
      <c r="B50" s="302" t="s">
        <v>83</v>
      </c>
      <c r="C50" s="307"/>
      <c r="D50" s="252"/>
      <c r="E50" s="259"/>
      <c r="F50" s="12" t="s">
        <v>50</v>
      </c>
      <c r="G50" s="20" t="s">
        <v>50</v>
      </c>
      <c r="H50" s="27" t="s">
        <v>77</v>
      </c>
      <c r="I50" s="27"/>
      <c r="J50" s="27"/>
      <c r="K50" s="259"/>
      <c r="L50" s="259"/>
      <c r="M50" s="299"/>
    </row>
    <row r="51" spans="1:13" s="11" customFormat="1" x14ac:dyDescent="0.25">
      <c r="A51" s="246"/>
      <c r="B51" s="302" t="s">
        <v>84</v>
      </c>
      <c r="C51" s="307"/>
      <c r="D51" s="252"/>
      <c r="E51" s="259"/>
      <c r="F51" s="12" t="s">
        <v>40</v>
      </c>
      <c r="G51" s="20" t="s">
        <v>40</v>
      </c>
      <c r="H51" s="27"/>
      <c r="I51" s="27"/>
      <c r="J51" s="36"/>
      <c r="K51" s="259"/>
      <c r="L51" s="259"/>
      <c r="M51" s="299"/>
    </row>
    <row r="52" spans="1:13" s="11" customFormat="1" ht="30.75" thickBot="1" x14ac:dyDescent="0.3">
      <c r="A52" s="318"/>
      <c r="B52" s="303" t="s">
        <v>85</v>
      </c>
      <c r="C52" s="308"/>
      <c r="D52" s="305"/>
      <c r="E52" s="264"/>
      <c r="F52" s="14" t="s">
        <v>52</v>
      </c>
      <c r="G52" s="34" t="s">
        <v>52</v>
      </c>
      <c r="H52" s="242"/>
      <c r="I52" s="242"/>
      <c r="J52" s="242" t="s">
        <v>435</v>
      </c>
      <c r="K52" s="264"/>
      <c r="L52" s="264"/>
      <c r="M52" s="300"/>
    </row>
    <row r="53" spans="1:13" s="11" customFormat="1" ht="60.75" customHeight="1" thickTop="1" x14ac:dyDescent="0.25">
      <c r="A53" s="326">
        <v>13</v>
      </c>
      <c r="B53" s="301" t="s">
        <v>433</v>
      </c>
      <c r="C53" s="306" t="s">
        <v>434</v>
      </c>
      <c r="D53" s="304" t="s">
        <v>86</v>
      </c>
      <c r="E53" s="275" t="s">
        <v>14</v>
      </c>
      <c r="F53" s="13" t="s">
        <v>22</v>
      </c>
      <c r="G53" s="35" t="s">
        <v>22</v>
      </c>
      <c r="H53" s="33" t="s">
        <v>87</v>
      </c>
      <c r="I53" s="33"/>
      <c r="J53" s="33" t="s">
        <v>88</v>
      </c>
      <c r="K53" s="275">
        <v>2007</v>
      </c>
      <c r="L53" s="259" t="s">
        <v>425</v>
      </c>
      <c r="M53" s="292" t="s">
        <v>89</v>
      </c>
    </row>
    <row r="54" spans="1:13" s="11" customFormat="1" x14ac:dyDescent="0.25">
      <c r="A54" s="246"/>
      <c r="B54" s="302" t="s">
        <v>90</v>
      </c>
      <c r="C54" s="307"/>
      <c r="D54" s="252" t="s">
        <v>86</v>
      </c>
      <c r="E54" s="259"/>
      <c r="F54" s="12" t="s">
        <v>50</v>
      </c>
      <c r="G54" s="20" t="s">
        <v>50</v>
      </c>
      <c r="H54" s="27" t="s">
        <v>91</v>
      </c>
      <c r="I54" s="27"/>
      <c r="J54" s="27"/>
      <c r="K54" s="259"/>
      <c r="L54" s="259"/>
      <c r="M54" s="293"/>
    </row>
    <row r="55" spans="1:13" s="11" customFormat="1" x14ac:dyDescent="0.25">
      <c r="A55" s="246"/>
      <c r="B55" s="302" t="s">
        <v>92</v>
      </c>
      <c r="C55" s="307"/>
      <c r="D55" s="252" t="s">
        <v>86</v>
      </c>
      <c r="E55" s="259"/>
      <c r="F55" s="12" t="s">
        <v>40</v>
      </c>
      <c r="G55" s="20" t="s">
        <v>40</v>
      </c>
      <c r="H55" s="27"/>
      <c r="I55" s="27"/>
      <c r="J55" s="36"/>
      <c r="K55" s="259"/>
      <c r="L55" s="259"/>
      <c r="M55" s="293"/>
    </row>
    <row r="56" spans="1:13" s="11" customFormat="1" ht="30.75" thickBot="1" x14ac:dyDescent="0.3">
      <c r="A56" s="318"/>
      <c r="B56" s="303" t="s">
        <v>93</v>
      </c>
      <c r="C56" s="308"/>
      <c r="D56" s="305" t="s">
        <v>86</v>
      </c>
      <c r="E56" s="264"/>
      <c r="F56" s="14" t="s">
        <v>52</v>
      </c>
      <c r="G56" s="34" t="s">
        <v>52</v>
      </c>
      <c r="H56" s="242"/>
      <c r="I56" s="242"/>
      <c r="J56" s="242" t="s">
        <v>436</v>
      </c>
      <c r="K56" s="264"/>
      <c r="L56" s="264"/>
      <c r="M56" s="294"/>
    </row>
    <row r="57" spans="1:13" s="11" customFormat="1" ht="60.75" customHeight="1" thickTop="1" x14ac:dyDescent="0.25">
      <c r="A57" s="326">
        <v>14</v>
      </c>
      <c r="B57" s="301" t="s">
        <v>437</v>
      </c>
      <c r="C57" s="306" t="s">
        <v>284</v>
      </c>
      <c r="D57" s="304" t="s">
        <v>94</v>
      </c>
      <c r="E57" s="275" t="s">
        <v>420</v>
      </c>
      <c r="F57" s="184" t="s">
        <v>22</v>
      </c>
      <c r="G57" s="185" t="s">
        <v>22</v>
      </c>
      <c r="H57" s="183" t="s">
        <v>95</v>
      </c>
      <c r="I57" s="183"/>
      <c r="J57" s="183" t="s">
        <v>96</v>
      </c>
      <c r="K57" s="275">
        <v>2010</v>
      </c>
      <c r="L57" s="259" t="s">
        <v>425</v>
      </c>
      <c r="M57" s="292" t="s">
        <v>97</v>
      </c>
    </row>
    <row r="58" spans="1:13" s="11" customFormat="1" x14ac:dyDescent="0.25">
      <c r="A58" s="246"/>
      <c r="B58" s="302" t="s">
        <v>98</v>
      </c>
      <c r="C58" s="307"/>
      <c r="D58" s="252" t="s">
        <v>94</v>
      </c>
      <c r="E58" s="259"/>
      <c r="F58" s="12" t="s">
        <v>50</v>
      </c>
      <c r="G58" s="20" t="s">
        <v>50</v>
      </c>
      <c r="H58" s="27" t="s">
        <v>99</v>
      </c>
      <c r="I58" s="27"/>
      <c r="J58" s="27"/>
      <c r="K58" s="259"/>
      <c r="L58" s="259"/>
      <c r="M58" s="293"/>
    </row>
    <row r="59" spans="1:13" s="11" customFormat="1" x14ac:dyDescent="0.25">
      <c r="A59" s="246"/>
      <c r="B59" s="302" t="s">
        <v>100</v>
      </c>
      <c r="C59" s="307"/>
      <c r="D59" s="252" t="s">
        <v>94</v>
      </c>
      <c r="E59" s="259"/>
      <c r="F59" s="12" t="s">
        <v>40</v>
      </c>
      <c r="G59" s="20" t="s">
        <v>40</v>
      </c>
      <c r="H59" s="27"/>
      <c r="I59" s="27"/>
      <c r="J59" s="36"/>
      <c r="K59" s="259"/>
      <c r="L59" s="259"/>
      <c r="M59" s="293"/>
    </row>
    <row r="60" spans="1:13" s="11" customFormat="1" ht="30.75" thickBot="1" x14ac:dyDescent="0.3">
      <c r="A60" s="318"/>
      <c r="B60" s="303" t="s">
        <v>101</v>
      </c>
      <c r="C60" s="308"/>
      <c r="D60" s="305" t="s">
        <v>94</v>
      </c>
      <c r="E60" s="264"/>
      <c r="F60" s="14" t="s">
        <v>52</v>
      </c>
      <c r="G60" s="34" t="s">
        <v>52</v>
      </c>
      <c r="H60" s="242"/>
      <c r="I60" s="242"/>
      <c r="J60" s="242" t="s">
        <v>102</v>
      </c>
      <c r="K60" s="264"/>
      <c r="L60" s="264"/>
      <c r="M60" s="294"/>
    </row>
    <row r="61" spans="1:13" s="11" customFormat="1" ht="30.75" thickTop="1" x14ac:dyDescent="0.25">
      <c r="A61" s="333">
        <v>15</v>
      </c>
      <c r="B61" s="280" t="s">
        <v>438</v>
      </c>
      <c r="C61" s="283" t="s">
        <v>439</v>
      </c>
      <c r="D61" s="286" t="s">
        <v>103</v>
      </c>
      <c r="E61" s="289" t="s">
        <v>421</v>
      </c>
      <c r="F61" s="13" t="s">
        <v>22</v>
      </c>
      <c r="G61" s="35" t="s">
        <v>22</v>
      </c>
      <c r="H61" s="33" t="s">
        <v>87</v>
      </c>
      <c r="I61" s="33" t="s">
        <v>295</v>
      </c>
      <c r="J61" s="33" t="s">
        <v>442</v>
      </c>
      <c r="K61" s="275">
        <v>2011</v>
      </c>
      <c r="L61" s="259" t="s">
        <v>425</v>
      </c>
      <c r="M61" s="295" t="s">
        <v>104</v>
      </c>
    </row>
    <row r="62" spans="1:13" s="11" customFormat="1" x14ac:dyDescent="0.25">
      <c r="A62" s="334"/>
      <c r="B62" s="281"/>
      <c r="C62" s="284"/>
      <c r="D62" s="287"/>
      <c r="E62" s="290"/>
      <c r="F62" s="12" t="s">
        <v>50</v>
      </c>
      <c r="G62" s="20" t="s">
        <v>50</v>
      </c>
      <c r="H62" s="27" t="s">
        <v>66</v>
      </c>
      <c r="I62" s="27"/>
      <c r="J62" s="27"/>
      <c r="K62" s="259"/>
      <c r="L62" s="259"/>
      <c r="M62" s="296"/>
    </row>
    <row r="63" spans="1:13" s="11" customFormat="1" x14ac:dyDescent="0.25">
      <c r="A63" s="334"/>
      <c r="B63" s="281"/>
      <c r="C63" s="284"/>
      <c r="D63" s="287"/>
      <c r="E63" s="290"/>
      <c r="F63" s="12" t="s">
        <v>40</v>
      </c>
      <c r="G63" s="20" t="s">
        <v>40</v>
      </c>
      <c r="H63" s="27"/>
      <c r="I63" s="27"/>
      <c r="J63" s="36"/>
      <c r="K63" s="259"/>
      <c r="L63" s="259"/>
      <c r="M63" s="296"/>
    </row>
    <row r="64" spans="1:13" s="11" customFormat="1" ht="30.75" thickBot="1" x14ac:dyDescent="0.3">
      <c r="A64" s="335"/>
      <c r="B64" s="282"/>
      <c r="C64" s="285"/>
      <c r="D64" s="288"/>
      <c r="E64" s="291"/>
      <c r="F64" s="14" t="s">
        <v>52</v>
      </c>
      <c r="G64" s="34" t="s">
        <v>52</v>
      </c>
      <c r="H64" s="242"/>
      <c r="I64" s="242" t="s">
        <v>441</v>
      </c>
      <c r="J64" s="242" t="s">
        <v>440</v>
      </c>
      <c r="K64" s="264"/>
      <c r="L64" s="264"/>
      <c r="M64" s="297"/>
    </row>
    <row r="65" spans="1:13" s="11" customFormat="1" ht="30.75" thickTop="1" x14ac:dyDescent="0.25">
      <c r="A65" s="246">
        <v>16</v>
      </c>
      <c r="B65" s="248" t="s">
        <v>457</v>
      </c>
      <c r="C65" s="250" t="s">
        <v>298</v>
      </c>
      <c r="D65" s="271" t="s">
        <v>105</v>
      </c>
      <c r="E65" s="273" t="s">
        <v>422</v>
      </c>
      <c r="F65" s="13" t="s">
        <v>106</v>
      </c>
      <c r="G65" s="21" t="s">
        <v>106</v>
      </c>
      <c r="H65" s="5" t="s">
        <v>107</v>
      </c>
      <c r="I65" s="28"/>
      <c r="J65" s="5" t="s">
        <v>443</v>
      </c>
      <c r="K65" s="256"/>
      <c r="L65" s="259" t="s">
        <v>425</v>
      </c>
      <c r="M65" s="292" t="s">
        <v>444</v>
      </c>
    </row>
    <row r="66" spans="1:13" s="11" customFormat="1" x14ac:dyDescent="0.25">
      <c r="A66" s="246"/>
      <c r="B66" s="248"/>
      <c r="C66" s="250"/>
      <c r="D66" s="271"/>
      <c r="E66" s="254"/>
      <c r="F66" s="12" t="s">
        <v>108</v>
      </c>
      <c r="G66" s="22" t="s">
        <v>108</v>
      </c>
      <c r="H66" s="4" t="s">
        <v>109</v>
      </c>
      <c r="I66" s="29"/>
      <c r="J66" s="17"/>
      <c r="K66" s="257"/>
      <c r="L66" s="259"/>
      <c r="M66" s="293"/>
    </row>
    <row r="67" spans="1:13" s="11" customFormat="1" ht="30" x14ac:dyDescent="0.25">
      <c r="A67" s="246"/>
      <c r="B67" s="248"/>
      <c r="C67" s="250"/>
      <c r="D67" s="271"/>
      <c r="E67" s="254"/>
      <c r="F67" s="12" t="s">
        <v>40</v>
      </c>
      <c r="G67" s="19" t="s">
        <v>110</v>
      </c>
      <c r="H67" s="4"/>
      <c r="I67" s="29"/>
      <c r="J67" s="17"/>
      <c r="K67" s="257"/>
      <c r="L67" s="259"/>
      <c r="M67" s="293"/>
    </row>
    <row r="68" spans="1:13" s="11" customFormat="1" ht="15.75" thickBot="1" x14ac:dyDescent="0.3">
      <c r="A68" s="318"/>
      <c r="B68" s="267"/>
      <c r="C68" s="269"/>
      <c r="D68" s="272"/>
      <c r="E68" s="274"/>
      <c r="F68" s="14" t="s">
        <v>111</v>
      </c>
      <c r="G68" s="24" t="s">
        <v>111</v>
      </c>
      <c r="H68" s="7"/>
      <c r="I68" s="31"/>
      <c r="J68" s="18" t="s">
        <v>112</v>
      </c>
      <c r="K68" s="276"/>
      <c r="L68" s="264"/>
      <c r="M68" s="294"/>
    </row>
    <row r="69" spans="1:13" s="11" customFormat="1" ht="15.75" customHeight="1" thickTop="1" x14ac:dyDescent="0.25">
      <c r="A69" s="326">
        <v>17</v>
      </c>
      <c r="B69" s="266" t="s">
        <v>458</v>
      </c>
      <c r="C69" s="268" t="s">
        <v>303</v>
      </c>
      <c r="D69" s="270" t="s">
        <v>113</v>
      </c>
      <c r="E69" s="273" t="s">
        <v>14</v>
      </c>
      <c r="F69" s="13" t="s">
        <v>106</v>
      </c>
      <c r="G69" s="21" t="s">
        <v>106</v>
      </c>
      <c r="H69" s="5" t="s">
        <v>79</v>
      </c>
      <c r="I69" s="28"/>
      <c r="J69" s="16" t="s">
        <v>114</v>
      </c>
      <c r="K69" s="256"/>
      <c r="L69" s="259" t="s">
        <v>425</v>
      </c>
      <c r="M69" s="277" t="s">
        <v>115</v>
      </c>
    </row>
    <row r="70" spans="1:13" s="11" customFormat="1" x14ac:dyDescent="0.25">
      <c r="A70" s="246"/>
      <c r="B70" s="248" t="s">
        <v>116</v>
      </c>
      <c r="C70" s="250"/>
      <c r="D70" s="271" t="s">
        <v>113</v>
      </c>
      <c r="E70" s="254"/>
      <c r="F70" s="12" t="s">
        <v>108</v>
      </c>
      <c r="G70" s="22" t="s">
        <v>108</v>
      </c>
      <c r="H70" s="4" t="s">
        <v>91</v>
      </c>
      <c r="I70" s="29"/>
      <c r="J70" s="17"/>
      <c r="K70" s="257"/>
      <c r="L70" s="259"/>
      <c r="M70" s="278"/>
    </row>
    <row r="71" spans="1:13" s="11" customFormat="1" ht="30" x14ac:dyDescent="0.25">
      <c r="A71" s="246"/>
      <c r="B71" s="248" t="s">
        <v>117</v>
      </c>
      <c r="C71" s="250"/>
      <c r="D71" s="271" t="s">
        <v>113</v>
      </c>
      <c r="E71" s="254"/>
      <c r="F71" s="12" t="s">
        <v>40</v>
      </c>
      <c r="G71" s="19" t="s">
        <v>110</v>
      </c>
      <c r="H71" s="4"/>
      <c r="I71" s="29"/>
      <c r="J71" s="17"/>
      <c r="K71" s="257"/>
      <c r="L71" s="259"/>
      <c r="M71" s="278"/>
    </row>
    <row r="72" spans="1:13" s="11" customFormat="1" ht="15.75" thickBot="1" x14ac:dyDescent="0.3">
      <c r="A72" s="318"/>
      <c r="B72" s="267" t="s">
        <v>118</v>
      </c>
      <c r="C72" s="269"/>
      <c r="D72" s="272" t="s">
        <v>119</v>
      </c>
      <c r="E72" s="274"/>
      <c r="F72" s="14" t="s">
        <v>111</v>
      </c>
      <c r="G72" s="24" t="s">
        <v>111</v>
      </c>
      <c r="H72" s="7"/>
      <c r="I72" s="31"/>
      <c r="J72" s="18" t="s">
        <v>120</v>
      </c>
      <c r="K72" s="276"/>
      <c r="L72" s="264"/>
      <c r="M72" s="279"/>
    </row>
    <row r="73" spans="1:13" s="11" customFormat="1" ht="15.75" customHeight="1" thickTop="1" x14ac:dyDescent="0.25">
      <c r="A73" s="326">
        <v>18</v>
      </c>
      <c r="B73" s="266" t="s">
        <v>459</v>
      </c>
      <c r="C73" s="268" t="s">
        <v>306</v>
      </c>
      <c r="D73" s="270" t="s">
        <v>525</v>
      </c>
      <c r="E73" s="273" t="s">
        <v>524</v>
      </c>
      <c r="F73" s="13" t="s">
        <v>106</v>
      </c>
      <c r="G73" s="21" t="s">
        <v>106</v>
      </c>
      <c r="H73" s="5" t="s">
        <v>95</v>
      </c>
      <c r="I73" s="28"/>
      <c r="J73" s="16" t="s">
        <v>122</v>
      </c>
      <c r="K73" s="256"/>
      <c r="L73" s="259" t="s">
        <v>425</v>
      </c>
      <c r="M73" s="277" t="s">
        <v>123</v>
      </c>
    </row>
    <row r="74" spans="1:13" s="11" customFormat="1" x14ac:dyDescent="0.25">
      <c r="A74" s="246"/>
      <c r="B74" s="248" t="s">
        <v>124</v>
      </c>
      <c r="C74" s="250"/>
      <c r="D74" s="271" t="s">
        <v>121</v>
      </c>
      <c r="E74" s="254"/>
      <c r="F74" s="12" t="s">
        <v>108</v>
      </c>
      <c r="G74" s="22" t="s">
        <v>108</v>
      </c>
      <c r="H74" s="4" t="s">
        <v>125</v>
      </c>
      <c r="I74" s="29"/>
      <c r="J74" s="17"/>
      <c r="K74" s="257"/>
      <c r="L74" s="259"/>
      <c r="M74" s="278"/>
    </row>
    <row r="75" spans="1:13" s="11" customFormat="1" ht="30" x14ac:dyDescent="0.25">
      <c r="A75" s="246"/>
      <c r="B75" s="248" t="s">
        <v>126</v>
      </c>
      <c r="C75" s="250"/>
      <c r="D75" s="271" t="s">
        <v>121</v>
      </c>
      <c r="E75" s="254"/>
      <c r="F75" s="15" t="s">
        <v>40</v>
      </c>
      <c r="G75" s="23" t="s">
        <v>110</v>
      </c>
      <c r="H75" s="6"/>
      <c r="I75" s="30"/>
      <c r="J75" s="26"/>
      <c r="K75" s="257"/>
      <c r="L75" s="259"/>
      <c r="M75" s="278"/>
    </row>
    <row r="76" spans="1:13" s="11" customFormat="1" ht="15.75" thickBot="1" x14ac:dyDescent="0.3">
      <c r="A76" s="318"/>
      <c r="B76" s="267" t="s">
        <v>127</v>
      </c>
      <c r="C76" s="269"/>
      <c r="D76" s="272" t="s">
        <v>121</v>
      </c>
      <c r="E76" s="274"/>
      <c r="F76" s="14" t="s">
        <v>111</v>
      </c>
      <c r="G76" s="24" t="s">
        <v>111</v>
      </c>
      <c r="H76" s="7"/>
      <c r="I76" s="31"/>
      <c r="J76" s="18" t="s">
        <v>128</v>
      </c>
      <c r="K76" s="276"/>
      <c r="L76" s="264"/>
      <c r="M76" s="279"/>
    </row>
    <row r="77" spans="1:13" s="11" customFormat="1" ht="15.75" customHeight="1" thickTop="1" x14ac:dyDescent="0.25">
      <c r="A77" s="326">
        <v>19</v>
      </c>
      <c r="B77" s="266" t="s">
        <v>460</v>
      </c>
      <c r="C77" s="268" t="s">
        <v>526</v>
      </c>
      <c r="D77" s="270" t="s">
        <v>129</v>
      </c>
      <c r="E77" s="273" t="s">
        <v>423</v>
      </c>
      <c r="F77" s="13" t="s">
        <v>106</v>
      </c>
      <c r="G77" s="21" t="s">
        <v>106</v>
      </c>
      <c r="H77" s="5" t="s">
        <v>79</v>
      </c>
      <c r="I77" s="28"/>
      <c r="J77" s="16" t="s">
        <v>114</v>
      </c>
      <c r="K77" s="256"/>
      <c r="L77" s="259" t="s">
        <v>425</v>
      </c>
      <c r="M77" s="277" t="s">
        <v>130</v>
      </c>
    </row>
    <row r="78" spans="1:13" s="11" customFormat="1" x14ac:dyDescent="0.25">
      <c r="A78" s="246"/>
      <c r="B78" s="248" t="s">
        <v>131</v>
      </c>
      <c r="C78" s="250"/>
      <c r="D78" s="271" t="s">
        <v>129</v>
      </c>
      <c r="E78" s="254"/>
      <c r="F78" s="12" t="s">
        <v>108</v>
      </c>
      <c r="G78" s="22" t="s">
        <v>108</v>
      </c>
      <c r="H78" s="4" t="s">
        <v>66</v>
      </c>
      <c r="I78" s="29"/>
      <c r="J78" s="17"/>
      <c r="K78" s="257"/>
      <c r="L78" s="259"/>
      <c r="M78" s="278"/>
    </row>
    <row r="79" spans="1:13" s="11" customFormat="1" ht="30" x14ac:dyDescent="0.25">
      <c r="A79" s="246"/>
      <c r="B79" s="248" t="s">
        <v>132</v>
      </c>
      <c r="C79" s="250"/>
      <c r="D79" s="271" t="s">
        <v>129</v>
      </c>
      <c r="E79" s="254"/>
      <c r="F79" s="15" t="s">
        <v>40</v>
      </c>
      <c r="G79" s="23" t="s">
        <v>110</v>
      </c>
      <c r="H79" s="6"/>
      <c r="I79" s="30"/>
      <c r="J79" s="26"/>
      <c r="K79" s="257"/>
      <c r="L79" s="259"/>
      <c r="M79" s="278"/>
    </row>
    <row r="80" spans="1:13" s="11" customFormat="1" ht="15.75" thickBot="1" x14ac:dyDescent="0.3">
      <c r="A80" s="318"/>
      <c r="B80" s="267" t="s">
        <v>133</v>
      </c>
      <c r="C80" s="269"/>
      <c r="D80" s="272" t="s">
        <v>129</v>
      </c>
      <c r="E80" s="274"/>
      <c r="F80" s="14" t="s">
        <v>111</v>
      </c>
      <c r="G80" s="24" t="s">
        <v>111</v>
      </c>
      <c r="H80" s="7"/>
      <c r="I80" s="31"/>
      <c r="J80" s="18" t="s">
        <v>134</v>
      </c>
      <c r="K80" s="276"/>
      <c r="L80" s="264"/>
      <c r="M80" s="279"/>
    </row>
    <row r="81" spans="1:13" s="11" customFormat="1" ht="15.75" customHeight="1" thickTop="1" x14ac:dyDescent="0.25">
      <c r="A81" s="326">
        <v>20</v>
      </c>
      <c r="B81" s="266" t="s">
        <v>461</v>
      </c>
      <c r="C81" s="268" t="s">
        <v>303</v>
      </c>
      <c r="D81" s="270" t="s">
        <v>527</v>
      </c>
      <c r="E81" s="273" t="s">
        <v>516</v>
      </c>
      <c r="F81" s="13" t="s">
        <v>106</v>
      </c>
      <c r="G81" s="21" t="s">
        <v>106</v>
      </c>
      <c r="H81" s="5" t="s">
        <v>136</v>
      </c>
      <c r="I81" s="28"/>
      <c r="J81" s="16" t="s">
        <v>137</v>
      </c>
      <c r="K81" s="256"/>
      <c r="L81" s="259" t="s">
        <v>425</v>
      </c>
      <c r="M81" s="277" t="s">
        <v>138</v>
      </c>
    </row>
    <row r="82" spans="1:13" s="11" customFormat="1" x14ac:dyDescent="0.25">
      <c r="A82" s="246"/>
      <c r="B82" s="248" t="s">
        <v>139</v>
      </c>
      <c r="C82" s="250"/>
      <c r="D82" s="271" t="s">
        <v>135</v>
      </c>
      <c r="E82" s="254"/>
      <c r="F82" s="12" t="s">
        <v>108</v>
      </c>
      <c r="G82" s="22" t="s">
        <v>108</v>
      </c>
      <c r="H82" s="4"/>
      <c r="I82" s="29"/>
      <c r="J82" s="17"/>
      <c r="K82" s="257"/>
      <c r="L82" s="259"/>
      <c r="M82" s="278"/>
    </row>
    <row r="83" spans="1:13" s="11" customFormat="1" x14ac:dyDescent="0.25">
      <c r="A83" s="246"/>
      <c r="B83" s="248" t="s">
        <v>140</v>
      </c>
      <c r="C83" s="250"/>
      <c r="D83" s="271" t="s">
        <v>135</v>
      </c>
      <c r="E83" s="254"/>
      <c r="F83" s="12" t="s">
        <v>40</v>
      </c>
      <c r="G83" s="19" t="s">
        <v>40</v>
      </c>
      <c r="H83" s="4"/>
      <c r="I83" s="29"/>
      <c r="J83" s="17"/>
      <c r="K83" s="257"/>
      <c r="L83" s="259"/>
      <c r="M83" s="278"/>
    </row>
    <row r="84" spans="1:13" s="11" customFormat="1" ht="15.75" thickBot="1" x14ac:dyDescent="0.3">
      <c r="A84" s="318"/>
      <c r="B84" s="267" t="s">
        <v>141</v>
      </c>
      <c r="C84" s="269"/>
      <c r="D84" s="272" t="s">
        <v>135</v>
      </c>
      <c r="E84" s="274"/>
      <c r="F84" s="14" t="s">
        <v>111</v>
      </c>
      <c r="G84" s="24" t="s">
        <v>111</v>
      </c>
      <c r="H84" s="7"/>
      <c r="I84" s="31"/>
      <c r="J84" s="18" t="s">
        <v>142</v>
      </c>
      <c r="K84" s="276"/>
      <c r="L84" s="264"/>
      <c r="M84" s="279"/>
    </row>
    <row r="85" spans="1:13" s="11" customFormat="1" ht="15.75" customHeight="1" thickTop="1" x14ac:dyDescent="0.25">
      <c r="A85" s="326">
        <v>21</v>
      </c>
      <c r="B85" s="266" t="s">
        <v>462</v>
      </c>
      <c r="C85" s="268" t="s">
        <v>530</v>
      </c>
      <c r="D85" s="270" t="s">
        <v>528</v>
      </c>
      <c r="E85" s="273" t="s">
        <v>529</v>
      </c>
      <c r="F85" s="13" t="s">
        <v>106</v>
      </c>
      <c r="G85" s="21" t="s">
        <v>106</v>
      </c>
      <c r="H85" s="5" t="s">
        <v>95</v>
      </c>
      <c r="I85" s="28"/>
      <c r="J85" s="16" t="s">
        <v>137</v>
      </c>
      <c r="K85" s="256"/>
      <c r="L85" s="259" t="s">
        <v>425</v>
      </c>
      <c r="M85" s="277" t="s">
        <v>144</v>
      </c>
    </row>
    <row r="86" spans="1:13" s="11" customFormat="1" x14ac:dyDescent="0.25">
      <c r="A86" s="246"/>
      <c r="B86" s="248" t="s">
        <v>145</v>
      </c>
      <c r="C86" s="250"/>
      <c r="D86" s="271" t="s">
        <v>143</v>
      </c>
      <c r="E86" s="254"/>
      <c r="F86" s="12" t="s">
        <v>108</v>
      </c>
      <c r="G86" s="22" t="s">
        <v>108</v>
      </c>
      <c r="H86" s="4" t="s">
        <v>125</v>
      </c>
      <c r="I86" s="29"/>
      <c r="J86" s="17"/>
      <c r="K86" s="257"/>
      <c r="L86" s="259"/>
      <c r="M86" s="278"/>
    </row>
    <row r="87" spans="1:13" s="11" customFormat="1" x14ac:dyDescent="0.25">
      <c r="A87" s="246"/>
      <c r="B87" s="248" t="s">
        <v>146</v>
      </c>
      <c r="C87" s="250"/>
      <c r="D87" s="271" t="s">
        <v>143</v>
      </c>
      <c r="E87" s="254"/>
      <c r="F87" s="15" t="s">
        <v>40</v>
      </c>
      <c r="G87" s="23" t="s">
        <v>40</v>
      </c>
      <c r="H87" s="6"/>
      <c r="I87" s="30"/>
      <c r="J87" s="26"/>
      <c r="K87" s="257"/>
      <c r="L87" s="259"/>
      <c r="M87" s="278"/>
    </row>
    <row r="88" spans="1:13" s="11" customFormat="1" ht="15.75" thickBot="1" x14ac:dyDescent="0.3">
      <c r="A88" s="318"/>
      <c r="B88" s="267" t="s">
        <v>147</v>
      </c>
      <c r="C88" s="269"/>
      <c r="D88" s="272" t="s">
        <v>143</v>
      </c>
      <c r="E88" s="274"/>
      <c r="F88" s="14" t="s">
        <v>111</v>
      </c>
      <c r="G88" s="24" t="s">
        <v>111</v>
      </c>
      <c r="H88" s="7"/>
      <c r="I88" s="31"/>
      <c r="J88" s="18" t="s">
        <v>148</v>
      </c>
      <c r="K88" s="276"/>
      <c r="L88" s="264"/>
      <c r="M88" s="279"/>
    </row>
    <row r="89" spans="1:13" s="11" customFormat="1" ht="15.75" customHeight="1" thickTop="1" x14ac:dyDescent="0.25">
      <c r="A89" s="326">
        <v>22</v>
      </c>
      <c r="B89" s="266" t="s">
        <v>463</v>
      </c>
      <c r="C89" s="268" t="s">
        <v>320</v>
      </c>
      <c r="D89" s="270" t="s">
        <v>464</v>
      </c>
      <c r="E89" s="273" t="s">
        <v>529</v>
      </c>
      <c r="F89" s="13" t="s">
        <v>106</v>
      </c>
      <c r="G89" s="21" t="s">
        <v>106</v>
      </c>
      <c r="H89" s="5" t="s">
        <v>465</v>
      </c>
      <c r="I89" s="28"/>
      <c r="J89" s="16" t="s">
        <v>466</v>
      </c>
      <c r="K89" s="256"/>
      <c r="L89" s="259" t="s">
        <v>425</v>
      </c>
      <c r="M89" s="277" t="s">
        <v>467</v>
      </c>
    </row>
    <row r="90" spans="1:13" s="11" customFormat="1" x14ac:dyDescent="0.25">
      <c r="A90" s="246"/>
      <c r="B90" s="248" t="s">
        <v>149</v>
      </c>
      <c r="C90" s="250"/>
      <c r="D90" s="271"/>
      <c r="E90" s="254"/>
      <c r="F90" s="12" t="s">
        <v>108</v>
      </c>
      <c r="G90" s="22" t="s">
        <v>108</v>
      </c>
      <c r="H90" s="4"/>
      <c r="I90" s="29"/>
      <c r="J90" s="17"/>
      <c r="K90" s="257"/>
      <c r="L90" s="259"/>
      <c r="M90" s="278"/>
    </row>
    <row r="91" spans="1:13" s="11" customFormat="1" x14ac:dyDescent="0.25">
      <c r="A91" s="246"/>
      <c r="B91" s="248" t="s">
        <v>150</v>
      </c>
      <c r="C91" s="250"/>
      <c r="D91" s="271"/>
      <c r="E91" s="254"/>
      <c r="F91" s="15" t="s">
        <v>40</v>
      </c>
      <c r="G91" s="23" t="s">
        <v>40</v>
      </c>
      <c r="H91" s="6"/>
      <c r="I91" s="30"/>
      <c r="J91" s="26"/>
      <c r="K91" s="257"/>
      <c r="L91" s="259"/>
      <c r="M91" s="278"/>
    </row>
    <row r="92" spans="1:13" s="11" customFormat="1" ht="15.75" thickBot="1" x14ac:dyDescent="0.3">
      <c r="A92" s="318"/>
      <c r="B92" s="267" t="s">
        <v>151</v>
      </c>
      <c r="C92" s="269"/>
      <c r="D92" s="272"/>
      <c r="E92" s="274"/>
      <c r="F92" s="14" t="s">
        <v>111</v>
      </c>
      <c r="G92" s="24" t="s">
        <v>111</v>
      </c>
      <c r="H92" s="7"/>
      <c r="I92" s="31"/>
      <c r="J92" s="18" t="s">
        <v>152</v>
      </c>
      <c r="K92" s="276"/>
      <c r="L92" s="264"/>
      <c r="M92" s="279"/>
    </row>
    <row r="93" spans="1:13" s="11" customFormat="1" ht="15.75" customHeight="1" thickTop="1" x14ac:dyDescent="0.25">
      <c r="A93" s="326">
        <v>23</v>
      </c>
      <c r="B93" s="266" t="s">
        <v>472</v>
      </c>
      <c r="C93" s="268" t="s">
        <v>324</v>
      </c>
      <c r="D93" s="270" t="s">
        <v>153</v>
      </c>
      <c r="E93" s="273"/>
      <c r="F93" s="13" t="s">
        <v>106</v>
      </c>
      <c r="G93" s="21" t="s">
        <v>106</v>
      </c>
      <c r="H93" s="5" t="s">
        <v>95</v>
      </c>
      <c r="I93" s="28"/>
      <c r="J93" s="16" t="s">
        <v>428</v>
      </c>
      <c r="K93" s="256"/>
      <c r="L93" s="259" t="s">
        <v>425</v>
      </c>
      <c r="M93" s="277" t="s">
        <v>154</v>
      </c>
    </row>
    <row r="94" spans="1:13" s="11" customFormat="1" x14ac:dyDescent="0.25">
      <c r="A94" s="246"/>
      <c r="B94" s="248" t="s">
        <v>155</v>
      </c>
      <c r="C94" s="250"/>
      <c r="D94" s="271" t="s">
        <v>153</v>
      </c>
      <c r="E94" s="254"/>
      <c r="F94" s="12" t="s">
        <v>108</v>
      </c>
      <c r="G94" s="22" t="s">
        <v>108</v>
      </c>
      <c r="H94" s="4" t="s">
        <v>125</v>
      </c>
      <c r="I94" s="29"/>
      <c r="J94" s="17"/>
      <c r="K94" s="257"/>
      <c r="L94" s="259"/>
      <c r="M94" s="278"/>
    </row>
    <row r="95" spans="1:13" s="11" customFormat="1" x14ac:dyDescent="0.25">
      <c r="A95" s="246"/>
      <c r="B95" s="248" t="s">
        <v>156</v>
      </c>
      <c r="C95" s="250"/>
      <c r="D95" s="271" t="s">
        <v>153</v>
      </c>
      <c r="E95" s="254"/>
      <c r="F95" s="12" t="s">
        <v>40</v>
      </c>
      <c r="G95" s="19" t="s">
        <v>40</v>
      </c>
      <c r="H95" s="4"/>
      <c r="I95" s="29"/>
      <c r="J95" s="17"/>
      <c r="K95" s="257"/>
      <c r="L95" s="259"/>
      <c r="M95" s="278"/>
    </row>
    <row r="96" spans="1:13" s="11" customFormat="1" ht="15.75" thickBot="1" x14ac:dyDescent="0.3">
      <c r="A96" s="318"/>
      <c r="B96" s="267" t="s">
        <v>157</v>
      </c>
      <c r="C96" s="269"/>
      <c r="D96" s="272" t="s">
        <v>153</v>
      </c>
      <c r="E96" s="274"/>
      <c r="F96" s="14" t="s">
        <v>111</v>
      </c>
      <c r="G96" s="24" t="s">
        <v>111</v>
      </c>
      <c r="H96" s="7"/>
      <c r="I96" s="31"/>
      <c r="J96" s="18" t="s">
        <v>134</v>
      </c>
      <c r="K96" s="276"/>
      <c r="L96" s="264"/>
      <c r="M96" s="279"/>
    </row>
    <row r="97" spans="1:13" s="11" customFormat="1" ht="15.75" customHeight="1" thickTop="1" x14ac:dyDescent="0.25">
      <c r="A97" s="326">
        <v>24</v>
      </c>
      <c r="B97" s="266" t="s">
        <v>471</v>
      </c>
      <c r="C97" s="268"/>
      <c r="D97" s="270" t="s">
        <v>158</v>
      </c>
      <c r="E97" s="273" t="s">
        <v>237</v>
      </c>
      <c r="F97" s="13" t="s">
        <v>106</v>
      </c>
      <c r="G97" s="21" t="s">
        <v>106</v>
      </c>
      <c r="H97" s="5" t="s">
        <v>95</v>
      </c>
      <c r="I97" s="28"/>
      <c r="J97" s="16" t="s">
        <v>428</v>
      </c>
      <c r="K97" s="256"/>
      <c r="L97" s="259" t="s">
        <v>425</v>
      </c>
      <c r="M97" s="277" t="s">
        <v>159</v>
      </c>
    </row>
    <row r="98" spans="1:13" s="11" customFormat="1" x14ac:dyDescent="0.25">
      <c r="A98" s="246"/>
      <c r="B98" s="248" t="s">
        <v>160</v>
      </c>
      <c r="C98" s="250"/>
      <c r="D98" s="271" t="s">
        <v>158</v>
      </c>
      <c r="E98" s="254"/>
      <c r="F98" s="12" t="s">
        <v>108</v>
      </c>
      <c r="G98" s="22" t="s">
        <v>108</v>
      </c>
      <c r="H98" s="4" t="s">
        <v>125</v>
      </c>
      <c r="I98" s="29"/>
      <c r="J98" s="17"/>
      <c r="K98" s="257"/>
      <c r="L98" s="259"/>
      <c r="M98" s="278"/>
    </row>
    <row r="99" spans="1:13" s="11" customFormat="1" x14ac:dyDescent="0.25">
      <c r="A99" s="246"/>
      <c r="B99" s="248" t="s">
        <v>161</v>
      </c>
      <c r="C99" s="250"/>
      <c r="D99" s="271" t="s">
        <v>158</v>
      </c>
      <c r="E99" s="254"/>
      <c r="F99" s="12" t="s">
        <v>40</v>
      </c>
      <c r="G99" s="19" t="s">
        <v>40</v>
      </c>
      <c r="H99" s="4"/>
      <c r="I99" s="29"/>
      <c r="J99" s="17"/>
      <c r="K99" s="257"/>
      <c r="L99" s="259"/>
      <c r="M99" s="278"/>
    </row>
    <row r="100" spans="1:13" s="11" customFormat="1" ht="15.75" thickBot="1" x14ac:dyDescent="0.3">
      <c r="A100" s="318"/>
      <c r="B100" s="267" t="s">
        <v>162</v>
      </c>
      <c r="C100" s="269"/>
      <c r="D100" s="272" t="s">
        <v>158</v>
      </c>
      <c r="E100" s="274"/>
      <c r="F100" s="14" t="s">
        <v>111</v>
      </c>
      <c r="G100" s="24" t="s">
        <v>111</v>
      </c>
      <c r="H100" s="7"/>
      <c r="I100" s="31"/>
      <c r="J100" s="18" t="s">
        <v>163</v>
      </c>
      <c r="K100" s="276"/>
      <c r="L100" s="264"/>
      <c r="M100" s="279"/>
    </row>
    <row r="101" spans="1:13" s="11" customFormat="1" ht="15.75" customHeight="1" thickTop="1" x14ac:dyDescent="0.25">
      <c r="A101" s="326">
        <v>25</v>
      </c>
      <c r="B101" s="266" t="s">
        <v>470</v>
      </c>
      <c r="C101" s="268"/>
      <c r="D101" s="270" t="s">
        <v>531</v>
      </c>
      <c r="E101" s="273"/>
      <c r="F101" s="13" t="s">
        <v>106</v>
      </c>
      <c r="G101" s="21" t="s">
        <v>106</v>
      </c>
      <c r="H101" s="5" t="s">
        <v>95</v>
      </c>
      <c r="I101" s="28"/>
      <c r="J101" s="16" t="s">
        <v>428</v>
      </c>
      <c r="K101" s="256"/>
      <c r="L101" s="259" t="s">
        <v>425</v>
      </c>
      <c r="M101" s="277" t="s">
        <v>165</v>
      </c>
    </row>
    <row r="102" spans="1:13" s="11" customFormat="1" x14ac:dyDescent="0.25">
      <c r="A102" s="246"/>
      <c r="B102" s="248" t="s">
        <v>166</v>
      </c>
      <c r="C102" s="250"/>
      <c r="D102" s="271" t="s">
        <v>164</v>
      </c>
      <c r="E102" s="254"/>
      <c r="F102" s="12" t="s">
        <v>108</v>
      </c>
      <c r="G102" s="22" t="s">
        <v>108</v>
      </c>
      <c r="H102" s="4" t="s">
        <v>125</v>
      </c>
      <c r="I102" s="29"/>
      <c r="J102" s="17"/>
      <c r="K102" s="257"/>
      <c r="L102" s="259"/>
      <c r="M102" s="278"/>
    </row>
    <row r="103" spans="1:13" s="11" customFormat="1" x14ac:dyDescent="0.25">
      <c r="A103" s="246"/>
      <c r="B103" s="248" t="s">
        <v>167</v>
      </c>
      <c r="C103" s="250"/>
      <c r="D103" s="271" t="s">
        <v>164</v>
      </c>
      <c r="E103" s="254"/>
      <c r="F103" s="12" t="s">
        <v>40</v>
      </c>
      <c r="G103" s="19" t="s">
        <v>40</v>
      </c>
      <c r="H103" s="4"/>
      <c r="I103" s="29"/>
      <c r="J103" s="17"/>
      <c r="K103" s="257"/>
      <c r="L103" s="259"/>
      <c r="M103" s="278"/>
    </row>
    <row r="104" spans="1:13" s="11" customFormat="1" ht="15.75" thickBot="1" x14ac:dyDescent="0.3">
      <c r="A104" s="318"/>
      <c r="B104" s="267" t="s">
        <v>168</v>
      </c>
      <c r="C104" s="269"/>
      <c r="D104" s="272" t="s">
        <v>164</v>
      </c>
      <c r="E104" s="274"/>
      <c r="F104" s="14" t="s">
        <v>111</v>
      </c>
      <c r="G104" s="24" t="s">
        <v>111</v>
      </c>
      <c r="H104" s="7"/>
      <c r="I104" s="31"/>
      <c r="J104" s="18" t="s">
        <v>134</v>
      </c>
      <c r="K104" s="276"/>
      <c r="L104" s="264"/>
      <c r="M104" s="279"/>
    </row>
    <row r="105" spans="1:13" s="11" customFormat="1" ht="15.75" customHeight="1" thickTop="1" x14ac:dyDescent="0.25">
      <c r="A105" s="326">
        <v>26</v>
      </c>
      <c r="B105" s="266" t="s">
        <v>469</v>
      </c>
      <c r="C105" s="268" t="s">
        <v>303</v>
      </c>
      <c r="D105" s="270" t="s">
        <v>169</v>
      </c>
      <c r="E105" s="273"/>
      <c r="F105" s="13" t="s">
        <v>106</v>
      </c>
      <c r="G105" s="21" t="s">
        <v>106</v>
      </c>
      <c r="H105" s="5" t="s">
        <v>95</v>
      </c>
      <c r="I105" s="28"/>
      <c r="J105" s="16" t="s">
        <v>468</v>
      </c>
      <c r="K105" s="256"/>
      <c r="L105" s="259" t="s">
        <v>425</v>
      </c>
      <c r="M105" s="261"/>
    </row>
    <row r="106" spans="1:13" s="11" customFormat="1" x14ac:dyDescent="0.25">
      <c r="A106" s="246"/>
      <c r="B106" s="248" t="s">
        <v>170</v>
      </c>
      <c r="C106" s="250"/>
      <c r="D106" s="271" t="s">
        <v>169</v>
      </c>
      <c r="E106" s="254"/>
      <c r="F106" s="12" t="s">
        <v>108</v>
      </c>
      <c r="G106" s="22" t="s">
        <v>108</v>
      </c>
      <c r="H106" s="4" t="s">
        <v>91</v>
      </c>
      <c r="I106" s="29"/>
      <c r="J106" s="17"/>
      <c r="K106" s="257"/>
      <c r="L106" s="259"/>
      <c r="M106" s="262"/>
    </row>
    <row r="107" spans="1:13" s="11" customFormat="1" x14ac:dyDescent="0.25">
      <c r="A107" s="246"/>
      <c r="B107" s="248" t="s">
        <v>171</v>
      </c>
      <c r="C107" s="250"/>
      <c r="D107" s="271" t="s">
        <v>169</v>
      </c>
      <c r="E107" s="254"/>
      <c r="F107" s="12" t="s">
        <v>40</v>
      </c>
      <c r="G107" s="19" t="s">
        <v>40</v>
      </c>
      <c r="H107" s="4"/>
      <c r="I107" s="29"/>
      <c r="J107" s="17"/>
      <c r="K107" s="257"/>
      <c r="L107" s="259"/>
      <c r="M107" s="262"/>
    </row>
    <row r="108" spans="1:13" s="11" customFormat="1" ht="15.75" thickBot="1" x14ac:dyDescent="0.3">
      <c r="A108" s="318"/>
      <c r="B108" s="267" t="s">
        <v>172</v>
      </c>
      <c r="C108" s="269"/>
      <c r="D108" s="272" t="s">
        <v>173</v>
      </c>
      <c r="E108" s="274"/>
      <c r="F108" s="14" t="s">
        <v>111</v>
      </c>
      <c r="G108" s="24" t="s">
        <v>111</v>
      </c>
      <c r="H108" s="7"/>
      <c r="I108" s="31"/>
      <c r="J108" s="18" t="s">
        <v>134</v>
      </c>
      <c r="K108" s="276"/>
      <c r="L108" s="264"/>
      <c r="M108" s="265"/>
    </row>
    <row r="109" spans="1:13" ht="15.75" thickTop="1" x14ac:dyDescent="0.25">
      <c r="A109" s="326">
        <v>27</v>
      </c>
      <c r="B109" s="266" t="s">
        <v>473</v>
      </c>
      <c r="C109" s="268" t="s">
        <v>338</v>
      </c>
      <c r="D109" s="270" t="s">
        <v>474</v>
      </c>
      <c r="E109" s="273" t="s">
        <v>529</v>
      </c>
      <c r="F109" s="13" t="s">
        <v>106</v>
      </c>
      <c r="G109" s="21" t="s">
        <v>106</v>
      </c>
      <c r="H109" s="5" t="s">
        <v>465</v>
      </c>
      <c r="I109" s="28"/>
      <c r="J109" s="16" t="s">
        <v>466</v>
      </c>
      <c r="K109" s="256"/>
      <c r="L109" s="259" t="s">
        <v>425</v>
      </c>
      <c r="M109" s="277" t="s">
        <v>475</v>
      </c>
    </row>
    <row r="110" spans="1:13" x14ac:dyDescent="0.25">
      <c r="A110" s="246"/>
      <c r="B110" s="248" t="s">
        <v>170</v>
      </c>
      <c r="C110" s="250"/>
      <c r="D110" s="271" t="s">
        <v>169</v>
      </c>
      <c r="E110" s="254"/>
      <c r="F110" s="12" t="s">
        <v>108</v>
      </c>
      <c r="G110" s="22" t="s">
        <v>108</v>
      </c>
      <c r="H110" s="4"/>
      <c r="I110" s="29"/>
      <c r="J110" s="17"/>
      <c r="K110" s="257"/>
      <c r="L110" s="259"/>
      <c r="M110" s="278"/>
    </row>
    <row r="111" spans="1:13" x14ac:dyDescent="0.25">
      <c r="A111" s="246"/>
      <c r="B111" s="248" t="s">
        <v>171</v>
      </c>
      <c r="C111" s="250"/>
      <c r="D111" s="271" t="s">
        <v>169</v>
      </c>
      <c r="E111" s="254"/>
      <c r="F111" s="15" t="s">
        <v>40</v>
      </c>
      <c r="G111" s="23" t="s">
        <v>40</v>
      </c>
      <c r="H111" s="6"/>
      <c r="I111" s="30"/>
      <c r="J111" s="26"/>
      <c r="K111" s="257"/>
      <c r="L111" s="259"/>
      <c r="M111" s="278"/>
    </row>
    <row r="112" spans="1:13" ht="15.75" thickBot="1" x14ac:dyDescent="0.3">
      <c r="A112" s="318"/>
      <c r="B112" s="267" t="s">
        <v>172</v>
      </c>
      <c r="C112" s="269"/>
      <c r="D112" s="272" t="s">
        <v>173</v>
      </c>
      <c r="E112" s="274"/>
      <c r="F112" s="14" t="s">
        <v>111</v>
      </c>
      <c r="G112" s="24" t="s">
        <v>111</v>
      </c>
      <c r="H112" s="7"/>
      <c r="I112" s="31"/>
      <c r="J112" s="18" t="s">
        <v>152</v>
      </c>
      <c r="K112" s="276"/>
      <c r="L112" s="264"/>
      <c r="M112" s="279"/>
    </row>
    <row r="113" spans="1:13" ht="15.75" thickTop="1" x14ac:dyDescent="0.25">
      <c r="A113" s="326">
        <v>28</v>
      </c>
      <c r="B113" s="266" t="s">
        <v>476</v>
      </c>
      <c r="C113" s="268" t="s">
        <v>387</v>
      </c>
      <c r="D113" s="270" t="s">
        <v>477</v>
      </c>
      <c r="E113" s="273"/>
      <c r="F113" s="13" t="s">
        <v>106</v>
      </c>
      <c r="G113" s="21" t="s">
        <v>106</v>
      </c>
      <c r="H113" s="5" t="s">
        <v>56</v>
      </c>
      <c r="I113" s="28" t="s">
        <v>383</v>
      </c>
      <c r="J113" s="16"/>
      <c r="K113" s="256"/>
      <c r="L113" s="259" t="s">
        <v>425</v>
      </c>
      <c r="M113" s="261"/>
    </row>
    <row r="114" spans="1:13" x14ac:dyDescent="0.25">
      <c r="A114" s="246"/>
      <c r="B114" s="248" t="s">
        <v>170</v>
      </c>
      <c r="C114" s="250"/>
      <c r="D114" s="271" t="s">
        <v>169</v>
      </c>
      <c r="E114" s="254"/>
      <c r="F114" s="12" t="s">
        <v>108</v>
      </c>
      <c r="G114" s="22" t="s">
        <v>108</v>
      </c>
      <c r="H114" s="4"/>
      <c r="I114" s="29"/>
      <c r="J114" s="17"/>
      <c r="K114" s="257"/>
      <c r="L114" s="259"/>
      <c r="M114" s="262"/>
    </row>
    <row r="115" spans="1:13" x14ac:dyDescent="0.25">
      <c r="A115" s="246"/>
      <c r="B115" s="248" t="s">
        <v>171</v>
      </c>
      <c r="C115" s="250"/>
      <c r="D115" s="271" t="s">
        <v>169</v>
      </c>
      <c r="E115" s="254"/>
      <c r="F115" s="12" t="s">
        <v>40</v>
      </c>
      <c r="G115" s="19" t="s">
        <v>40</v>
      </c>
      <c r="H115" s="4"/>
      <c r="I115" s="29"/>
      <c r="J115" s="17"/>
      <c r="K115" s="257"/>
      <c r="L115" s="259"/>
      <c r="M115" s="262"/>
    </row>
    <row r="116" spans="1:13" ht="15.75" thickBot="1" x14ac:dyDescent="0.3">
      <c r="A116" s="318"/>
      <c r="B116" s="267" t="s">
        <v>172</v>
      </c>
      <c r="C116" s="269"/>
      <c r="D116" s="272" t="s">
        <v>173</v>
      </c>
      <c r="E116" s="274"/>
      <c r="F116" s="14" t="s">
        <v>111</v>
      </c>
      <c r="G116" s="24" t="s">
        <v>111</v>
      </c>
      <c r="H116" s="7"/>
      <c r="I116" s="31"/>
      <c r="J116" s="18"/>
      <c r="K116" s="276"/>
      <c r="L116" s="264"/>
      <c r="M116" s="265"/>
    </row>
    <row r="117" spans="1:13" ht="15.75" customHeight="1" thickTop="1" x14ac:dyDescent="0.25">
      <c r="A117" s="326">
        <v>29</v>
      </c>
      <c r="B117" s="266" t="s">
        <v>480</v>
      </c>
      <c r="C117" s="268" t="s">
        <v>388</v>
      </c>
      <c r="D117" s="270" t="s">
        <v>477</v>
      </c>
      <c r="E117" s="273"/>
      <c r="F117" s="13" t="s">
        <v>106</v>
      </c>
      <c r="G117" s="21" t="s">
        <v>106</v>
      </c>
      <c r="H117" s="5" t="s">
        <v>56</v>
      </c>
      <c r="I117" s="28" t="s">
        <v>383</v>
      </c>
      <c r="J117" s="16"/>
      <c r="K117" s="256"/>
      <c r="L117" s="259" t="s">
        <v>425</v>
      </c>
      <c r="M117" s="261"/>
    </row>
    <row r="118" spans="1:13" ht="15" customHeight="1" x14ac:dyDescent="0.25">
      <c r="A118" s="246"/>
      <c r="B118" s="248" t="s">
        <v>170</v>
      </c>
      <c r="C118" s="250"/>
      <c r="D118" s="271" t="s">
        <v>169</v>
      </c>
      <c r="E118" s="254"/>
      <c r="F118" s="12" t="s">
        <v>108</v>
      </c>
      <c r="G118" s="22" t="s">
        <v>108</v>
      </c>
      <c r="H118" s="4"/>
      <c r="I118" s="29"/>
      <c r="J118" s="17"/>
      <c r="K118" s="257"/>
      <c r="L118" s="259"/>
      <c r="M118" s="262"/>
    </row>
    <row r="119" spans="1:13" ht="15" customHeight="1" x14ac:dyDescent="0.25">
      <c r="A119" s="246"/>
      <c r="B119" s="248" t="s">
        <v>171</v>
      </c>
      <c r="C119" s="250"/>
      <c r="D119" s="271" t="s">
        <v>169</v>
      </c>
      <c r="E119" s="254"/>
      <c r="F119" s="12" t="s">
        <v>40</v>
      </c>
      <c r="G119" s="19" t="s">
        <v>40</v>
      </c>
      <c r="H119" s="4"/>
      <c r="I119" s="29"/>
      <c r="J119" s="17"/>
      <c r="K119" s="257"/>
      <c r="L119" s="259"/>
      <c r="M119" s="262"/>
    </row>
    <row r="120" spans="1:13" ht="15.75" thickBot="1" x14ac:dyDescent="0.3">
      <c r="A120" s="318"/>
      <c r="B120" s="267" t="s">
        <v>172</v>
      </c>
      <c r="C120" s="269"/>
      <c r="D120" s="272" t="s">
        <v>173</v>
      </c>
      <c r="E120" s="274"/>
      <c r="F120" s="14" t="s">
        <v>111</v>
      </c>
      <c r="G120" s="24" t="s">
        <v>111</v>
      </c>
      <c r="H120" s="7"/>
      <c r="I120" s="31"/>
      <c r="J120" s="18"/>
      <c r="K120" s="276"/>
      <c r="L120" s="264"/>
      <c r="M120" s="265"/>
    </row>
    <row r="121" spans="1:13" ht="15.75" thickTop="1" x14ac:dyDescent="0.25">
      <c r="A121" s="326">
        <v>30</v>
      </c>
      <c r="B121" s="266" t="s">
        <v>481</v>
      </c>
      <c r="C121" s="268" t="s">
        <v>389</v>
      </c>
      <c r="D121" s="270" t="s">
        <v>477</v>
      </c>
      <c r="E121" s="273"/>
      <c r="F121" s="184" t="s">
        <v>106</v>
      </c>
      <c r="G121" s="243" t="s">
        <v>106</v>
      </c>
      <c r="H121" s="244" t="s">
        <v>56</v>
      </c>
      <c r="I121" s="245" t="s">
        <v>383</v>
      </c>
      <c r="J121" s="16"/>
      <c r="K121" s="256"/>
      <c r="L121" s="275" t="s">
        <v>425</v>
      </c>
      <c r="M121" s="261"/>
    </row>
    <row r="122" spans="1:13" x14ac:dyDescent="0.25">
      <c r="A122" s="246"/>
      <c r="B122" s="248" t="s">
        <v>482</v>
      </c>
      <c r="C122" s="250"/>
      <c r="D122" s="271" t="s">
        <v>169</v>
      </c>
      <c r="E122" s="254"/>
      <c r="F122" s="12" t="s">
        <v>108</v>
      </c>
      <c r="G122" s="22" t="s">
        <v>108</v>
      </c>
      <c r="H122" s="4"/>
      <c r="I122" s="29"/>
      <c r="J122" s="17"/>
      <c r="K122" s="257"/>
      <c r="L122" s="259"/>
      <c r="M122" s="262"/>
    </row>
    <row r="123" spans="1:13" x14ac:dyDescent="0.25">
      <c r="A123" s="246"/>
      <c r="B123" s="248" t="s">
        <v>483</v>
      </c>
      <c r="C123" s="250"/>
      <c r="D123" s="271" t="s">
        <v>169</v>
      </c>
      <c r="E123" s="254"/>
      <c r="F123" s="12" t="s">
        <v>40</v>
      </c>
      <c r="G123" s="19" t="s">
        <v>40</v>
      </c>
      <c r="H123" s="4"/>
      <c r="I123" s="29"/>
      <c r="J123" s="17"/>
      <c r="K123" s="257"/>
      <c r="L123" s="259"/>
      <c r="M123" s="262"/>
    </row>
    <row r="124" spans="1:13" ht="15.75" thickBot="1" x14ac:dyDescent="0.3">
      <c r="A124" s="318"/>
      <c r="B124" s="267" t="s">
        <v>484</v>
      </c>
      <c r="C124" s="269"/>
      <c r="D124" s="272" t="s">
        <v>485</v>
      </c>
      <c r="E124" s="274"/>
      <c r="F124" s="14" t="s">
        <v>111</v>
      </c>
      <c r="G124" s="24" t="s">
        <v>111</v>
      </c>
      <c r="H124" s="7"/>
      <c r="I124" s="31"/>
      <c r="J124" s="18"/>
      <c r="K124" s="258"/>
      <c r="L124" s="264"/>
      <c r="M124" s="263"/>
    </row>
    <row r="125" spans="1:13" ht="15.75" customHeight="1" thickTop="1" x14ac:dyDescent="0.25">
      <c r="A125" s="246">
        <v>31</v>
      </c>
      <c r="B125" s="248" t="s">
        <v>486</v>
      </c>
      <c r="C125" s="250"/>
      <c r="D125" s="252" t="s">
        <v>490</v>
      </c>
      <c r="E125" s="254" t="s">
        <v>532</v>
      </c>
      <c r="F125" s="13" t="s">
        <v>106</v>
      </c>
      <c r="G125" s="21" t="s">
        <v>106</v>
      </c>
      <c r="H125" s="5" t="s">
        <v>491</v>
      </c>
      <c r="I125" s="28"/>
      <c r="J125" s="16" t="s">
        <v>492</v>
      </c>
      <c r="K125" s="256"/>
      <c r="L125" s="259" t="s">
        <v>425</v>
      </c>
      <c r="M125" s="261" t="s">
        <v>493</v>
      </c>
    </row>
    <row r="126" spans="1:13" ht="15" customHeight="1" x14ac:dyDescent="0.25">
      <c r="A126" s="246"/>
      <c r="B126" s="248" t="s">
        <v>487</v>
      </c>
      <c r="C126" s="250"/>
      <c r="D126" s="252"/>
      <c r="E126" s="254"/>
      <c r="F126" s="12" t="s">
        <v>108</v>
      </c>
      <c r="G126" s="22" t="s">
        <v>108</v>
      </c>
      <c r="H126" s="4"/>
      <c r="I126" s="29"/>
      <c r="J126" s="17"/>
      <c r="K126" s="257"/>
      <c r="L126" s="259"/>
      <c r="M126" s="262"/>
    </row>
    <row r="127" spans="1:13" ht="15" customHeight="1" x14ac:dyDescent="0.25">
      <c r="A127" s="246"/>
      <c r="B127" s="248" t="s">
        <v>488</v>
      </c>
      <c r="C127" s="250"/>
      <c r="D127" s="252"/>
      <c r="E127" s="254"/>
      <c r="F127" s="12" t="s">
        <v>40</v>
      </c>
      <c r="G127" s="19" t="s">
        <v>40</v>
      </c>
      <c r="H127" s="4"/>
      <c r="I127" s="29"/>
      <c r="J127" s="17"/>
      <c r="K127" s="257"/>
      <c r="L127" s="259"/>
      <c r="M127" s="262"/>
    </row>
    <row r="128" spans="1:13" ht="15.75" thickBot="1" x14ac:dyDescent="0.3">
      <c r="A128" s="247"/>
      <c r="B128" s="249" t="s">
        <v>489</v>
      </c>
      <c r="C128" s="251"/>
      <c r="D128" s="253"/>
      <c r="E128" s="255"/>
      <c r="F128" s="178" t="s">
        <v>111</v>
      </c>
      <c r="G128" s="203" t="s">
        <v>111</v>
      </c>
      <c r="H128" s="204"/>
      <c r="I128" s="205"/>
      <c r="J128" s="206"/>
      <c r="K128" s="258"/>
      <c r="L128" s="260"/>
      <c r="M128" s="263"/>
    </row>
    <row r="129" spans="3:3" customFormat="1" ht="24.95" customHeight="1" x14ac:dyDescent="0.25">
      <c r="C129" s="189"/>
    </row>
    <row r="130" spans="3:3" customFormat="1" ht="24.95" customHeight="1" x14ac:dyDescent="0.25">
      <c r="C130" s="189"/>
    </row>
    <row r="131" spans="3:3" customFormat="1" ht="24.95" customHeight="1" x14ac:dyDescent="0.25">
      <c r="C131" s="189"/>
    </row>
    <row r="132" spans="3:3" customFormat="1" ht="24.95" customHeight="1" x14ac:dyDescent="0.25">
      <c r="C132" s="189"/>
    </row>
    <row r="133" spans="3:3" customFormat="1" ht="24.95" customHeight="1" x14ac:dyDescent="0.25">
      <c r="C133" s="189"/>
    </row>
    <row r="134" spans="3:3" customFormat="1" ht="24.95" customHeight="1" x14ac:dyDescent="0.25">
      <c r="C134" s="189"/>
    </row>
    <row r="135" spans="3:3" customFormat="1" ht="24.95" customHeight="1" x14ac:dyDescent="0.25">
      <c r="C135" s="189"/>
    </row>
    <row r="136" spans="3:3" customFormat="1" ht="24.95" customHeight="1" x14ac:dyDescent="0.25">
      <c r="C136" s="189"/>
    </row>
    <row r="137" spans="3:3" customFormat="1" ht="24.95" customHeight="1" x14ac:dyDescent="0.25">
      <c r="C137" s="189"/>
    </row>
    <row r="138" spans="3:3" customFormat="1" ht="24.95" customHeight="1" x14ac:dyDescent="0.25">
      <c r="C138" s="189"/>
    </row>
    <row r="139" spans="3:3" customFormat="1" ht="24.95" customHeight="1" x14ac:dyDescent="0.25">
      <c r="C139" s="189"/>
    </row>
    <row r="140" spans="3:3" customFormat="1" ht="24.95" customHeight="1" x14ac:dyDescent="0.25">
      <c r="C140" s="189"/>
    </row>
    <row r="141" spans="3:3" customFormat="1" x14ac:dyDescent="0.25">
      <c r="C141" s="189"/>
    </row>
    <row r="142" spans="3:3" customFormat="1" x14ac:dyDescent="0.25">
      <c r="C142" s="189"/>
    </row>
    <row r="143" spans="3:3" customFormat="1" x14ac:dyDescent="0.25">
      <c r="C143" s="189"/>
    </row>
    <row r="144" spans="3:3" customFormat="1" x14ac:dyDescent="0.25">
      <c r="C144" s="189"/>
    </row>
    <row r="145" spans="3:3" customFormat="1" x14ac:dyDescent="0.25">
      <c r="C145" s="189"/>
    </row>
    <row r="146" spans="3:3" customFormat="1" x14ac:dyDescent="0.25">
      <c r="C146" s="189"/>
    </row>
    <row r="147" spans="3:3" customFormat="1" x14ac:dyDescent="0.25">
      <c r="C147" s="189"/>
    </row>
    <row r="148" spans="3:3" customFormat="1" x14ac:dyDescent="0.25">
      <c r="C148" s="189"/>
    </row>
    <row r="149" spans="3:3" customFormat="1" x14ac:dyDescent="0.25">
      <c r="C149" s="189"/>
    </row>
    <row r="150" spans="3:3" customFormat="1" x14ac:dyDescent="0.25">
      <c r="C150" s="189"/>
    </row>
    <row r="151" spans="3:3" customFormat="1" x14ac:dyDescent="0.25">
      <c r="C151" s="189"/>
    </row>
    <row r="152" spans="3:3" customFormat="1" x14ac:dyDescent="0.25">
      <c r="C152" s="189"/>
    </row>
    <row r="153" spans="3:3" customFormat="1" x14ac:dyDescent="0.25">
      <c r="C153" s="189"/>
    </row>
    <row r="154" spans="3:3" customFormat="1" x14ac:dyDescent="0.25">
      <c r="C154" s="189"/>
    </row>
    <row r="155" spans="3:3" customFormat="1" x14ac:dyDescent="0.25">
      <c r="C155" s="189"/>
    </row>
    <row r="156" spans="3:3" customFormat="1" x14ac:dyDescent="0.25">
      <c r="C156" s="189"/>
    </row>
    <row r="157" spans="3:3" customFormat="1" x14ac:dyDescent="0.25">
      <c r="C157" s="189"/>
    </row>
    <row r="158" spans="3:3" customFormat="1" x14ac:dyDescent="0.25">
      <c r="C158" s="189"/>
    </row>
    <row r="159" spans="3:3" customFormat="1" x14ac:dyDescent="0.25">
      <c r="C159" s="189"/>
    </row>
    <row r="160" spans="3:3" customFormat="1" x14ac:dyDescent="0.25">
      <c r="C160" s="189"/>
    </row>
    <row r="161" spans="3:3" customFormat="1" x14ac:dyDescent="0.25">
      <c r="C161" s="189"/>
    </row>
    <row r="162" spans="3:3" customFormat="1" x14ac:dyDescent="0.25">
      <c r="C162" s="189"/>
    </row>
    <row r="163" spans="3:3" customFormat="1" x14ac:dyDescent="0.25">
      <c r="C163" s="189"/>
    </row>
    <row r="164" spans="3:3" customFormat="1" x14ac:dyDescent="0.25">
      <c r="C164" s="189"/>
    </row>
    <row r="165" spans="3:3" customFormat="1" x14ac:dyDescent="0.25">
      <c r="C165" s="189"/>
    </row>
    <row r="166" spans="3:3" customFormat="1" x14ac:dyDescent="0.25">
      <c r="C166" s="189"/>
    </row>
    <row r="167" spans="3:3" customFormat="1" x14ac:dyDescent="0.25">
      <c r="C167" s="189"/>
    </row>
    <row r="168" spans="3:3" customFormat="1" x14ac:dyDescent="0.25">
      <c r="C168" s="189"/>
    </row>
    <row r="169" spans="3:3" customFormat="1" x14ac:dyDescent="0.25">
      <c r="C169" s="189"/>
    </row>
    <row r="170" spans="3:3" customFormat="1" x14ac:dyDescent="0.25">
      <c r="C170" s="189"/>
    </row>
    <row r="171" spans="3:3" customFormat="1" x14ac:dyDescent="0.25">
      <c r="C171" s="189"/>
    </row>
    <row r="172" spans="3:3" customFormat="1" x14ac:dyDescent="0.25">
      <c r="C172" s="189"/>
    </row>
    <row r="173" spans="3:3" customFormat="1" x14ac:dyDescent="0.25">
      <c r="C173" s="189"/>
    </row>
    <row r="174" spans="3:3" customFormat="1" x14ac:dyDescent="0.25">
      <c r="C174" s="189"/>
    </row>
    <row r="175" spans="3:3" customFormat="1" x14ac:dyDescent="0.25">
      <c r="C175" s="189"/>
    </row>
    <row r="176" spans="3:3" customFormat="1" x14ac:dyDescent="0.25">
      <c r="C176" s="189"/>
    </row>
    <row r="177" spans="3:3" customFormat="1" x14ac:dyDescent="0.25">
      <c r="C177" s="189"/>
    </row>
    <row r="178" spans="3:3" customFormat="1" x14ac:dyDescent="0.25">
      <c r="C178" s="189"/>
    </row>
    <row r="179" spans="3:3" customFormat="1" x14ac:dyDescent="0.25">
      <c r="C179" s="189"/>
    </row>
    <row r="180" spans="3:3" customFormat="1" x14ac:dyDescent="0.25">
      <c r="C180" s="189"/>
    </row>
    <row r="181" spans="3:3" customFormat="1" x14ac:dyDescent="0.25">
      <c r="C181" s="189"/>
    </row>
    <row r="182" spans="3:3" customFormat="1" x14ac:dyDescent="0.25">
      <c r="C182" s="189"/>
    </row>
    <row r="183" spans="3:3" customFormat="1" x14ac:dyDescent="0.25">
      <c r="C183" s="189"/>
    </row>
    <row r="184" spans="3:3" customFormat="1" x14ac:dyDescent="0.25">
      <c r="C184" s="189"/>
    </row>
    <row r="185" spans="3:3" customFormat="1" x14ac:dyDescent="0.25">
      <c r="C185" s="189"/>
    </row>
    <row r="186" spans="3:3" customFormat="1" x14ac:dyDescent="0.25">
      <c r="C186" s="189"/>
    </row>
    <row r="187" spans="3:3" customFormat="1" x14ac:dyDescent="0.25">
      <c r="C187" s="189"/>
    </row>
    <row r="188" spans="3:3" customFormat="1" x14ac:dyDescent="0.25">
      <c r="C188" s="189"/>
    </row>
    <row r="189" spans="3:3" customFormat="1" x14ac:dyDescent="0.25">
      <c r="C189" s="189"/>
    </row>
    <row r="190" spans="3:3" customFormat="1" x14ac:dyDescent="0.25">
      <c r="C190" s="189"/>
    </row>
    <row r="191" spans="3:3" customFormat="1" x14ac:dyDescent="0.25">
      <c r="C191" s="189"/>
    </row>
    <row r="192" spans="3:3" customFormat="1" x14ac:dyDescent="0.25">
      <c r="C192" s="189"/>
    </row>
    <row r="193" spans="3:3" customFormat="1" x14ac:dyDescent="0.25">
      <c r="C193" s="189"/>
    </row>
    <row r="194" spans="3:3" customFormat="1" x14ac:dyDescent="0.25">
      <c r="C194" s="189"/>
    </row>
    <row r="195" spans="3:3" customFormat="1" x14ac:dyDescent="0.25">
      <c r="C195" s="189"/>
    </row>
    <row r="196" spans="3:3" customFormat="1" x14ac:dyDescent="0.25">
      <c r="C196" s="189"/>
    </row>
    <row r="197" spans="3:3" customFormat="1" x14ac:dyDescent="0.25">
      <c r="C197" s="189"/>
    </row>
    <row r="198" spans="3:3" customFormat="1" x14ac:dyDescent="0.25">
      <c r="C198" s="189"/>
    </row>
    <row r="199" spans="3:3" customFormat="1" x14ac:dyDescent="0.25">
      <c r="C199" s="189"/>
    </row>
    <row r="200" spans="3:3" customFormat="1" x14ac:dyDescent="0.25">
      <c r="C200" s="189"/>
    </row>
    <row r="201" spans="3:3" customFormat="1" x14ac:dyDescent="0.25">
      <c r="C201" s="189"/>
    </row>
    <row r="202" spans="3:3" customFormat="1" x14ac:dyDescent="0.25">
      <c r="C202" s="189"/>
    </row>
    <row r="203" spans="3:3" customFormat="1" x14ac:dyDescent="0.25">
      <c r="C203" s="189"/>
    </row>
    <row r="204" spans="3:3" customFormat="1" x14ac:dyDescent="0.25">
      <c r="C204" s="189"/>
    </row>
    <row r="205" spans="3:3" customFormat="1" x14ac:dyDescent="0.25">
      <c r="C205" s="189"/>
    </row>
    <row r="206" spans="3:3" customFormat="1" x14ac:dyDescent="0.25">
      <c r="C206" s="189"/>
    </row>
    <row r="207" spans="3:3" customFormat="1" x14ac:dyDescent="0.25">
      <c r="C207" s="189"/>
    </row>
    <row r="208" spans="3:3" customFormat="1" x14ac:dyDescent="0.25">
      <c r="C208" s="189"/>
    </row>
    <row r="209" spans="3:3" customFormat="1" x14ac:dyDescent="0.25">
      <c r="C209" s="189"/>
    </row>
    <row r="210" spans="3:3" customFormat="1" x14ac:dyDescent="0.25">
      <c r="C210" s="189"/>
    </row>
    <row r="211" spans="3:3" customFormat="1" x14ac:dyDescent="0.25">
      <c r="C211" s="189"/>
    </row>
    <row r="212" spans="3:3" customFormat="1" x14ac:dyDescent="0.25">
      <c r="C212" s="189"/>
    </row>
    <row r="213" spans="3:3" customFormat="1" x14ac:dyDescent="0.25">
      <c r="C213" s="189"/>
    </row>
    <row r="214" spans="3:3" customFormat="1" x14ac:dyDescent="0.25">
      <c r="C214" s="189"/>
    </row>
    <row r="215" spans="3:3" customFormat="1" x14ac:dyDescent="0.25">
      <c r="C215" s="189"/>
    </row>
    <row r="216" spans="3:3" customFormat="1" x14ac:dyDescent="0.25">
      <c r="C216" s="189"/>
    </row>
    <row r="217" spans="3:3" customFormat="1" x14ac:dyDescent="0.25">
      <c r="C217" s="189"/>
    </row>
    <row r="218" spans="3:3" customFormat="1" x14ac:dyDescent="0.25">
      <c r="C218" s="189"/>
    </row>
    <row r="219" spans="3:3" customFormat="1" x14ac:dyDescent="0.25">
      <c r="C219" s="189"/>
    </row>
    <row r="220" spans="3:3" customFormat="1" x14ac:dyDescent="0.25">
      <c r="C220" s="189"/>
    </row>
    <row r="221" spans="3:3" customFormat="1" x14ac:dyDescent="0.25">
      <c r="C221" s="189"/>
    </row>
    <row r="222" spans="3:3" customFormat="1" x14ac:dyDescent="0.25">
      <c r="C222" s="189"/>
    </row>
    <row r="223" spans="3:3" customFormat="1" x14ac:dyDescent="0.25">
      <c r="C223" s="189"/>
    </row>
    <row r="224" spans="3:3" customFormat="1" x14ac:dyDescent="0.25">
      <c r="C224" s="189"/>
    </row>
    <row r="225" spans="3:3" customFormat="1" x14ac:dyDescent="0.25">
      <c r="C225" s="189"/>
    </row>
    <row r="226" spans="3:3" customFormat="1" x14ac:dyDescent="0.25">
      <c r="C226" s="189"/>
    </row>
    <row r="227" spans="3:3" customFormat="1" x14ac:dyDescent="0.25">
      <c r="C227" s="189"/>
    </row>
    <row r="228" spans="3:3" customFormat="1" x14ac:dyDescent="0.25">
      <c r="C228" s="189"/>
    </row>
    <row r="229" spans="3:3" customFormat="1" x14ac:dyDescent="0.25">
      <c r="C229" s="189"/>
    </row>
    <row r="230" spans="3:3" customFormat="1" x14ac:dyDescent="0.25">
      <c r="C230" s="189"/>
    </row>
    <row r="231" spans="3:3" customFormat="1" x14ac:dyDescent="0.25">
      <c r="C231" s="189"/>
    </row>
    <row r="232" spans="3:3" customFormat="1" x14ac:dyDescent="0.25">
      <c r="C232" s="189"/>
    </row>
    <row r="233" spans="3:3" customFormat="1" x14ac:dyDescent="0.25">
      <c r="C233" s="189"/>
    </row>
    <row r="234" spans="3:3" customFormat="1" x14ac:dyDescent="0.25">
      <c r="C234" s="189"/>
    </row>
    <row r="235" spans="3:3" customFormat="1" x14ac:dyDescent="0.25">
      <c r="C235" s="189"/>
    </row>
    <row r="236" spans="3:3" customFormat="1" x14ac:dyDescent="0.25">
      <c r="C236" s="189"/>
    </row>
    <row r="237" spans="3:3" customFormat="1" x14ac:dyDescent="0.25">
      <c r="C237" s="189"/>
    </row>
    <row r="238" spans="3:3" customFormat="1" x14ac:dyDescent="0.25">
      <c r="C238" s="189"/>
    </row>
    <row r="239" spans="3:3" customFormat="1" x14ac:dyDescent="0.25">
      <c r="C239" s="189"/>
    </row>
    <row r="240" spans="3:3" customFormat="1" x14ac:dyDescent="0.25">
      <c r="C240" s="189"/>
    </row>
    <row r="241" spans="3:3" customFormat="1" x14ac:dyDescent="0.25">
      <c r="C241" s="189"/>
    </row>
    <row r="242" spans="3:3" customFormat="1" x14ac:dyDescent="0.25">
      <c r="C242" s="189"/>
    </row>
    <row r="243" spans="3:3" customFormat="1" x14ac:dyDescent="0.25">
      <c r="C243" s="189"/>
    </row>
    <row r="244" spans="3:3" customFormat="1" x14ac:dyDescent="0.25">
      <c r="C244" s="189"/>
    </row>
    <row r="245" spans="3:3" customFormat="1" x14ac:dyDescent="0.25">
      <c r="C245" s="189"/>
    </row>
    <row r="246" spans="3:3" customFormat="1" x14ac:dyDescent="0.25">
      <c r="C246" s="189"/>
    </row>
    <row r="247" spans="3:3" customFormat="1" x14ac:dyDescent="0.25">
      <c r="C247" s="189"/>
    </row>
    <row r="248" spans="3:3" customFormat="1" x14ac:dyDescent="0.25">
      <c r="C248" s="189"/>
    </row>
    <row r="249" spans="3:3" customFormat="1" x14ac:dyDescent="0.25">
      <c r="C249" s="189"/>
    </row>
    <row r="250" spans="3:3" customFormat="1" x14ac:dyDescent="0.25">
      <c r="C250" s="189"/>
    </row>
    <row r="251" spans="3:3" customFormat="1" x14ac:dyDescent="0.25">
      <c r="C251" s="189"/>
    </row>
    <row r="252" spans="3:3" customFormat="1" x14ac:dyDescent="0.25">
      <c r="C252" s="189"/>
    </row>
    <row r="253" spans="3:3" customFormat="1" x14ac:dyDescent="0.25">
      <c r="C253" s="189"/>
    </row>
    <row r="254" spans="3:3" customFormat="1" x14ac:dyDescent="0.25">
      <c r="C254" s="189"/>
    </row>
    <row r="255" spans="3:3" customFormat="1" x14ac:dyDescent="0.25">
      <c r="C255" s="189"/>
    </row>
    <row r="256" spans="3:3" customFormat="1" x14ac:dyDescent="0.25">
      <c r="C256" s="189"/>
    </row>
    <row r="257" spans="3:3" customFormat="1" x14ac:dyDescent="0.25">
      <c r="C257" s="189"/>
    </row>
    <row r="258" spans="3:3" customFormat="1" x14ac:dyDescent="0.25">
      <c r="C258" s="189"/>
    </row>
    <row r="259" spans="3:3" customFormat="1" x14ac:dyDescent="0.25">
      <c r="C259" s="189"/>
    </row>
    <row r="260" spans="3:3" customFormat="1" x14ac:dyDescent="0.25">
      <c r="C260" s="189"/>
    </row>
    <row r="261" spans="3:3" customFormat="1" x14ac:dyDescent="0.25">
      <c r="C261" s="189"/>
    </row>
    <row r="262" spans="3:3" customFormat="1" x14ac:dyDescent="0.25">
      <c r="C262" s="189"/>
    </row>
    <row r="263" spans="3:3" customFormat="1" x14ac:dyDescent="0.25">
      <c r="C263" s="189"/>
    </row>
    <row r="264" spans="3:3" customFormat="1" x14ac:dyDescent="0.25">
      <c r="C264" s="189"/>
    </row>
    <row r="265" spans="3:3" customFormat="1" x14ac:dyDescent="0.25">
      <c r="C265" s="189"/>
    </row>
    <row r="266" spans="3:3" customFormat="1" x14ac:dyDescent="0.25">
      <c r="C266" s="189"/>
    </row>
    <row r="267" spans="3:3" customFormat="1" x14ac:dyDescent="0.25">
      <c r="C267" s="189"/>
    </row>
    <row r="268" spans="3:3" customFormat="1" x14ac:dyDescent="0.25">
      <c r="C268" s="189"/>
    </row>
    <row r="269" spans="3:3" customFormat="1" x14ac:dyDescent="0.25">
      <c r="C269" s="189"/>
    </row>
    <row r="270" spans="3:3" customFormat="1" x14ac:dyDescent="0.25">
      <c r="C270" s="189"/>
    </row>
    <row r="271" spans="3:3" customFormat="1" x14ac:dyDescent="0.25">
      <c r="C271" s="189"/>
    </row>
    <row r="272" spans="3:3" customFormat="1" x14ac:dyDescent="0.25">
      <c r="C272" s="189"/>
    </row>
    <row r="273" spans="3:3" customFormat="1" x14ac:dyDescent="0.25">
      <c r="C273" s="189"/>
    </row>
    <row r="274" spans="3:3" customFormat="1" x14ac:dyDescent="0.25">
      <c r="C274" s="189"/>
    </row>
    <row r="275" spans="3:3" customFormat="1" x14ac:dyDescent="0.25">
      <c r="C275" s="189"/>
    </row>
    <row r="276" spans="3:3" customFormat="1" x14ac:dyDescent="0.25">
      <c r="C276" s="189"/>
    </row>
    <row r="277" spans="3:3" customFormat="1" x14ac:dyDescent="0.25">
      <c r="C277" s="189"/>
    </row>
    <row r="278" spans="3:3" customFormat="1" x14ac:dyDescent="0.25">
      <c r="C278" s="189"/>
    </row>
    <row r="279" spans="3:3" customFormat="1" x14ac:dyDescent="0.25">
      <c r="C279" s="189"/>
    </row>
    <row r="280" spans="3:3" customFormat="1" x14ac:dyDescent="0.25">
      <c r="C280" s="189"/>
    </row>
    <row r="281" spans="3:3" customFormat="1" x14ac:dyDescent="0.25">
      <c r="C281" s="189"/>
    </row>
    <row r="282" spans="3:3" customFormat="1" x14ac:dyDescent="0.25">
      <c r="C282" s="189"/>
    </row>
    <row r="283" spans="3:3" customFormat="1" x14ac:dyDescent="0.25">
      <c r="C283" s="189"/>
    </row>
    <row r="284" spans="3:3" customFormat="1" x14ac:dyDescent="0.25">
      <c r="C284" s="189"/>
    </row>
    <row r="285" spans="3:3" customFormat="1" x14ac:dyDescent="0.25">
      <c r="C285" s="189"/>
    </row>
    <row r="286" spans="3:3" customFormat="1" x14ac:dyDescent="0.25">
      <c r="C286" s="189"/>
    </row>
    <row r="287" spans="3:3" customFormat="1" x14ac:dyDescent="0.25">
      <c r="C287" s="189"/>
    </row>
    <row r="288" spans="3:3" customFormat="1" x14ac:dyDescent="0.25">
      <c r="C288" s="189"/>
    </row>
    <row r="289" spans="3:3" customFormat="1" x14ac:dyDescent="0.25">
      <c r="C289" s="189"/>
    </row>
    <row r="290" spans="3:3" customFormat="1" x14ac:dyDescent="0.25">
      <c r="C290" s="189"/>
    </row>
    <row r="291" spans="3:3" customFormat="1" x14ac:dyDescent="0.25">
      <c r="C291" s="189"/>
    </row>
    <row r="292" spans="3:3" customFormat="1" x14ac:dyDescent="0.25">
      <c r="C292" s="189"/>
    </row>
    <row r="293" spans="3:3" customFormat="1" x14ac:dyDescent="0.25">
      <c r="C293" s="189"/>
    </row>
    <row r="294" spans="3:3" customFormat="1" x14ac:dyDescent="0.25">
      <c r="C294" s="189"/>
    </row>
    <row r="295" spans="3:3" customFormat="1" x14ac:dyDescent="0.25">
      <c r="C295" s="189"/>
    </row>
    <row r="296" spans="3:3" customFormat="1" x14ac:dyDescent="0.25">
      <c r="C296" s="189"/>
    </row>
    <row r="297" spans="3:3" customFormat="1" x14ac:dyDescent="0.25">
      <c r="C297" s="189"/>
    </row>
    <row r="298" spans="3:3" customFormat="1" x14ac:dyDescent="0.25">
      <c r="C298" s="189"/>
    </row>
    <row r="299" spans="3:3" customFormat="1" x14ac:dyDescent="0.25">
      <c r="C299" s="189"/>
    </row>
    <row r="300" spans="3:3" customFormat="1" x14ac:dyDescent="0.25">
      <c r="C300" s="189"/>
    </row>
    <row r="301" spans="3:3" customFormat="1" x14ac:dyDescent="0.25">
      <c r="C301" s="189"/>
    </row>
    <row r="302" spans="3:3" customFormat="1" x14ac:dyDescent="0.25">
      <c r="C302" s="189"/>
    </row>
    <row r="303" spans="3:3" customFormat="1" x14ac:dyDescent="0.25">
      <c r="C303" s="189"/>
    </row>
    <row r="304" spans="3:3" customFormat="1" x14ac:dyDescent="0.25">
      <c r="C304" s="189"/>
    </row>
    <row r="305" spans="3:3" customFormat="1" x14ac:dyDescent="0.25">
      <c r="C305" s="189"/>
    </row>
    <row r="306" spans="3:3" customFormat="1" x14ac:dyDescent="0.25">
      <c r="C306" s="189"/>
    </row>
    <row r="307" spans="3:3" customFormat="1" x14ac:dyDescent="0.25">
      <c r="C307" s="189"/>
    </row>
    <row r="308" spans="3:3" customFormat="1" x14ac:dyDescent="0.25">
      <c r="C308" s="189"/>
    </row>
    <row r="309" spans="3:3" customFormat="1" x14ac:dyDescent="0.25">
      <c r="C309" s="189"/>
    </row>
    <row r="310" spans="3:3" customFormat="1" x14ac:dyDescent="0.25">
      <c r="C310" s="189"/>
    </row>
    <row r="311" spans="3:3" customFormat="1" x14ac:dyDescent="0.25">
      <c r="C311" s="189"/>
    </row>
    <row r="312" spans="3:3" customFormat="1" x14ac:dyDescent="0.25">
      <c r="C312" s="189"/>
    </row>
    <row r="313" spans="3:3" customFormat="1" x14ac:dyDescent="0.25">
      <c r="C313" s="189"/>
    </row>
    <row r="314" spans="3:3" customFormat="1" x14ac:dyDescent="0.25">
      <c r="C314" s="189"/>
    </row>
    <row r="315" spans="3:3" customFormat="1" x14ac:dyDescent="0.25">
      <c r="C315" s="189"/>
    </row>
    <row r="316" spans="3:3" customFormat="1" x14ac:dyDescent="0.25">
      <c r="C316" s="189"/>
    </row>
    <row r="317" spans="3:3" customFormat="1" x14ac:dyDescent="0.25">
      <c r="C317" s="189"/>
    </row>
    <row r="318" spans="3:3" customFormat="1" x14ac:dyDescent="0.25">
      <c r="C318" s="189"/>
    </row>
    <row r="319" spans="3:3" customFormat="1" x14ac:dyDescent="0.25">
      <c r="C319" s="189"/>
    </row>
    <row r="320" spans="3:3" customFormat="1" x14ac:dyDescent="0.25">
      <c r="C320" s="189"/>
    </row>
    <row r="321" spans="3:3" customFormat="1" x14ac:dyDescent="0.25">
      <c r="C321" s="189"/>
    </row>
    <row r="322" spans="3:3" customFormat="1" x14ac:dyDescent="0.25">
      <c r="C322" s="189"/>
    </row>
    <row r="323" spans="3:3" customFormat="1" x14ac:dyDescent="0.25">
      <c r="C323" s="189"/>
    </row>
    <row r="324" spans="3:3" customFormat="1" x14ac:dyDescent="0.25">
      <c r="C324" s="189"/>
    </row>
    <row r="325" spans="3:3" customFormat="1" x14ac:dyDescent="0.25">
      <c r="C325" s="189"/>
    </row>
    <row r="326" spans="3:3" customFormat="1" x14ac:dyDescent="0.25">
      <c r="C326" s="189"/>
    </row>
    <row r="327" spans="3:3" customFormat="1" x14ac:dyDescent="0.25">
      <c r="C327" s="189"/>
    </row>
    <row r="328" spans="3:3" customFormat="1" x14ac:dyDescent="0.25">
      <c r="C328" s="189"/>
    </row>
    <row r="329" spans="3:3" customFormat="1" x14ac:dyDescent="0.25">
      <c r="C329" s="189"/>
    </row>
    <row r="330" spans="3:3" customFormat="1" x14ac:dyDescent="0.25">
      <c r="C330" s="189"/>
    </row>
    <row r="331" spans="3:3" customFormat="1" x14ac:dyDescent="0.25">
      <c r="C331" s="189"/>
    </row>
    <row r="332" spans="3:3" customFormat="1" x14ac:dyDescent="0.25">
      <c r="C332" s="189"/>
    </row>
    <row r="333" spans="3:3" customFormat="1" x14ac:dyDescent="0.25">
      <c r="C333" s="189"/>
    </row>
    <row r="334" spans="3:3" customFormat="1" x14ac:dyDescent="0.25">
      <c r="C334" s="189"/>
    </row>
    <row r="335" spans="3:3" customFormat="1" x14ac:dyDescent="0.25">
      <c r="C335" s="189"/>
    </row>
    <row r="336" spans="3:3" customFormat="1" x14ac:dyDescent="0.25">
      <c r="C336" s="189"/>
    </row>
    <row r="337" spans="3:3" customFormat="1" x14ac:dyDescent="0.25">
      <c r="C337" s="189"/>
    </row>
    <row r="338" spans="3:3" customFormat="1" x14ac:dyDescent="0.25">
      <c r="C338" s="189"/>
    </row>
    <row r="339" spans="3:3" customFormat="1" x14ac:dyDescent="0.25">
      <c r="C339" s="189"/>
    </row>
    <row r="340" spans="3:3" customFormat="1" x14ac:dyDescent="0.25">
      <c r="C340" s="189"/>
    </row>
    <row r="341" spans="3:3" customFormat="1" x14ac:dyDescent="0.25">
      <c r="C341" s="189"/>
    </row>
    <row r="342" spans="3:3" customFormat="1" x14ac:dyDescent="0.25">
      <c r="C342" s="189"/>
    </row>
    <row r="343" spans="3:3" customFormat="1" x14ac:dyDescent="0.25">
      <c r="C343" s="189"/>
    </row>
    <row r="344" spans="3:3" customFormat="1" x14ac:dyDescent="0.25">
      <c r="C344" s="189"/>
    </row>
    <row r="345" spans="3:3" customFormat="1" x14ac:dyDescent="0.25">
      <c r="C345" s="189"/>
    </row>
    <row r="346" spans="3:3" customFormat="1" x14ac:dyDescent="0.25">
      <c r="C346" s="189"/>
    </row>
    <row r="347" spans="3:3" customFormat="1" x14ac:dyDescent="0.25">
      <c r="C347" s="189"/>
    </row>
    <row r="348" spans="3:3" customFormat="1" x14ac:dyDescent="0.25">
      <c r="C348" s="189"/>
    </row>
    <row r="349" spans="3:3" customFormat="1" x14ac:dyDescent="0.25">
      <c r="C349" s="189"/>
    </row>
    <row r="350" spans="3:3" customFormat="1" x14ac:dyDescent="0.25">
      <c r="C350" s="189"/>
    </row>
    <row r="351" spans="3:3" customFormat="1" x14ac:dyDescent="0.25">
      <c r="C351" s="189"/>
    </row>
    <row r="352" spans="3:3" customFormat="1" x14ac:dyDescent="0.25">
      <c r="C352" s="189"/>
    </row>
    <row r="353" spans="3:3" customFormat="1" x14ac:dyDescent="0.25">
      <c r="C353" s="189"/>
    </row>
    <row r="354" spans="3:3" customFormat="1" x14ac:dyDescent="0.25">
      <c r="C354" s="189"/>
    </row>
    <row r="355" spans="3:3" customFormat="1" x14ac:dyDescent="0.25">
      <c r="C355" s="189"/>
    </row>
    <row r="356" spans="3:3" customFormat="1" x14ac:dyDescent="0.25">
      <c r="C356" s="189"/>
    </row>
    <row r="357" spans="3:3" customFormat="1" x14ac:dyDescent="0.25">
      <c r="C357" s="189"/>
    </row>
    <row r="358" spans="3:3" customFormat="1" x14ac:dyDescent="0.25">
      <c r="C358" s="189"/>
    </row>
    <row r="359" spans="3:3" customFormat="1" x14ac:dyDescent="0.25">
      <c r="C359" s="189"/>
    </row>
    <row r="360" spans="3:3" customFormat="1" x14ac:dyDescent="0.25">
      <c r="C360" s="189"/>
    </row>
    <row r="361" spans="3:3" customFormat="1" x14ac:dyDescent="0.25">
      <c r="C361" s="189"/>
    </row>
    <row r="362" spans="3:3" customFormat="1" x14ac:dyDescent="0.25">
      <c r="C362" s="189"/>
    </row>
    <row r="363" spans="3:3" customFormat="1" x14ac:dyDescent="0.25">
      <c r="C363" s="189"/>
    </row>
    <row r="364" spans="3:3" customFormat="1" x14ac:dyDescent="0.25">
      <c r="C364" s="189"/>
    </row>
    <row r="365" spans="3:3" customFormat="1" x14ac:dyDescent="0.25">
      <c r="C365" s="189"/>
    </row>
    <row r="366" spans="3:3" customFormat="1" x14ac:dyDescent="0.25">
      <c r="C366" s="189"/>
    </row>
    <row r="367" spans="3:3" customFormat="1" x14ac:dyDescent="0.25">
      <c r="C367" s="189"/>
    </row>
    <row r="368" spans="3:3" customFormat="1" x14ac:dyDescent="0.25">
      <c r="C368" s="189"/>
    </row>
    <row r="369" spans="3:3" customFormat="1" x14ac:dyDescent="0.25">
      <c r="C369" s="189"/>
    </row>
    <row r="370" spans="3:3" customFormat="1" x14ac:dyDescent="0.25">
      <c r="C370" s="189"/>
    </row>
    <row r="371" spans="3:3" customFormat="1" x14ac:dyDescent="0.25">
      <c r="C371" s="189"/>
    </row>
    <row r="372" spans="3:3" customFormat="1" x14ac:dyDescent="0.25">
      <c r="C372" s="189"/>
    </row>
    <row r="373" spans="3:3" customFormat="1" x14ac:dyDescent="0.25">
      <c r="C373" s="189"/>
    </row>
    <row r="374" spans="3:3" customFormat="1" x14ac:dyDescent="0.25">
      <c r="C374" s="189"/>
    </row>
    <row r="375" spans="3:3" customFormat="1" x14ac:dyDescent="0.25">
      <c r="C375" s="189"/>
    </row>
    <row r="376" spans="3:3" customFormat="1" x14ac:dyDescent="0.25">
      <c r="C376" s="189"/>
    </row>
    <row r="377" spans="3:3" customFormat="1" x14ac:dyDescent="0.25">
      <c r="C377" s="189"/>
    </row>
    <row r="378" spans="3:3" customFormat="1" x14ac:dyDescent="0.25">
      <c r="C378" s="189"/>
    </row>
    <row r="379" spans="3:3" customFormat="1" x14ac:dyDescent="0.25">
      <c r="C379" s="189"/>
    </row>
    <row r="380" spans="3:3" customFormat="1" x14ac:dyDescent="0.25">
      <c r="C380" s="189"/>
    </row>
    <row r="381" spans="3:3" customFormat="1" x14ac:dyDescent="0.25">
      <c r="C381" s="189"/>
    </row>
    <row r="382" spans="3:3" customFormat="1" x14ac:dyDescent="0.25">
      <c r="C382" s="189"/>
    </row>
    <row r="383" spans="3:3" customFormat="1" x14ac:dyDescent="0.25">
      <c r="C383" s="189"/>
    </row>
    <row r="384" spans="3:3" customFormat="1" x14ac:dyDescent="0.25">
      <c r="C384" s="189"/>
    </row>
    <row r="385" spans="3:3" customFormat="1" x14ac:dyDescent="0.25">
      <c r="C385" s="189"/>
    </row>
    <row r="386" spans="3:3" customFormat="1" x14ac:dyDescent="0.25">
      <c r="C386" s="189"/>
    </row>
    <row r="387" spans="3:3" customFormat="1" x14ac:dyDescent="0.25">
      <c r="C387" s="189"/>
    </row>
    <row r="388" spans="3:3" customFormat="1" x14ac:dyDescent="0.25">
      <c r="C388" s="189"/>
    </row>
    <row r="389" spans="3:3" customFormat="1" x14ac:dyDescent="0.25">
      <c r="C389" s="189"/>
    </row>
    <row r="390" spans="3:3" customFormat="1" x14ac:dyDescent="0.25">
      <c r="C390" s="189"/>
    </row>
    <row r="391" spans="3:3" customFormat="1" x14ac:dyDescent="0.25">
      <c r="C391" s="189"/>
    </row>
    <row r="392" spans="3:3" customFormat="1" x14ac:dyDescent="0.25">
      <c r="C392" s="189"/>
    </row>
    <row r="393" spans="3:3" customFormat="1" x14ac:dyDescent="0.25">
      <c r="C393" s="189"/>
    </row>
    <row r="394" spans="3:3" customFormat="1" x14ac:dyDescent="0.25">
      <c r="C394" s="189"/>
    </row>
    <row r="395" spans="3:3" customFormat="1" x14ac:dyDescent="0.25">
      <c r="C395" s="189"/>
    </row>
    <row r="396" spans="3:3" customFormat="1" x14ac:dyDescent="0.25">
      <c r="C396" s="189"/>
    </row>
    <row r="397" spans="3:3" customFormat="1" x14ac:dyDescent="0.25">
      <c r="C397" s="189"/>
    </row>
    <row r="398" spans="3:3" customFormat="1" x14ac:dyDescent="0.25">
      <c r="C398" s="189"/>
    </row>
    <row r="399" spans="3:3" customFormat="1" x14ac:dyDescent="0.25">
      <c r="C399" s="189"/>
    </row>
    <row r="400" spans="3:3" customFormat="1" x14ac:dyDescent="0.25">
      <c r="C400" s="189"/>
    </row>
    <row r="401" spans="3:3" customFormat="1" x14ac:dyDescent="0.25">
      <c r="C401" s="189"/>
    </row>
    <row r="402" spans="3:3" customFormat="1" x14ac:dyDescent="0.25">
      <c r="C402" s="189"/>
    </row>
    <row r="403" spans="3:3" customFormat="1" x14ac:dyDescent="0.25">
      <c r="C403" s="189"/>
    </row>
    <row r="404" spans="3:3" customFormat="1" x14ac:dyDescent="0.25">
      <c r="C404" s="189"/>
    </row>
    <row r="405" spans="3:3" customFormat="1" x14ac:dyDescent="0.25">
      <c r="C405" s="189"/>
    </row>
    <row r="406" spans="3:3" customFormat="1" x14ac:dyDescent="0.25">
      <c r="C406" s="189"/>
    </row>
    <row r="407" spans="3:3" customFormat="1" x14ac:dyDescent="0.25">
      <c r="C407" s="189"/>
    </row>
    <row r="408" spans="3:3" customFormat="1" x14ac:dyDescent="0.25">
      <c r="C408" s="189"/>
    </row>
    <row r="409" spans="3:3" customFormat="1" x14ac:dyDescent="0.25">
      <c r="C409" s="189"/>
    </row>
    <row r="410" spans="3:3" customFormat="1" x14ac:dyDescent="0.25">
      <c r="C410" s="189"/>
    </row>
    <row r="411" spans="3:3" customFormat="1" x14ac:dyDescent="0.25">
      <c r="C411" s="189"/>
    </row>
    <row r="412" spans="3:3" customFormat="1" x14ac:dyDescent="0.25">
      <c r="C412" s="189"/>
    </row>
    <row r="413" spans="3:3" customFormat="1" x14ac:dyDescent="0.25">
      <c r="C413" s="189"/>
    </row>
    <row r="414" spans="3:3" customFormat="1" x14ac:dyDescent="0.25">
      <c r="C414" s="189"/>
    </row>
    <row r="415" spans="3:3" customFormat="1" x14ac:dyDescent="0.25">
      <c r="C415" s="189"/>
    </row>
    <row r="416" spans="3:3" customFormat="1" x14ac:dyDescent="0.25">
      <c r="C416" s="189"/>
    </row>
    <row r="417" spans="3:3" customFormat="1" x14ac:dyDescent="0.25">
      <c r="C417" s="189"/>
    </row>
    <row r="418" spans="3:3" customFormat="1" x14ac:dyDescent="0.25">
      <c r="C418" s="189"/>
    </row>
    <row r="419" spans="3:3" customFormat="1" x14ac:dyDescent="0.25">
      <c r="C419" s="189"/>
    </row>
    <row r="420" spans="3:3" customFormat="1" x14ac:dyDescent="0.25">
      <c r="C420" s="189"/>
    </row>
    <row r="421" spans="3:3" customFormat="1" x14ac:dyDescent="0.25">
      <c r="C421" s="189"/>
    </row>
    <row r="422" spans="3:3" customFormat="1" x14ac:dyDescent="0.25">
      <c r="C422" s="189"/>
    </row>
    <row r="423" spans="3:3" customFormat="1" x14ac:dyDescent="0.25">
      <c r="C423" s="189"/>
    </row>
    <row r="424" spans="3:3" customFormat="1" x14ac:dyDescent="0.25">
      <c r="C424" s="189"/>
    </row>
    <row r="425" spans="3:3" customFormat="1" x14ac:dyDescent="0.25">
      <c r="C425" s="189"/>
    </row>
    <row r="426" spans="3:3" customFormat="1" x14ac:dyDescent="0.25">
      <c r="C426" s="189"/>
    </row>
    <row r="427" spans="3:3" customFormat="1" x14ac:dyDescent="0.25">
      <c r="C427" s="189"/>
    </row>
    <row r="428" spans="3:3" customFormat="1" x14ac:dyDescent="0.25">
      <c r="C428" s="189"/>
    </row>
    <row r="429" spans="3:3" customFormat="1" x14ac:dyDescent="0.25">
      <c r="C429" s="189"/>
    </row>
    <row r="430" spans="3:3" customFormat="1" x14ac:dyDescent="0.25">
      <c r="C430" s="189"/>
    </row>
    <row r="431" spans="3:3" customFormat="1" x14ac:dyDescent="0.25">
      <c r="C431" s="189"/>
    </row>
    <row r="432" spans="3:3" customFormat="1" x14ac:dyDescent="0.25">
      <c r="C432" s="189"/>
    </row>
    <row r="433" spans="3:3" customFormat="1" x14ac:dyDescent="0.25">
      <c r="C433" s="189"/>
    </row>
    <row r="434" spans="3:3" customFormat="1" x14ac:dyDescent="0.25">
      <c r="C434" s="189"/>
    </row>
    <row r="435" spans="3:3" customFormat="1" x14ac:dyDescent="0.25">
      <c r="C435" s="189"/>
    </row>
    <row r="436" spans="3:3" customFormat="1" x14ac:dyDescent="0.25">
      <c r="C436" s="189"/>
    </row>
    <row r="437" spans="3:3" customFormat="1" x14ac:dyDescent="0.25">
      <c r="C437" s="189"/>
    </row>
    <row r="438" spans="3:3" customFormat="1" x14ac:dyDescent="0.25">
      <c r="C438" s="189"/>
    </row>
    <row r="439" spans="3:3" customFormat="1" x14ac:dyDescent="0.25">
      <c r="C439" s="189"/>
    </row>
    <row r="440" spans="3:3" customFormat="1" x14ac:dyDescent="0.25">
      <c r="C440" s="189"/>
    </row>
    <row r="441" spans="3:3" customFormat="1" x14ac:dyDescent="0.25">
      <c r="C441" s="189"/>
    </row>
    <row r="442" spans="3:3" customFormat="1" x14ac:dyDescent="0.25">
      <c r="C442" s="189"/>
    </row>
    <row r="443" spans="3:3" customFormat="1" x14ac:dyDescent="0.25">
      <c r="C443" s="189"/>
    </row>
    <row r="444" spans="3:3" customFormat="1" x14ac:dyDescent="0.25">
      <c r="C444" s="189"/>
    </row>
    <row r="445" spans="3:3" customFormat="1" x14ac:dyDescent="0.25">
      <c r="C445" s="189"/>
    </row>
    <row r="446" spans="3:3" customFormat="1" x14ac:dyDescent="0.25">
      <c r="C446" s="189"/>
    </row>
    <row r="447" spans="3:3" customFormat="1" x14ac:dyDescent="0.25">
      <c r="C447" s="189"/>
    </row>
    <row r="448" spans="3:3" customFormat="1" x14ac:dyDescent="0.25">
      <c r="C448" s="189"/>
    </row>
    <row r="449" spans="3:3" customFormat="1" x14ac:dyDescent="0.25">
      <c r="C449" s="189"/>
    </row>
    <row r="450" spans="3:3" customFormat="1" x14ac:dyDescent="0.25">
      <c r="C450" s="189"/>
    </row>
    <row r="451" spans="3:3" customFormat="1" x14ac:dyDescent="0.25">
      <c r="C451" s="189"/>
    </row>
    <row r="452" spans="3:3" customFormat="1" x14ac:dyDescent="0.25">
      <c r="C452" s="189"/>
    </row>
    <row r="453" spans="3:3" customFormat="1" x14ac:dyDescent="0.25">
      <c r="C453" s="189"/>
    </row>
    <row r="454" spans="3:3" customFormat="1" x14ac:dyDescent="0.25">
      <c r="C454" s="189"/>
    </row>
    <row r="455" spans="3:3" customFormat="1" x14ac:dyDescent="0.25">
      <c r="C455" s="189"/>
    </row>
    <row r="456" spans="3:3" customFormat="1" x14ac:dyDescent="0.25">
      <c r="C456" s="189"/>
    </row>
    <row r="457" spans="3:3" customFormat="1" x14ac:dyDescent="0.25">
      <c r="C457" s="189"/>
    </row>
    <row r="458" spans="3:3" customFormat="1" x14ac:dyDescent="0.25">
      <c r="C458" s="189"/>
    </row>
    <row r="459" spans="3:3" customFormat="1" x14ac:dyDescent="0.25">
      <c r="C459" s="189"/>
    </row>
    <row r="460" spans="3:3" customFormat="1" x14ac:dyDescent="0.25">
      <c r="C460" s="189"/>
    </row>
    <row r="461" spans="3:3" customFormat="1" x14ac:dyDescent="0.25">
      <c r="C461" s="189"/>
    </row>
    <row r="462" spans="3:3" customFormat="1" x14ac:dyDescent="0.25">
      <c r="C462" s="189"/>
    </row>
    <row r="463" spans="3:3" customFormat="1" x14ac:dyDescent="0.25">
      <c r="C463" s="189"/>
    </row>
    <row r="464" spans="3:3" customFormat="1" x14ac:dyDescent="0.25">
      <c r="C464" s="189"/>
    </row>
    <row r="465" spans="3:3" customFormat="1" x14ac:dyDescent="0.25">
      <c r="C465" s="189"/>
    </row>
    <row r="466" spans="3:3" customFormat="1" x14ac:dyDescent="0.25">
      <c r="C466" s="189"/>
    </row>
    <row r="467" spans="3:3" customFormat="1" x14ac:dyDescent="0.25">
      <c r="C467" s="189"/>
    </row>
    <row r="468" spans="3:3" customFormat="1" x14ac:dyDescent="0.25">
      <c r="C468" s="189"/>
    </row>
    <row r="469" spans="3:3" customFormat="1" x14ac:dyDescent="0.25">
      <c r="C469" s="189"/>
    </row>
    <row r="470" spans="3:3" customFormat="1" x14ac:dyDescent="0.25">
      <c r="C470" s="189"/>
    </row>
    <row r="471" spans="3:3" customFormat="1" x14ac:dyDescent="0.25">
      <c r="C471" s="189"/>
    </row>
    <row r="472" spans="3:3" customFormat="1" x14ac:dyDescent="0.25">
      <c r="C472" s="189"/>
    </row>
    <row r="473" spans="3:3" customFormat="1" x14ac:dyDescent="0.25">
      <c r="C473" s="189"/>
    </row>
    <row r="474" spans="3:3" customFormat="1" x14ac:dyDescent="0.25">
      <c r="C474" s="189"/>
    </row>
    <row r="475" spans="3:3" customFormat="1" x14ac:dyDescent="0.25">
      <c r="C475" s="189"/>
    </row>
    <row r="476" spans="3:3" customFormat="1" x14ac:dyDescent="0.25">
      <c r="C476" s="189"/>
    </row>
    <row r="477" spans="3:3" customFormat="1" x14ac:dyDescent="0.25">
      <c r="C477" s="189"/>
    </row>
    <row r="478" spans="3:3" customFormat="1" x14ac:dyDescent="0.25">
      <c r="C478" s="189"/>
    </row>
    <row r="479" spans="3:3" customFormat="1" x14ac:dyDescent="0.25">
      <c r="C479" s="189"/>
    </row>
    <row r="480" spans="3:3" customFormat="1" x14ac:dyDescent="0.25">
      <c r="C480" s="189"/>
    </row>
    <row r="481" spans="3:3" customFormat="1" x14ac:dyDescent="0.25">
      <c r="C481" s="189"/>
    </row>
  </sheetData>
  <mergeCells count="248">
    <mergeCell ref="A109:A112"/>
    <mergeCell ref="A113:A116"/>
    <mergeCell ref="A117:A120"/>
    <mergeCell ref="A121:A124"/>
    <mergeCell ref="A21:A24"/>
    <mergeCell ref="A33:A36"/>
    <mergeCell ref="A37:A40"/>
    <mergeCell ref="A69:A72"/>
    <mergeCell ref="A13:A16"/>
    <mergeCell ref="A17:A20"/>
    <mergeCell ref="A65:A68"/>
    <mergeCell ref="A45:A48"/>
    <mergeCell ref="A49:A52"/>
    <mergeCell ref="A53:A56"/>
    <mergeCell ref="A25:A28"/>
    <mergeCell ref="A41:A44"/>
    <mergeCell ref="A57:A60"/>
    <mergeCell ref="A61:A64"/>
    <mergeCell ref="A105:A108"/>
    <mergeCell ref="A101:A104"/>
    <mergeCell ref="A97:A100"/>
    <mergeCell ref="A93:A96"/>
    <mergeCell ref="A89:A92"/>
    <mergeCell ref="A73:A76"/>
    <mergeCell ref="A77:A80"/>
    <mergeCell ref="A81:A84"/>
    <mergeCell ref="A85:A88"/>
    <mergeCell ref="M2:M5"/>
    <mergeCell ref="L6:L12"/>
    <mergeCell ref="M6:M12"/>
    <mergeCell ref="E6:E11"/>
    <mergeCell ref="E13:E16"/>
    <mergeCell ref="E17:E20"/>
    <mergeCell ref="A2:A5"/>
    <mergeCell ref="B2:B5"/>
    <mergeCell ref="D2:D5"/>
    <mergeCell ref="C2:C5"/>
    <mergeCell ref="E2:E5"/>
    <mergeCell ref="D13:D16"/>
    <mergeCell ref="B13:B16"/>
    <mergeCell ref="B6:B12"/>
    <mergeCell ref="D6:D12"/>
    <mergeCell ref="C6:C12"/>
    <mergeCell ref="C13:C16"/>
    <mergeCell ref="B17:B20"/>
    <mergeCell ref="C17:C20"/>
    <mergeCell ref="D17:D20"/>
    <mergeCell ref="M13:M16"/>
    <mergeCell ref="M17:M20"/>
    <mergeCell ref="A6:A12"/>
    <mergeCell ref="L21:L24"/>
    <mergeCell ref="E21:E24"/>
    <mergeCell ref="B33:B36"/>
    <mergeCell ref="C33:C36"/>
    <mergeCell ref="D33:D36"/>
    <mergeCell ref="E33:E36"/>
    <mergeCell ref="K21:K24"/>
    <mergeCell ref="L29:L32"/>
    <mergeCell ref="M25:M28"/>
    <mergeCell ref="C29:C32"/>
    <mergeCell ref="D29:D32"/>
    <mergeCell ref="E29:E32"/>
    <mergeCell ref="K29:K32"/>
    <mergeCell ref="M29:M32"/>
    <mergeCell ref="A29:A32"/>
    <mergeCell ref="B29:B32"/>
    <mergeCell ref="M21:M24"/>
    <mergeCell ref="L33:L36"/>
    <mergeCell ref="M33:M36"/>
    <mergeCell ref="K33:K36"/>
    <mergeCell ref="L2:L5"/>
    <mergeCell ref="B21:B24"/>
    <mergeCell ref="C21:C24"/>
    <mergeCell ref="D21:D24"/>
    <mergeCell ref="B25:B28"/>
    <mergeCell ref="C25:C28"/>
    <mergeCell ref="D25:D28"/>
    <mergeCell ref="E25:E28"/>
    <mergeCell ref="L25:L28"/>
    <mergeCell ref="K13:K16"/>
    <mergeCell ref="K2:K5"/>
    <mergeCell ref="K6:K12"/>
    <mergeCell ref="K17:K20"/>
    <mergeCell ref="L13:L16"/>
    <mergeCell ref="L17:L20"/>
    <mergeCell ref="K25:K28"/>
    <mergeCell ref="B37:B40"/>
    <mergeCell ref="D45:D48"/>
    <mergeCell ref="B45:B48"/>
    <mergeCell ref="E45:E48"/>
    <mergeCell ref="M37:M40"/>
    <mergeCell ref="M45:M48"/>
    <mergeCell ref="C45:C48"/>
    <mergeCell ref="L45:L48"/>
    <mergeCell ref="L37:L40"/>
    <mergeCell ref="K37:K40"/>
    <mergeCell ref="K45:K48"/>
    <mergeCell ref="K41:K44"/>
    <mergeCell ref="L41:L44"/>
    <mergeCell ref="M41:M44"/>
    <mergeCell ref="B41:B44"/>
    <mergeCell ref="C41:C44"/>
    <mergeCell ref="D41:D44"/>
    <mergeCell ref="E41:E44"/>
    <mergeCell ref="C49:C52"/>
    <mergeCell ref="C53:C56"/>
    <mergeCell ref="C57:C60"/>
    <mergeCell ref="C65:C68"/>
    <mergeCell ref="C69:C72"/>
    <mergeCell ref="D93:D96"/>
    <mergeCell ref="D37:D40"/>
    <mergeCell ref="C37:C40"/>
    <mergeCell ref="E37:E40"/>
    <mergeCell ref="D101:D104"/>
    <mergeCell ref="D105:D108"/>
    <mergeCell ref="B49:B52"/>
    <mergeCell ref="B53:B56"/>
    <mergeCell ref="B57:B60"/>
    <mergeCell ref="B65:B68"/>
    <mergeCell ref="B69:B72"/>
    <mergeCell ref="B73:B76"/>
    <mergeCell ref="B77:B80"/>
    <mergeCell ref="B81:B84"/>
    <mergeCell ref="B85:B88"/>
    <mergeCell ref="B89:B92"/>
    <mergeCell ref="B93:B96"/>
    <mergeCell ref="B97:B100"/>
    <mergeCell ref="B101:B104"/>
    <mergeCell ref="B105:B108"/>
    <mergeCell ref="C93:C96"/>
    <mergeCell ref="C97:C100"/>
    <mergeCell ref="C101:C104"/>
    <mergeCell ref="C105:C108"/>
    <mergeCell ref="D49:D52"/>
    <mergeCell ref="D53:D56"/>
    <mergeCell ref="D57:D60"/>
    <mergeCell ref="D97:D100"/>
    <mergeCell ref="E101:E104"/>
    <mergeCell ref="E105:E108"/>
    <mergeCell ref="M105:M108"/>
    <mergeCell ref="M101:M104"/>
    <mergeCell ref="M97:M100"/>
    <mergeCell ref="L97:L100"/>
    <mergeCell ref="L101:L104"/>
    <mergeCell ref="L105:L108"/>
    <mergeCell ref="K101:K104"/>
    <mergeCell ref="K105:K108"/>
    <mergeCell ref="E97:E100"/>
    <mergeCell ref="K97:K100"/>
    <mergeCell ref="M93:M96"/>
    <mergeCell ref="M89:M92"/>
    <mergeCell ref="M85:M88"/>
    <mergeCell ref="M81:M84"/>
    <mergeCell ref="L57:L60"/>
    <mergeCell ref="L49:L52"/>
    <mergeCell ref="L53:L56"/>
    <mergeCell ref="L65:L68"/>
    <mergeCell ref="L69:L72"/>
    <mergeCell ref="L73:L76"/>
    <mergeCell ref="L77:L80"/>
    <mergeCell ref="L81:L84"/>
    <mergeCell ref="L85:L88"/>
    <mergeCell ref="L89:L92"/>
    <mergeCell ref="L93:L96"/>
    <mergeCell ref="M69:M72"/>
    <mergeCell ref="M73:M76"/>
    <mergeCell ref="M77:M80"/>
    <mergeCell ref="M65:M68"/>
    <mergeCell ref="M61:M64"/>
    <mergeCell ref="M57:M60"/>
    <mergeCell ref="M53:M56"/>
    <mergeCell ref="M49:M52"/>
    <mergeCell ref="L61:L64"/>
    <mergeCell ref="K81:K84"/>
    <mergeCell ref="K85:K88"/>
    <mergeCell ref="K89:K92"/>
    <mergeCell ref="K93:K96"/>
    <mergeCell ref="E49:E52"/>
    <mergeCell ref="E81:E84"/>
    <mergeCell ref="E85:E88"/>
    <mergeCell ref="E65:E68"/>
    <mergeCell ref="E69:E72"/>
    <mergeCell ref="E89:E92"/>
    <mergeCell ref="E93:E96"/>
    <mergeCell ref="E73:E76"/>
    <mergeCell ref="E77:E80"/>
    <mergeCell ref="K65:K68"/>
    <mergeCell ref="K69:K72"/>
    <mergeCell ref="K73:K76"/>
    <mergeCell ref="K77:K80"/>
    <mergeCell ref="E53:E56"/>
    <mergeCell ref="E57:E60"/>
    <mergeCell ref="K49:K52"/>
    <mergeCell ref="K53:K56"/>
    <mergeCell ref="K57:K60"/>
    <mergeCell ref="K61:K64"/>
    <mergeCell ref="E61:E64"/>
    <mergeCell ref="B61:B64"/>
    <mergeCell ref="C61:C64"/>
    <mergeCell ref="D61:D64"/>
    <mergeCell ref="D69:D72"/>
    <mergeCell ref="D73:D76"/>
    <mergeCell ref="D77:D80"/>
    <mergeCell ref="D81:D84"/>
    <mergeCell ref="D85:D88"/>
    <mergeCell ref="D89:D92"/>
    <mergeCell ref="D65:D68"/>
    <mergeCell ref="C73:C76"/>
    <mergeCell ref="C77:C80"/>
    <mergeCell ref="C81:C84"/>
    <mergeCell ref="C85:C88"/>
    <mergeCell ref="C89:C92"/>
    <mergeCell ref="L109:L112"/>
    <mergeCell ref="M109:M112"/>
    <mergeCell ref="B113:B116"/>
    <mergeCell ref="C113:C116"/>
    <mergeCell ref="D113:D116"/>
    <mergeCell ref="E113:E116"/>
    <mergeCell ref="K113:K116"/>
    <mergeCell ref="L113:L116"/>
    <mergeCell ref="M113:M116"/>
    <mergeCell ref="B109:B112"/>
    <mergeCell ref="C109:C112"/>
    <mergeCell ref="D109:D112"/>
    <mergeCell ref="E109:E112"/>
    <mergeCell ref="K109:K112"/>
    <mergeCell ref="A125:A128"/>
    <mergeCell ref="B125:B128"/>
    <mergeCell ref="C125:C128"/>
    <mergeCell ref="D125:D128"/>
    <mergeCell ref="E125:E128"/>
    <mergeCell ref="K125:K128"/>
    <mergeCell ref="L125:L128"/>
    <mergeCell ref="M125:M128"/>
    <mergeCell ref="L117:L120"/>
    <mergeCell ref="M117:M120"/>
    <mergeCell ref="B121:B124"/>
    <mergeCell ref="C121:C124"/>
    <mergeCell ref="D121:D124"/>
    <mergeCell ref="E121:E124"/>
    <mergeCell ref="K121:K124"/>
    <mergeCell ref="L121:L124"/>
    <mergeCell ref="M121:M124"/>
    <mergeCell ref="B117:B120"/>
    <mergeCell ref="C117:C120"/>
    <mergeCell ref="D117:D120"/>
    <mergeCell ref="E117:E120"/>
    <mergeCell ref="K117:K120"/>
  </mergeCells>
  <phoneticPr fontId="0" type="noConversion"/>
  <pageMargins left="0.49" right="0.39" top="0.75027272727272698" bottom="0.35509090909090901" header="0.194727272727273" footer="0.14890909090909099"/>
  <pageSetup paperSize="8" scale="45" orientation="portrait" r:id="rId1"/>
  <headerFooter>
    <oddHeader>&amp;C&amp;16USAG Wiesbaden
Emergency Power Generator Systems 
Inventory List&amp;R&amp;"-,Bold"Exhibit 4 - Inventory
M-R of Em. Gen._FY20 to FY22.xls
Page &amp;P of &amp;N</oddHeader>
    <oddFooter>&amp;L&amp;F&amp;C&amp;Z&amp;F&amp;R&amp;P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4FD3-92DA-4FB1-8FEE-53AC9CE37D57}">
  <sheetPr>
    <pageSetUpPr fitToPage="1"/>
  </sheetPr>
  <dimension ref="A1:AI59"/>
  <sheetViews>
    <sheetView zoomScale="85" zoomScaleNormal="85" workbookViewId="0">
      <selection activeCell="A14" sqref="A14"/>
    </sheetView>
  </sheetViews>
  <sheetFormatPr defaultColWidth="11.42578125" defaultRowHeight="12.75" x14ac:dyDescent="0.2"/>
  <cols>
    <col min="1" max="1" width="6.85546875" style="47" bestFit="1" customWidth="1"/>
    <col min="2" max="2" width="12.28515625" style="97" bestFit="1" customWidth="1"/>
    <col min="3" max="3" width="17.5703125" style="52" bestFit="1" customWidth="1"/>
    <col min="4" max="4" width="8.28515625" style="195" bestFit="1" customWidth="1"/>
    <col min="5" max="5" width="14.5703125" style="120" bestFit="1" customWidth="1"/>
    <col min="6" max="6" width="12.28515625" style="120" bestFit="1" customWidth="1"/>
    <col min="7" max="7" width="22" style="52" bestFit="1" customWidth="1"/>
    <col min="8" max="8" width="18.28515625" style="52" bestFit="1" customWidth="1"/>
    <col min="9" max="9" width="17" style="52" bestFit="1" customWidth="1"/>
    <col min="10" max="10" width="16.7109375" style="52" customWidth="1"/>
    <col min="11" max="11" width="7" style="52" bestFit="1" customWidth="1"/>
    <col min="12" max="12" width="9.28515625" style="49" customWidth="1"/>
    <col min="13" max="13" width="12.5703125" style="49" customWidth="1"/>
    <col min="14" max="14" width="12.42578125" style="52" customWidth="1"/>
    <col min="15" max="15" width="8.7109375" style="52" bestFit="1" customWidth="1"/>
    <col min="16" max="16" width="12.42578125" style="52" customWidth="1"/>
    <col min="17" max="17" width="11.140625" style="52" customWidth="1"/>
    <col min="18" max="18" width="9.140625" style="52" customWidth="1"/>
    <col min="19" max="19" width="11.140625" style="52" customWidth="1"/>
    <col min="20" max="20" width="11.28515625" style="52" customWidth="1"/>
    <col min="21" max="21" width="8.140625" style="52" customWidth="1"/>
    <col min="22" max="22" width="11" style="52" customWidth="1"/>
    <col min="23" max="23" width="10.7109375" style="52" customWidth="1"/>
    <col min="24" max="24" width="9" style="52" customWidth="1"/>
    <col min="25" max="25" width="7.42578125" style="52" customWidth="1"/>
    <col min="26" max="26" width="7" style="52" customWidth="1"/>
    <col min="27" max="27" width="5.28515625" style="52" bestFit="1" customWidth="1"/>
    <col min="28" max="28" width="9.140625" style="52" customWidth="1"/>
    <col min="29" max="29" width="10.140625" style="52" customWidth="1"/>
    <col min="30" max="30" width="9.28515625" style="52" customWidth="1"/>
    <col min="31" max="31" width="8" style="49" customWidth="1"/>
    <col min="32" max="32" width="18.42578125" style="52" customWidth="1"/>
    <col min="33" max="33" width="53.28515625" style="65" customWidth="1"/>
    <col min="34" max="34" width="50.42578125" style="52" customWidth="1"/>
    <col min="35" max="35" width="1.42578125" style="52" bestFit="1" customWidth="1"/>
    <col min="36" max="16384" width="11.42578125" style="52"/>
  </cols>
  <sheetData>
    <row r="1" spans="1:34" s="38" customFormat="1" ht="20.25" customHeight="1" x14ac:dyDescent="0.25">
      <c r="A1" s="336" t="s">
        <v>174</v>
      </c>
      <c r="B1" s="337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9"/>
      <c r="AA1" s="339"/>
      <c r="AB1" s="339"/>
      <c r="AC1" s="339"/>
      <c r="AD1" s="339"/>
      <c r="AE1" s="339"/>
      <c r="AF1" s="339"/>
      <c r="AG1" s="340"/>
      <c r="AH1" s="37"/>
    </row>
    <row r="2" spans="1:34" s="44" customFormat="1" ht="18" customHeight="1" x14ac:dyDescent="0.2">
      <c r="A2" s="196" t="s">
        <v>175</v>
      </c>
      <c r="B2" s="96" t="s">
        <v>176</v>
      </c>
      <c r="C2" s="39" t="s">
        <v>177</v>
      </c>
      <c r="D2" s="95" t="s">
        <v>178</v>
      </c>
      <c r="E2" s="152" t="s">
        <v>179</v>
      </c>
      <c r="F2" s="121" t="s">
        <v>377</v>
      </c>
      <c r="G2" s="39" t="s">
        <v>376</v>
      </c>
      <c r="H2" s="39" t="s">
        <v>180</v>
      </c>
      <c r="I2" s="39" t="s">
        <v>181</v>
      </c>
      <c r="J2" s="39" t="s">
        <v>182</v>
      </c>
      <c r="K2" s="39" t="s">
        <v>183</v>
      </c>
      <c r="L2" s="39" t="s">
        <v>184</v>
      </c>
      <c r="M2" s="39" t="s">
        <v>185</v>
      </c>
      <c r="N2" s="39" t="s">
        <v>186</v>
      </c>
      <c r="O2" s="39" t="s">
        <v>187</v>
      </c>
      <c r="P2" s="39" t="s">
        <v>188</v>
      </c>
      <c r="Q2" s="39" t="s">
        <v>189</v>
      </c>
      <c r="R2" s="39" t="s">
        <v>190</v>
      </c>
      <c r="S2" s="39" t="s">
        <v>191</v>
      </c>
      <c r="T2" s="39" t="s">
        <v>192</v>
      </c>
      <c r="U2" s="39" t="s">
        <v>193</v>
      </c>
      <c r="V2" s="39" t="s">
        <v>194</v>
      </c>
      <c r="W2" s="39" t="s">
        <v>195</v>
      </c>
      <c r="X2" s="40" t="s">
        <v>196</v>
      </c>
      <c r="Y2" s="41" t="s">
        <v>197</v>
      </c>
      <c r="Z2" s="41" t="s">
        <v>198</v>
      </c>
      <c r="AA2" s="41" t="s">
        <v>199</v>
      </c>
      <c r="AB2" s="41" t="s">
        <v>200</v>
      </c>
      <c r="AC2" s="41" t="s">
        <v>201</v>
      </c>
      <c r="AD2" s="41" t="s">
        <v>202</v>
      </c>
      <c r="AE2" s="39" t="s">
        <v>175</v>
      </c>
      <c r="AF2" s="39" t="s">
        <v>177</v>
      </c>
      <c r="AG2" s="42" t="s">
        <v>203</v>
      </c>
      <c r="AH2" s="43"/>
    </row>
    <row r="3" spans="1:34" s="44" customFormat="1" ht="15" customHeight="1" x14ac:dyDescent="0.2">
      <c r="A3" s="197">
        <v>1060</v>
      </c>
      <c r="B3" s="99" t="s">
        <v>204</v>
      </c>
      <c r="C3" s="98" t="s">
        <v>205</v>
      </c>
      <c r="D3" s="102">
        <v>1</v>
      </c>
      <c r="E3" s="119" t="s">
        <v>206</v>
      </c>
      <c r="F3" s="119" t="s">
        <v>378</v>
      </c>
      <c r="G3" s="100" t="s">
        <v>207</v>
      </c>
      <c r="H3" s="100" t="s">
        <v>208</v>
      </c>
      <c r="I3" s="100" t="s">
        <v>18</v>
      </c>
      <c r="J3" s="100"/>
      <c r="K3" s="101"/>
      <c r="L3" s="101" t="s">
        <v>209</v>
      </c>
      <c r="M3" s="101">
        <v>1000</v>
      </c>
      <c r="N3" s="101">
        <v>1000</v>
      </c>
      <c r="O3" s="101" t="s">
        <v>210</v>
      </c>
      <c r="P3" s="102">
        <f>N3/100*Q3</f>
        <v>760</v>
      </c>
      <c r="Q3" s="103">
        <v>76</v>
      </c>
      <c r="R3" s="102">
        <f>M3/(0.26*W3)</f>
        <v>226.24434389140271</v>
      </c>
      <c r="S3" s="102">
        <f>(N3/100*95)-P3</f>
        <v>190</v>
      </c>
      <c r="T3" s="103">
        <f>(P3)/(0.26*W3)</f>
        <v>171.94570135746608</v>
      </c>
      <c r="U3" s="102">
        <v>60</v>
      </c>
      <c r="V3" s="102">
        <v>48</v>
      </c>
      <c r="W3" s="102">
        <v>17</v>
      </c>
      <c r="X3" s="102">
        <f t="shared" ref="X3:X41" si="0">V3*0.6</f>
        <v>28.799999999999997</v>
      </c>
      <c r="Y3" s="104">
        <f>W3/(V3/100)</f>
        <v>35.416666666666671</v>
      </c>
      <c r="Z3" s="104">
        <f>0.31*W3</f>
        <v>5.27</v>
      </c>
      <c r="AA3" s="104">
        <f>Z3*72</f>
        <v>379.43999999999994</v>
      </c>
      <c r="AB3" s="104">
        <f>AA3+(Z3*12)</f>
        <v>442.67999999999995</v>
      </c>
      <c r="AC3" s="104">
        <v>2024</v>
      </c>
      <c r="AD3" s="105" t="s">
        <v>211</v>
      </c>
      <c r="AE3" s="101">
        <v>1060</v>
      </c>
      <c r="AF3" s="98" t="s">
        <v>205</v>
      </c>
      <c r="AG3" s="113"/>
      <c r="AH3" s="43"/>
    </row>
    <row r="4" spans="1:34" ht="15" customHeight="1" x14ac:dyDescent="0.2">
      <c r="A4" s="197">
        <v>7850</v>
      </c>
      <c r="B4" s="99" t="s">
        <v>212</v>
      </c>
      <c r="C4" s="98" t="s">
        <v>213</v>
      </c>
      <c r="D4" s="102">
        <v>2</v>
      </c>
      <c r="E4" s="119" t="s">
        <v>214</v>
      </c>
      <c r="F4" s="119" t="s">
        <v>378</v>
      </c>
      <c r="G4" s="98" t="s">
        <v>213</v>
      </c>
      <c r="H4" s="98" t="s">
        <v>215</v>
      </c>
      <c r="I4" s="98" t="s">
        <v>216</v>
      </c>
      <c r="J4" s="98" t="s">
        <v>217</v>
      </c>
      <c r="K4" s="101">
        <v>2014</v>
      </c>
      <c r="L4" s="101" t="s">
        <v>218</v>
      </c>
      <c r="M4" s="101">
        <v>3000</v>
      </c>
      <c r="N4" s="101">
        <v>2000</v>
      </c>
      <c r="O4" s="101">
        <v>1000</v>
      </c>
      <c r="P4" s="102">
        <v>1880</v>
      </c>
      <c r="Q4" s="103">
        <f>SUM(P4/20)</f>
        <v>94</v>
      </c>
      <c r="R4" s="102">
        <f>M4/(0.31*W4)</f>
        <v>64.516129032258064</v>
      </c>
      <c r="S4" s="101">
        <f>(N4/100*95)-P4</f>
        <v>20</v>
      </c>
      <c r="T4" s="103">
        <f>(P4+O4)/(0.31*W4)</f>
        <v>61.935483870967744</v>
      </c>
      <c r="U4" s="102">
        <v>800</v>
      </c>
      <c r="V4" s="102">
        <f t="shared" ref="V4:V41" si="1">U4/100*80</f>
        <v>640</v>
      </c>
      <c r="W4" s="101">
        <v>150</v>
      </c>
      <c r="X4" s="102">
        <f t="shared" si="0"/>
        <v>384</v>
      </c>
      <c r="Y4" s="104">
        <f>W4/(V4/100)</f>
        <v>23.4375</v>
      </c>
      <c r="Z4" s="104">
        <f>0.31*W4</f>
        <v>46.5</v>
      </c>
      <c r="AA4" s="104">
        <f>Z4*72</f>
        <v>3348</v>
      </c>
      <c r="AB4" s="104">
        <f>AA4+(Z4*12)</f>
        <v>3906</v>
      </c>
      <c r="AC4" s="104">
        <v>2024</v>
      </c>
      <c r="AD4" s="105" t="s">
        <v>211</v>
      </c>
      <c r="AE4" s="101">
        <v>7850</v>
      </c>
      <c r="AF4" s="98" t="s">
        <v>219</v>
      </c>
      <c r="AG4" s="114"/>
      <c r="AH4" s="53"/>
    </row>
    <row r="5" spans="1:34" ht="15" customHeight="1" x14ac:dyDescent="0.2">
      <c r="A5" s="197">
        <v>3377</v>
      </c>
      <c r="B5" s="99" t="s">
        <v>204</v>
      </c>
      <c r="C5" s="98" t="s">
        <v>220</v>
      </c>
      <c r="D5" s="102">
        <v>3</v>
      </c>
      <c r="E5" s="119" t="s">
        <v>221</v>
      </c>
      <c r="F5" s="119" t="s">
        <v>378</v>
      </c>
      <c r="G5" s="100" t="s">
        <v>222</v>
      </c>
      <c r="H5" s="100" t="s">
        <v>223</v>
      </c>
      <c r="I5" s="100" t="s">
        <v>224</v>
      </c>
      <c r="J5" s="100" t="s">
        <v>225</v>
      </c>
      <c r="K5" s="101"/>
      <c r="L5" s="101" t="s">
        <v>209</v>
      </c>
      <c r="M5" s="101">
        <v>1000</v>
      </c>
      <c r="N5" s="101">
        <v>1000</v>
      </c>
      <c r="O5" s="101" t="s">
        <v>210</v>
      </c>
      <c r="P5" s="102">
        <f>N5/100*Q5</f>
        <v>900</v>
      </c>
      <c r="Q5" s="106">
        <v>90</v>
      </c>
      <c r="R5" s="102">
        <f>M5/(0.31*W5)</f>
        <v>54.674685620557682</v>
      </c>
      <c r="S5" s="102">
        <f>(N5/100*95)-P5</f>
        <v>50</v>
      </c>
      <c r="T5" s="103">
        <f>P5/(0.31*W5)</f>
        <v>49.207217058501918</v>
      </c>
      <c r="U5" s="101">
        <v>1000</v>
      </c>
      <c r="V5" s="102">
        <f t="shared" si="1"/>
        <v>800</v>
      </c>
      <c r="W5" s="102">
        <v>59</v>
      </c>
      <c r="X5" s="102">
        <f t="shared" si="0"/>
        <v>480</v>
      </c>
      <c r="Y5" s="104">
        <f>W5/(V5/100)</f>
        <v>7.375</v>
      </c>
      <c r="Z5" s="104">
        <f>0.31*W5</f>
        <v>18.29</v>
      </c>
      <c r="AA5" s="104">
        <f>Z5*72</f>
        <v>1316.8799999999999</v>
      </c>
      <c r="AB5" s="104">
        <f>AA5+(Z5*12)</f>
        <v>1536.36</v>
      </c>
      <c r="AC5" s="104">
        <v>2024</v>
      </c>
      <c r="AD5" s="105" t="s">
        <v>211</v>
      </c>
      <c r="AE5" s="101">
        <v>3377</v>
      </c>
      <c r="AF5" s="98" t="s">
        <v>220</v>
      </c>
      <c r="AG5" s="113"/>
      <c r="AH5" s="54"/>
    </row>
    <row r="6" spans="1:34" ht="15" customHeight="1" x14ac:dyDescent="0.2">
      <c r="A6" s="197">
        <v>1757</v>
      </c>
      <c r="B6" s="99" t="s">
        <v>204</v>
      </c>
      <c r="C6" s="100" t="s">
        <v>226</v>
      </c>
      <c r="D6" s="102">
        <v>4</v>
      </c>
      <c r="E6" s="119"/>
      <c r="F6" s="119" t="s">
        <v>378</v>
      </c>
      <c r="G6" s="100" t="s">
        <v>227</v>
      </c>
      <c r="H6" s="100" t="s">
        <v>228</v>
      </c>
      <c r="I6" s="100" t="s">
        <v>229</v>
      </c>
      <c r="J6" s="100" t="s">
        <v>230</v>
      </c>
      <c r="K6" s="101">
        <v>1998</v>
      </c>
      <c r="L6" s="101" t="s">
        <v>209</v>
      </c>
      <c r="M6" s="101">
        <v>800</v>
      </c>
      <c r="N6" s="101">
        <v>800</v>
      </c>
      <c r="O6" s="101" t="s">
        <v>210</v>
      </c>
      <c r="P6" s="102">
        <f>N6/100*Q6</f>
        <v>640</v>
      </c>
      <c r="Q6" s="106">
        <v>80</v>
      </c>
      <c r="R6" s="102">
        <f>M6/(0.28*W6)</f>
        <v>21.482277121374864</v>
      </c>
      <c r="S6" s="104">
        <f>(N6/100*95)-P6</f>
        <v>120</v>
      </c>
      <c r="T6" s="103">
        <f>P6/(0.28*W6)</f>
        <v>17.185821697099893</v>
      </c>
      <c r="U6" s="101">
        <v>500</v>
      </c>
      <c r="V6" s="102">
        <f t="shared" si="1"/>
        <v>400</v>
      </c>
      <c r="W6" s="104">
        <v>133</v>
      </c>
      <c r="X6" s="102">
        <f t="shared" si="0"/>
        <v>240</v>
      </c>
      <c r="Y6" s="104">
        <f>W6/(V6/100)</f>
        <v>33.25</v>
      </c>
      <c r="Z6" s="104">
        <f>0.28*W6</f>
        <v>37.24</v>
      </c>
      <c r="AA6" s="104">
        <f>Z6*72</f>
        <v>2681.28</v>
      </c>
      <c r="AB6" s="104">
        <f>AA6+(Z6*12)</f>
        <v>3128.1600000000003</v>
      </c>
      <c r="AC6" s="104" t="s">
        <v>231</v>
      </c>
      <c r="AD6" s="105" t="s">
        <v>211</v>
      </c>
      <c r="AE6" s="101">
        <v>5</v>
      </c>
      <c r="AF6" s="100" t="s">
        <v>226</v>
      </c>
      <c r="AG6" s="113"/>
      <c r="AH6" s="54"/>
    </row>
    <row r="7" spans="1:34" ht="15" customHeight="1" x14ac:dyDescent="0.2">
      <c r="A7" s="197">
        <v>7915</v>
      </c>
      <c r="B7" s="99" t="s">
        <v>212</v>
      </c>
      <c r="C7" s="98" t="s">
        <v>232</v>
      </c>
      <c r="D7" s="102">
        <v>5</v>
      </c>
      <c r="E7" s="119" t="s">
        <v>233</v>
      </c>
      <c r="F7" s="119" t="s">
        <v>378</v>
      </c>
      <c r="G7" s="99">
        <v>7915</v>
      </c>
      <c r="H7" s="98" t="s">
        <v>234</v>
      </c>
      <c r="I7" s="98" t="s">
        <v>235</v>
      </c>
      <c r="J7" s="98"/>
      <c r="K7" s="98"/>
      <c r="L7" s="101"/>
      <c r="M7" s="101"/>
      <c r="N7" s="101"/>
      <c r="O7" s="101"/>
      <c r="P7" s="101"/>
      <c r="Q7" s="101"/>
      <c r="R7" s="101"/>
      <c r="S7" s="101"/>
      <c r="T7" s="101"/>
      <c r="U7" s="101">
        <v>300</v>
      </c>
      <c r="V7" s="101">
        <f t="shared" si="1"/>
        <v>240</v>
      </c>
      <c r="W7" s="101"/>
      <c r="X7" s="101">
        <f t="shared" si="0"/>
        <v>144</v>
      </c>
      <c r="Y7" s="101"/>
      <c r="Z7" s="101"/>
      <c r="AA7" s="101"/>
      <c r="AB7" s="101"/>
      <c r="AC7" s="101"/>
      <c r="AD7" s="101"/>
      <c r="AE7" s="101"/>
      <c r="AF7" s="101"/>
      <c r="AG7" s="114"/>
      <c r="AH7" s="47"/>
    </row>
    <row r="8" spans="1:34" ht="15" customHeight="1" x14ac:dyDescent="0.2">
      <c r="A8" s="197">
        <v>7560</v>
      </c>
      <c r="B8" s="99" t="s">
        <v>236</v>
      </c>
      <c r="C8" s="98" t="s">
        <v>237</v>
      </c>
      <c r="D8" s="102">
        <v>6</v>
      </c>
      <c r="E8" s="119" t="s">
        <v>238</v>
      </c>
      <c r="F8" s="119" t="s">
        <v>378</v>
      </c>
      <c r="G8" s="98" t="s">
        <v>239</v>
      </c>
      <c r="H8" s="100" t="s">
        <v>240</v>
      </c>
      <c r="I8" s="100" t="s">
        <v>241</v>
      </c>
      <c r="J8" s="100">
        <v>1951729</v>
      </c>
      <c r="K8" s="101">
        <v>2022</v>
      </c>
      <c r="L8" s="101" t="s">
        <v>209</v>
      </c>
      <c r="M8" s="101">
        <v>1500</v>
      </c>
      <c r="N8" s="101">
        <v>1500</v>
      </c>
      <c r="O8" s="101" t="s">
        <v>210</v>
      </c>
      <c r="P8" s="102">
        <f>N8/100*Q8</f>
        <v>1425</v>
      </c>
      <c r="Q8" s="106">
        <v>95</v>
      </c>
      <c r="R8" s="102">
        <f>M8/(0.26*W8)</f>
        <v>288.46153846153845</v>
      </c>
      <c r="S8" s="102">
        <f>(N8/100*95)-P8</f>
        <v>0</v>
      </c>
      <c r="T8" s="103">
        <f>P8/(0.26*W8)</f>
        <v>274.03846153846155</v>
      </c>
      <c r="U8" s="101">
        <v>150</v>
      </c>
      <c r="V8" s="102">
        <f t="shared" si="1"/>
        <v>120</v>
      </c>
      <c r="W8" s="102">
        <v>20</v>
      </c>
      <c r="X8" s="102">
        <f t="shared" si="0"/>
        <v>72</v>
      </c>
      <c r="Y8" s="104">
        <f>W8/(V8/100)</f>
        <v>16.666666666666668</v>
      </c>
      <c r="Z8" s="104">
        <f>0.26*W8</f>
        <v>5.2</v>
      </c>
      <c r="AA8" s="104">
        <f>Z8*72</f>
        <v>374.40000000000003</v>
      </c>
      <c r="AB8" s="104">
        <f>AA8+(Z8*12)</f>
        <v>436.80000000000007</v>
      </c>
      <c r="AC8" s="104">
        <v>2024</v>
      </c>
      <c r="AD8" s="105" t="s">
        <v>211</v>
      </c>
      <c r="AE8" s="101">
        <v>7560</v>
      </c>
      <c r="AF8" s="98" t="s">
        <v>239</v>
      </c>
      <c r="AG8" s="115"/>
    </row>
    <row r="9" spans="1:34" ht="15" customHeight="1" x14ac:dyDescent="0.2">
      <c r="A9" s="197">
        <v>1736</v>
      </c>
      <c r="B9" s="99" t="s">
        <v>204</v>
      </c>
      <c r="C9" s="98" t="s">
        <v>242</v>
      </c>
      <c r="D9" s="102">
        <v>7</v>
      </c>
      <c r="E9" s="119" t="s">
        <v>243</v>
      </c>
      <c r="F9" s="119" t="s">
        <v>378</v>
      </c>
      <c r="G9" s="100" t="s">
        <v>244</v>
      </c>
      <c r="H9" s="100" t="s">
        <v>245</v>
      </c>
      <c r="I9" s="100" t="s">
        <v>246</v>
      </c>
      <c r="J9" s="100" t="s">
        <v>247</v>
      </c>
      <c r="K9" s="101">
        <v>2021</v>
      </c>
      <c r="L9" s="101" t="s">
        <v>209</v>
      </c>
      <c r="M9" s="101">
        <v>1040</v>
      </c>
      <c r="N9" s="101"/>
      <c r="O9" s="101"/>
      <c r="P9" s="102">
        <v>1000</v>
      </c>
      <c r="Q9" s="103"/>
      <c r="R9" s="102"/>
      <c r="S9" s="102"/>
      <c r="T9" s="103"/>
      <c r="U9" s="102">
        <v>150</v>
      </c>
      <c r="V9" s="102">
        <f t="shared" si="1"/>
        <v>120</v>
      </c>
      <c r="W9" s="102"/>
      <c r="X9" s="102">
        <f t="shared" si="0"/>
        <v>72</v>
      </c>
      <c r="Y9" s="104"/>
      <c r="Z9" s="104"/>
      <c r="AA9" s="104"/>
      <c r="AB9" s="104"/>
      <c r="AC9" s="104"/>
      <c r="AD9" s="105" t="s">
        <v>211</v>
      </c>
      <c r="AE9" s="101">
        <v>1036</v>
      </c>
      <c r="AF9" s="98" t="s">
        <v>248</v>
      </c>
      <c r="AG9" s="116"/>
      <c r="AH9" s="56"/>
    </row>
    <row r="10" spans="1:34" ht="15" customHeight="1" x14ac:dyDescent="0.2">
      <c r="A10" s="197">
        <v>1050</v>
      </c>
      <c r="B10" s="99" t="s">
        <v>204</v>
      </c>
      <c r="C10" s="98" t="s">
        <v>249</v>
      </c>
      <c r="D10" s="102">
        <v>8</v>
      </c>
      <c r="E10" s="119" t="s">
        <v>250</v>
      </c>
      <c r="F10" s="119" t="s">
        <v>378</v>
      </c>
      <c r="G10" s="100">
        <v>1050.1532</v>
      </c>
      <c r="H10" s="100" t="s">
        <v>251</v>
      </c>
      <c r="I10" s="100" t="s">
        <v>252</v>
      </c>
      <c r="J10" s="100" t="s">
        <v>253</v>
      </c>
      <c r="K10" s="101">
        <v>1985</v>
      </c>
      <c r="L10" s="101" t="s">
        <v>209</v>
      </c>
      <c r="M10" s="101">
        <v>2500</v>
      </c>
      <c r="N10" s="101">
        <v>2000</v>
      </c>
      <c r="O10" s="101">
        <v>500</v>
      </c>
      <c r="P10" s="102">
        <v>1650</v>
      </c>
      <c r="Q10" s="103">
        <f>SUM(P10/20)</f>
        <v>82.5</v>
      </c>
      <c r="R10" s="102">
        <f>M10/(0.31*W10)</f>
        <v>230.41474654377882</v>
      </c>
      <c r="S10" s="102">
        <f t="shared" ref="S10:S23" si="2">(N10/100*95)-P10</f>
        <v>250</v>
      </c>
      <c r="T10" s="103">
        <f>(P10+O10)/(0.31*W10)</f>
        <v>198.15668202764977</v>
      </c>
      <c r="U10" s="102">
        <v>310</v>
      </c>
      <c r="V10" s="102">
        <f t="shared" si="1"/>
        <v>248</v>
      </c>
      <c r="W10" s="102">
        <v>35</v>
      </c>
      <c r="X10" s="102">
        <f t="shared" si="0"/>
        <v>148.79999999999998</v>
      </c>
      <c r="Y10" s="104">
        <f t="shared" ref="Y10:Y23" si="3">W10/(V10/100)</f>
        <v>14.112903225806452</v>
      </c>
      <c r="Z10" s="104">
        <f>0.31*W10</f>
        <v>10.85</v>
      </c>
      <c r="AA10" s="104">
        <f t="shared" ref="AA10:AA23" si="4">Z10*72</f>
        <v>781.19999999999993</v>
      </c>
      <c r="AB10" s="104">
        <f t="shared" ref="AB10:AB23" si="5">AA10+(Z10*12)</f>
        <v>911.39999999999986</v>
      </c>
      <c r="AC10" s="104">
        <v>2024</v>
      </c>
      <c r="AD10" s="105" t="s">
        <v>211</v>
      </c>
      <c r="AE10" s="101">
        <v>1050</v>
      </c>
      <c r="AF10" s="98" t="s">
        <v>249</v>
      </c>
      <c r="AG10" s="113"/>
      <c r="AH10" s="56"/>
    </row>
    <row r="11" spans="1:34" ht="15" customHeight="1" x14ac:dyDescent="0.2">
      <c r="A11" s="197">
        <v>1086</v>
      </c>
      <c r="B11" s="99" t="s">
        <v>204</v>
      </c>
      <c r="C11" s="98" t="s">
        <v>254</v>
      </c>
      <c r="D11" s="102">
        <v>9</v>
      </c>
      <c r="E11" s="119" t="s">
        <v>255</v>
      </c>
      <c r="F11" s="119" t="s">
        <v>378</v>
      </c>
      <c r="G11" s="100" t="s">
        <v>256</v>
      </c>
      <c r="H11" s="100" t="s">
        <v>257</v>
      </c>
      <c r="I11" s="100" t="s">
        <v>258</v>
      </c>
      <c r="J11" s="100" t="s">
        <v>259</v>
      </c>
      <c r="K11" s="101">
        <v>1986</v>
      </c>
      <c r="L11" s="101" t="s">
        <v>209</v>
      </c>
      <c r="M11" s="101">
        <v>5200</v>
      </c>
      <c r="N11" s="101">
        <v>5000</v>
      </c>
      <c r="O11" s="101">
        <v>200</v>
      </c>
      <c r="P11" s="102">
        <v>4070</v>
      </c>
      <c r="Q11" s="103">
        <f>SUM(P11/50)</f>
        <v>81.400000000000006</v>
      </c>
      <c r="R11" s="102">
        <f>M11/(0.31*W11)</f>
        <v>279.56989247311827</v>
      </c>
      <c r="S11" s="102">
        <f t="shared" si="2"/>
        <v>680</v>
      </c>
      <c r="T11" s="103">
        <f>(P11+O11)/(0.31*W11)</f>
        <v>229.56989247311827</v>
      </c>
      <c r="U11" s="102">
        <v>400</v>
      </c>
      <c r="V11" s="102">
        <f t="shared" si="1"/>
        <v>320</v>
      </c>
      <c r="W11" s="102">
        <v>60</v>
      </c>
      <c r="X11" s="102">
        <f t="shared" si="0"/>
        <v>192</v>
      </c>
      <c r="Y11" s="104">
        <f t="shared" si="3"/>
        <v>18.75</v>
      </c>
      <c r="Z11" s="104">
        <f>0.31*W11</f>
        <v>18.600000000000001</v>
      </c>
      <c r="AA11" s="104">
        <f t="shared" si="4"/>
        <v>1339.2</v>
      </c>
      <c r="AB11" s="104">
        <f t="shared" si="5"/>
        <v>1562.4</v>
      </c>
      <c r="AC11" s="104">
        <v>2024</v>
      </c>
      <c r="AD11" s="105" t="s">
        <v>211</v>
      </c>
      <c r="AE11" s="101">
        <v>1086</v>
      </c>
      <c r="AF11" s="98" t="s">
        <v>260</v>
      </c>
      <c r="AG11" s="116"/>
      <c r="AH11" s="56"/>
    </row>
    <row r="12" spans="1:34" x14ac:dyDescent="0.2">
      <c r="A12" s="197">
        <v>1059</v>
      </c>
      <c r="B12" s="99" t="s">
        <v>204</v>
      </c>
      <c r="C12" s="98" t="s">
        <v>261</v>
      </c>
      <c r="D12" s="102">
        <v>10</v>
      </c>
      <c r="E12" s="119" t="s">
        <v>262</v>
      </c>
      <c r="F12" s="119" t="s">
        <v>378</v>
      </c>
      <c r="G12" s="100" t="s">
        <v>263</v>
      </c>
      <c r="H12" s="100" t="s">
        <v>264</v>
      </c>
      <c r="I12" s="100" t="s">
        <v>265</v>
      </c>
      <c r="J12" s="100">
        <v>2279909</v>
      </c>
      <c r="K12" s="101">
        <v>2024</v>
      </c>
      <c r="L12" s="101" t="s">
        <v>209</v>
      </c>
      <c r="M12" s="101">
        <v>600</v>
      </c>
      <c r="N12" s="101">
        <v>600</v>
      </c>
      <c r="O12" s="101" t="s">
        <v>210</v>
      </c>
      <c r="P12" s="102">
        <f>N12/100*Q12</f>
        <v>492</v>
      </c>
      <c r="Q12" s="103">
        <v>82</v>
      </c>
      <c r="R12" s="102">
        <f>M12/(0.31*W12)</f>
        <v>120.96774193548387</v>
      </c>
      <c r="S12" s="102">
        <f t="shared" si="2"/>
        <v>78</v>
      </c>
      <c r="T12" s="103">
        <f>(P12)/(0.31*W12)</f>
        <v>99.193548387096769</v>
      </c>
      <c r="U12" s="102">
        <v>40</v>
      </c>
      <c r="V12" s="102">
        <f t="shared" si="1"/>
        <v>32</v>
      </c>
      <c r="W12" s="102">
        <v>16</v>
      </c>
      <c r="X12" s="102">
        <f t="shared" si="0"/>
        <v>19.2</v>
      </c>
      <c r="Y12" s="104">
        <f t="shared" si="3"/>
        <v>50</v>
      </c>
      <c r="Z12" s="104">
        <f>0.31*W12</f>
        <v>4.96</v>
      </c>
      <c r="AA12" s="104">
        <f t="shared" si="4"/>
        <v>357.12</v>
      </c>
      <c r="AB12" s="104">
        <f t="shared" si="5"/>
        <v>416.64</v>
      </c>
      <c r="AC12" s="104">
        <v>2024</v>
      </c>
      <c r="AD12" s="105" t="s">
        <v>211</v>
      </c>
      <c r="AE12" s="101">
        <v>1059</v>
      </c>
      <c r="AF12" s="98" t="s">
        <v>261</v>
      </c>
      <c r="AG12" s="113" t="s">
        <v>266</v>
      </c>
      <c r="AH12" s="56"/>
    </row>
    <row r="13" spans="1:34" ht="15" customHeight="1" x14ac:dyDescent="0.2">
      <c r="A13" s="197">
        <v>1217</v>
      </c>
      <c r="B13" s="99" t="s">
        <v>204</v>
      </c>
      <c r="C13" s="98" t="s">
        <v>267</v>
      </c>
      <c r="D13" s="102">
        <v>11</v>
      </c>
      <c r="E13" s="119" t="s">
        <v>268</v>
      </c>
      <c r="F13" s="119" t="s">
        <v>378</v>
      </c>
      <c r="G13" s="98" t="s">
        <v>269</v>
      </c>
      <c r="H13" s="98" t="s">
        <v>62</v>
      </c>
      <c r="I13" s="98"/>
      <c r="J13" s="98"/>
      <c r="K13" s="101"/>
      <c r="L13" s="101" t="s">
        <v>209</v>
      </c>
      <c r="M13" s="101">
        <v>700</v>
      </c>
      <c r="N13" s="101">
        <v>700</v>
      </c>
      <c r="O13" s="101" t="s">
        <v>210</v>
      </c>
      <c r="P13" s="102">
        <f>N13/100*Q13</f>
        <v>455</v>
      </c>
      <c r="Q13" s="106">
        <v>65</v>
      </c>
      <c r="R13" s="102">
        <f>M13/(0.26*W13)</f>
        <v>76.92307692307692</v>
      </c>
      <c r="S13" s="101">
        <f t="shared" si="2"/>
        <v>210</v>
      </c>
      <c r="T13" s="103">
        <f>P13/(0.26*W13)</f>
        <v>50</v>
      </c>
      <c r="U13" s="101">
        <v>96</v>
      </c>
      <c r="V13" s="102">
        <f t="shared" si="1"/>
        <v>76.8</v>
      </c>
      <c r="W13" s="101">
        <v>35</v>
      </c>
      <c r="X13" s="102">
        <f t="shared" si="0"/>
        <v>46.08</v>
      </c>
      <c r="Y13" s="104">
        <f t="shared" si="3"/>
        <v>45.572916666666664</v>
      </c>
      <c r="Z13" s="104">
        <f>0.26*W13</f>
        <v>9.1</v>
      </c>
      <c r="AA13" s="104">
        <f t="shared" si="4"/>
        <v>655.19999999999993</v>
      </c>
      <c r="AB13" s="104">
        <f t="shared" si="5"/>
        <v>764.39999999999986</v>
      </c>
      <c r="AC13" s="104">
        <v>2024</v>
      </c>
      <c r="AD13" s="105" t="s">
        <v>211</v>
      </c>
      <c r="AE13" s="101">
        <v>1222</v>
      </c>
      <c r="AF13" s="98" t="s">
        <v>270</v>
      </c>
      <c r="AG13" s="116"/>
      <c r="AH13" s="56"/>
    </row>
    <row r="14" spans="1:34" ht="15" customHeight="1" x14ac:dyDescent="0.2">
      <c r="A14" s="198">
        <v>1507</v>
      </c>
      <c r="B14" s="108" t="s">
        <v>204</v>
      </c>
      <c r="C14" s="107" t="s">
        <v>271</v>
      </c>
      <c r="D14" s="102">
        <v>12</v>
      </c>
      <c r="E14" s="119" t="s">
        <v>272</v>
      </c>
      <c r="F14" s="119" t="s">
        <v>378</v>
      </c>
      <c r="G14" s="109" t="s">
        <v>273</v>
      </c>
      <c r="H14" s="109" t="s">
        <v>274</v>
      </c>
      <c r="I14" s="109" t="s">
        <v>275</v>
      </c>
      <c r="J14" s="109" t="s">
        <v>276</v>
      </c>
      <c r="K14" s="110">
        <v>2005</v>
      </c>
      <c r="L14" s="101" t="s">
        <v>209</v>
      </c>
      <c r="M14" s="101">
        <v>4500</v>
      </c>
      <c r="N14" s="101">
        <v>4000</v>
      </c>
      <c r="O14" s="101">
        <v>500</v>
      </c>
      <c r="P14" s="102">
        <f>SUM(N14/100*Q14)</f>
        <v>3800</v>
      </c>
      <c r="Q14" s="106">
        <v>95</v>
      </c>
      <c r="R14" s="102">
        <f>M14/(0.31*W14)</f>
        <v>96.774193548387103</v>
      </c>
      <c r="S14" s="104">
        <f t="shared" si="2"/>
        <v>0</v>
      </c>
      <c r="T14" s="103">
        <f>(P14+O14)/(0.31*W14)</f>
        <v>92.473118279569889</v>
      </c>
      <c r="U14" s="101">
        <v>500</v>
      </c>
      <c r="V14" s="102">
        <f t="shared" si="1"/>
        <v>400</v>
      </c>
      <c r="W14" s="104">
        <v>150</v>
      </c>
      <c r="X14" s="102">
        <f t="shared" si="0"/>
        <v>240</v>
      </c>
      <c r="Y14" s="104">
        <f t="shared" si="3"/>
        <v>37.5</v>
      </c>
      <c r="Z14" s="104">
        <f>0.31*W14</f>
        <v>46.5</v>
      </c>
      <c r="AA14" s="104">
        <f t="shared" si="4"/>
        <v>3348</v>
      </c>
      <c r="AB14" s="104">
        <f t="shared" si="5"/>
        <v>3906</v>
      </c>
      <c r="AC14" s="104">
        <v>2024</v>
      </c>
      <c r="AD14" s="105" t="s">
        <v>211</v>
      </c>
      <c r="AE14" s="110">
        <v>1507</v>
      </c>
      <c r="AF14" s="107" t="s">
        <v>271</v>
      </c>
      <c r="AG14" s="117"/>
      <c r="AH14" s="56"/>
    </row>
    <row r="15" spans="1:34" ht="15" customHeight="1" x14ac:dyDescent="0.2">
      <c r="A15" s="197">
        <v>5315</v>
      </c>
      <c r="B15" s="99" t="s">
        <v>277</v>
      </c>
      <c r="C15" s="98" t="s">
        <v>278</v>
      </c>
      <c r="D15" s="102">
        <v>13</v>
      </c>
      <c r="E15" s="119" t="s">
        <v>279</v>
      </c>
      <c r="F15" s="119" t="s">
        <v>378</v>
      </c>
      <c r="G15" s="109" t="s">
        <v>277</v>
      </c>
      <c r="H15" s="109" t="s">
        <v>280</v>
      </c>
      <c r="I15" s="109" t="s">
        <v>281</v>
      </c>
      <c r="J15" s="109" t="s">
        <v>282</v>
      </c>
      <c r="K15" s="110"/>
      <c r="L15" s="101" t="s">
        <v>209</v>
      </c>
      <c r="M15" s="101">
        <v>13000</v>
      </c>
      <c r="N15" s="101">
        <v>12500</v>
      </c>
      <c r="O15" s="101">
        <v>500</v>
      </c>
      <c r="P15" s="102">
        <f>N15/100*Q15</f>
        <v>11000</v>
      </c>
      <c r="Q15" s="106">
        <v>88</v>
      </c>
      <c r="R15" s="102">
        <f>M15/(0.31*W15)</f>
        <v>209.67741935483872</v>
      </c>
      <c r="S15" s="104">
        <f t="shared" si="2"/>
        <v>875</v>
      </c>
      <c r="T15" s="103">
        <f>(P15+O15)/(0.31*W15)</f>
        <v>185.48387096774192</v>
      </c>
      <c r="U15" s="101">
        <v>800</v>
      </c>
      <c r="V15" s="102">
        <f t="shared" si="1"/>
        <v>640</v>
      </c>
      <c r="W15" s="104">
        <v>200</v>
      </c>
      <c r="X15" s="102">
        <f t="shared" si="0"/>
        <v>384</v>
      </c>
      <c r="Y15" s="104">
        <f t="shared" si="3"/>
        <v>31.25</v>
      </c>
      <c r="Z15" s="104">
        <f>0.31*W15</f>
        <v>62</v>
      </c>
      <c r="AA15" s="104">
        <f t="shared" si="4"/>
        <v>4464</v>
      </c>
      <c r="AB15" s="104">
        <f t="shared" si="5"/>
        <v>5208</v>
      </c>
      <c r="AC15" s="104">
        <v>2024</v>
      </c>
      <c r="AD15" s="105" t="s">
        <v>211</v>
      </c>
      <c r="AE15" s="101">
        <v>5301</v>
      </c>
      <c r="AF15" s="98" t="s">
        <v>278</v>
      </c>
      <c r="AG15" s="113"/>
      <c r="AH15" s="54"/>
    </row>
    <row r="16" spans="1:34" x14ac:dyDescent="0.2">
      <c r="A16" s="197">
        <v>7898</v>
      </c>
      <c r="B16" s="100" t="s">
        <v>212</v>
      </c>
      <c r="C16" s="98" t="s">
        <v>283</v>
      </c>
      <c r="D16" s="102">
        <v>14</v>
      </c>
      <c r="E16" s="119" t="s">
        <v>284</v>
      </c>
      <c r="F16" s="119" t="s">
        <v>378</v>
      </c>
      <c r="G16" s="100" t="s">
        <v>285</v>
      </c>
      <c r="H16" s="100" t="s">
        <v>286</v>
      </c>
      <c r="I16" s="111" t="s">
        <v>287</v>
      </c>
      <c r="J16" s="100" t="s">
        <v>288</v>
      </c>
      <c r="K16" s="101">
        <v>2008</v>
      </c>
      <c r="L16" s="101" t="s">
        <v>209</v>
      </c>
      <c r="M16" s="101">
        <v>2250</v>
      </c>
      <c r="N16" s="101">
        <v>2000</v>
      </c>
      <c r="O16" s="101">
        <v>250</v>
      </c>
      <c r="P16" s="102">
        <f>N16/100*Q16</f>
        <v>1900</v>
      </c>
      <c r="Q16" s="106">
        <v>95</v>
      </c>
      <c r="R16" s="102">
        <f>M16/(0.4*W16)</f>
        <v>330.88235294117646</v>
      </c>
      <c r="S16" s="102">
        <f t="shared" si="2"/>
        <v>0</v>
      </c>
      <c r="T16" s="103">
        <f>(P16+O16)/(0.4*W16)</f>
        <v>316.17647058823525</v>
      </c>
      <c r="U16" s="101">
        <v>400</v>
      </c>
      <c r="V16" s="102">
        <f t="shared" si="1"/>
        <v>320</v>
      </c>
      <c r="W16" s="102">
        <v>17</v>
      </c>
      <c r="X16" s="102">
        <f t="shared" si="0"/>
        <v>192</v>
      </c>
      <c r="Y16" s="104">
        <f t="shared" si="3"/>
        <v>5.3125</v>
      </c>
      <c r="Z16" s="104">
        <f>0.4*W16</f>
        <v>6.8000000000000007</v>
      </c>
      <c r="AA16" s="104">
        <f t="shared" si="4"/>
        <v>489.6</v>
      </c>
      <c r="AB16" s="104">
        <f t="shared" si="5"/>
        <v>571.20000000000005</v>
      </c>
      <c r="AC16" s="104">
        <v>2024</v>
      </c>
      <c r="AD16" s="105" t="s">
        <v>211</v>
      </c>
      <c r="AE16" s="101">
        <v>7890</v>
      </c>
      <c r="AF16" s="98" t="s">
        <v>289</v>
      </c>
      <c r="AG16" s="115" t="s">
        <v>290</v>
      </c>
      <c r="AH16" s="54"/>
    </row>
    <row r="17" spans="1:34" ht="15" customHeight="1" x14ac:dyDescent="0.2">
      <c r="A17" s="198">
        <v>3341</v>
      </c>
      <c r="B17" s="108" t="s">
        <v>204</v>
      </c>
      <c r="C17" s="98" t="s">
        <v>291</v>
      </c>
      <c r="D17" s="102">
        <v>15</v>
      </c>
      <c r="E17" s="119" t="s">
        <v>292</v>
      </c>
      <c r="F17" s="119" t="s">
        <v>378</v>
      </c>
      <c r="G17" s="109" t="s">
        <v>293</v>
      </c>
      <c r="H17" s="109" t="s">
        <v>294</v>
      </c>
      <c r="I17" s="109" t="s">
        <v>295</v>
      </c>
      <c r="J17" s="109" t="s">
        <v>296</v>
      </c>
      <c r="K17" s="110">
        <v>2011</v>
      </c>
      <c r="L17" s="101" t="s">
        <v>209</v>
      </c>
      <c r="M17" s="101">
        <v>9250</v>
      </c>
      <c r="N17" s="101">
        <v>8500</v>
      </c>
      <c r="O17" s="101">
        <v>750</v>
      </c>
      <c r="P17" s="102">
        <f>SUM(N17/100*Q17)</f>
        <v>7650</v>
      </c>
      <c r="Q17" s="103">
        <v>90</v>
      </c>
      <c r="R17" s="102">
        <f>M17/(0.31*W17)</f>
        <v>142.08909370199694</v>
      </c>
      <c r="S17" s="102">
        <f t="shared" si="2"/>
        <v>425</v>
      </c>
      <c r="T17" s="103">
        <f>P17/(0.31*W17)</f>
        <v>117.5115207373272</v>
      </c>
      <c r="U17" s="101">
        <v>800</v>
      </c>
      <c r="V17" s="102">
        <f t="shared" si="1"/>
        <v>640</v>
      </c>
      <c r="W17" s="104">
        <v>210</v>
      </c>
      <c r="X17" s="102">
        <f t="shared" si="0"/>
        <v>384</v>
      </c>
      <c r="Y17" s="104">
        <f t="shared" si="3"/>
        <v>32.8125</v>
      </c>
      <c r="Z17" s="104">
        <f>0.31*W17</f>
        <v>65.099999999999994</v>
      </c>
      <c r="AA17" s="104">
        <f t="shared" si="4"/>
        <v>4687.2</v>
      </c>
      <c r="AB17" s="104">
        <f t="shared" si="5"/>
        <v>5468.4</v>
      </c>
      <c r="AC17" s="104">
        <v>2024</v>
      </c>
      <c r="AD17" s="105" t="s">
        <v>211</v>
      </c>
      <c r="AE17" s="110">
        <v>3341</v>
      </c>
      <c r="AF17" s="98" t="s">
        <v>291</v>
      </c>
      <c r="AG17" s="113"/>
    </row>
    <row r="18" spans="1:34" ht="15" customHeight="1" x14ac:dyDescent="0.2">
      <c r="A18" s="197">
        <v>1569</v>
      </c>
      <c r="B18" s="99" t="s">
        <v>204</v>
      </c>
      <c r="C18" s="98" t="s">
        <v>297</v>
      </c>
      <c r="D18" s="102">
        <v>16</v>
      </c>
      <c r="E18" s="119" t="s">
        <v>298</v>
      </c>
      <c r="F18" s="119" t="s">
        <v>378</v>
      </c>
      <c r="G18" s="100" t="s">
        <v>299</v>
      </c>
      <c r="H18" s="100" t="s">
        <v>300</v>
      </c>
      <c r="I18" s="100"/>
      <c r="J18" s="100"/>
      <c r="K18" s="101"/>
      <c r="L18" s="101" t="s">
        <v>209</v>
      </c>
      <c r="M18" s="101">
        <v>1080</v>
      </c>
      <c r="N18" s="101">
        <v>1080</v>
      </c>
      <c r="O18" s="101" t="s">
        <v>210</v>
      </c>
      <c r="P18" s="102">
        <v>990</v>
      </c>
      <c r="Q18" s="103">
        <f>SUM(P18/10.8)</f>
        <v>91.666666666666657</v>
      </c>
      <c r="R18" s="102">
        <f>M18/(0.28*W18)</f>
        <v>226.89075630252097</v>
      </c>
      <c r="S18" s="102">
        <f t="shared" si="2"/>
        <v>36</v>
      </c>
      <c r="T18" s="103">
        <f>P18/(0.28*W18)</f>
        <v>207.9831932773109</v>
      </c>
      <c r="U18" s="102">
        <v>160</v>
      </c>
      <c r="V18" s="102">
        <f t="shared" si="1"/>
        <v>128</v>
      </c>
      <c r="W18" s="102">
        <v>17</v>
      </c>
      <c r="X18" s="102">
        <f t="shared" si="0"/>
        <v>76.8</v>
      </c>
      <c r="Y18" s="104">
        <f t="shared" si="3"/>
        <v>13.28125</v>
      </c>
      <c r="Z18" s="104">
        <f>0.28*W18</f>
        <v>4.7600000000000007</v>
      </c>
      <c r="AA18" s="104">
        <f t="shared" si="4"/>
        <v>342.72</v>
      </c>
      <c r="AB18" s="104">
        <f t="shared" si="5"/>
        <v>399.84000000000003</v>
      </c>
      <c r="AC18" s="104">
        <v>2024</v>
      </c>
      <c r="AD18" s="105" t="s">
        <v>211</v>
      </c>
      <c r="AE18" s="101">
        <v>1569</v>
      </c>
      <c r="AF18" s="98" t="s">
        <v>297</v>
      </c>
      <c r="AG18" s="113" t="s">
        <v>301</v>
      </c>
      <c r="AH18" s="56"/>
    </row>
    <row r="19" spans="1:34" s="57" customFormat="1" ht="15" customHeight="1" x14ac:dyDescent="0.2">
      <c r="A19" s="197">
        <v>1205</v>
      </c>
      <c r="B19" s="99" t="s">
        <v>204</v>
      </c>
      <c r="C19" s="98" t="s">
        <v>302</v>
      </c>
      <c r="D19" s="102">
        <v>17</v>
      </c>
      <c r="E19" s="119" t="s">
        <v>303</v>
      </c>
      <c r="F19" s="119" t="s">
        <v>378</v>
      </c>
      <c r="G19" s="100">
        <v>1205.1208999999999</v>
      </c>
      <c r="H19" s="100" t="s">
        <v>304</v>
      </c>
      <c r="I19" s="100"/>
      <c r="J19" s="100"/>
      <c r="K19" s="101"/>
      <c r="L19" s="101" t="s">
        <v>209</v>
      </c>
      <c r="M19" s="101">
        <v>2000</v>
      </c>
      <c r="N19" s="101">
        <v>2000</v>
      </c>
      <c r="O19" s="101" t="s">
        <v>210</v>
      </c>
      <c r="P19" s="102">
        <f>N19/100*Q19</f>
        <v>1900</v>
      </c>
      <c r="Q19" s="106">
        <v>95</v>
      </c>
      <c r="R19" s="102">
        <f>M19/(0.28*W19)</f>
        <v>255.10204081632651</v>
      </c>
      <c r="S19" s="102">
        <f t="shared" si="2"/>
        <v>0</v>
      </c>
      <c r="T19" s="103">
        <f>P19/(0.28*W19)</f>
        <v>242.34693877551018</v>
      </c>
      <c r="U19" s="101">
        <v>130</v>
      </c>
      <c r="V19" s="102">
        <f t="shared" si="1"/>
        <v>104</v>
      </c>
      <c r="W19" s="102">
        <v>28</v>
      </c>
      <c r="X19" s="102">
        <f t="shared" si="0"/>
        <v>62.4</v>
      </c>
      <c r="Y19" s="104">
        <f t="shared" si="3"/>
        <v>26.923076923076923</v>
      </c>
      <c r="Z19" s="104">
        <f>0.28*W19</f>
        <v>7.8400000000000007</v>
      </c>
      <c r="AA19" s="104">
        <f t="shared" si="4"/>
        <v>564.48</v>
      </c>
      <c r="AB19" s="104">
        <f t="shared" si="5"/>
        <v>658.56000000000006</v>
      </c>
      <c r="AC19" s="104">
        <v>2024</v>
      </c>
      <c r="AD19" s="105" t="s">
        <v>211</v>
      </c>
      <c r="AE19" s="101">
        <v>1205</v>
      </c>
      <c r="AF19" s="98" t="s">
        <v>302</v>
      </c>
      <c r="AG19" s="114"/>
      <c r="AH19" s="56"/>
    </row>
    <row r="20" spans="1:34" s="57" customFormat="1" x14ac:dyDescent="0.2">
      <c r="A20" s="197">
        <v>1027</v>
      </c>
      <c r="B20" s="100" t="s">
        <v>204</v>
      </c>
      <c r="C20" s="98" t="s">
        <v>305</v>
      </c>
      <c r="D20" s="102">
        <v>18</v>
      </c>
      <c r="E20" s="119" t="s">
        <v>306</v>
      </c>
      <c r="F20" s="119" t="s">
        <v>378</v>
      </c>
      <c r="G20" s="122">
        <v>100110021627</v>
      </c>
      <c r="H20" s="100" t="s">
        <v>307</v>
      </c>
      <c r="I20" s="100"/>
      <c r="J20" s="100"/>
      <c r="K20" s="101"/>
      <c r="L20" s="101" t="s">
        <v>209</v>
      </c>
      <c r="M20" s="101">
        <v>735</v>
      </c>
      <c r="N20" s="101">
        <v>735</v>
      </c>
      <c r="O20" s="101" t="s">
        <v>210</v>
      </c>
      <c r="P20" s="102">
        <f>N20/100*Q20</f>
        <v>661.5</v>
      </c>
      <c r="Q20" s="103">
        <v>90</v>
      </c>
      <c r="R20" s="102">
        <f>M20/(0.26*W20)</f>
        <v>47.115384615384613</v>
      </c>
      <c r="S20" s="102">
        <f t="shared" si="2"/>
        <v>36.75</v>
      </c>
      <c r="T20" s="103">
        <f>P20/(0.26*W20)</f>
        <v>42.403846153846153</v>
      </c>
      <c r="U20" s="102">
        <v>105</v>
      </c>
      <c r="V20" s="102">
        <f t="shared" si="1"/>
        <v>84</v>
      </c>
      <c r="W20" s="102">
        <v>60</v>
      </c>
      <c r="X20" s="102">
        <f t="shared" si="0"/>
        <v>50.4</v>
      </c>
      <c r="Y20" s="104">
        <f t="shared" si="3"/>
        <v>71.428571428571431</v>
      </c>
      <c r="Z20" s="104">
        <f>0.26*W20</f>
        <v>15.600000000000001</v>
      </c>
      <c r="AA20" s="104">
        <f t="shared" si="4"/>
        <v>1123.2</v>
      </c>
      <c r="AB20" s="104">
        <f t="shared" si="5"/>
        <v>1310.4000000000001</v>
      </c>
      <c r="AC20" s="104">
        <v>2024</v>
      </c>
      <c r="AD20" s="105" t="s">
        <v>211</v>
      </c>
      <c r="AE20" s="101">
        <v>1027</v>
      </c>
      <c r="AF20" s="98" t="s">
        <v>305</v>
      </c>
      <c r="AG20" s="116" t="s">
        <v>308</v>
      </c>
      <c r="AH20" s="56"/>
    </row>
    <row r="21" spans="1:34" s="57" customFormat="1" ht="15" customHeight="1" x14ac:dyDescent="0.2">
      <c r="A21" s="197">
        <v>7821</v>
      </c>
      <c r="B21" s="99" t="s">
        <v>212</v>
      </c>
      <c r="C21" s="98" t="s">
        <v>237</v>
      </c>
      <c r="D21" s="102">
        <v>19</v>
      </c>
      <c r="E21" s="119" t="s">
        <v>221</v>
      </c>
      <c r="F21" s="119" t="s">
        <v>378</v>
      </c>
      <c r="G21" s="98" t="s">
        <v>309</v>
      </c>
      <c r="H21" s="98" t="s">
        <v>274</v>
      </c>
      <c r="I21" s="98"/>
      <c r="J21" s="98"/>
      <c r="K21" s="101"/>
      <c r="L21" s="101" t="s">
        <v>209</v>
      </c>
      <c r="M21" s="101">
        <v>500</v>
      </c>
      <c r="N21" s="101">
        <v>500</v>
      </c>
      <c r="O21" s="101" t="s">
        <v>210</v>
      </c>
      <c r="P21" s="102">
        <f>SUM(N21/100*Q21)</f>
        <v>400</v>
      </c>
      <c r="Q21" s="106">
        <v>80</v>
      </c>
      <c r="R21" s="102">
        <f>M21/(0.26*W21)</f>
        <v>76.92307692307692</v>
      </c>
      <c r="S21" s="102">
        <f t="shared" si="2"/>
        <v>75</v>
      </c>
      <c r="T21" s="103">
        <f>P21/(0.26*W21)</f>
        <v>61.53846153846154</v>
      </c>
      <c r="U21" s="101">
        <v>130</v>
      </c>
      <c r="V21" s="102">
        <f t="shared" si="1"/>
        <v>104</v>
      </c>
      <c r="W21" s="102">
        <v>25</v>
      </c>
      <c r="X21" s="102">
        <f t="shared" si="0"/>
        <v>62.4</v>
      </c>
      <c r="Y21" s="104">
        <f t="shared" si="3"/>
        <v>24.038461538461537</v>
      </c>
      <c r="Z21" s="104">
        <f>0.26*W21</f>
        <v>6.5</v>
      </c>
      <c r="AA21" s="104">
        <f t="shared" si="4"/>
        <v>468</v>
      </c>
      <c r="AB21" s="104">
        <f t="shared" si="5"/>
        <v>546</v>
      </c>
      <c r="AC21" s="104">
        <v>2024</v>
      </c>
      <c r="AD21" s="105" t="s">
        <v>211</v>
      </c>
      <c r="AE21" s="101">
        <v>7821</v>
      </c>
      <c r="AF21" s="98" t="s">
        <v>310</v>
      </c>
      <c r="AG21" s="114"/>
      <c r="AH21" s="47"/>
    </row>
    <row r="22" spans="1:34" s="57" customFormat="1" ht="15" customHeight="1" x14ac:dyDescent="0.2">
      <c r="A22" s="197">
        <v>1071</v>
      </c>
      <c r="B22" s="99" t="s">
        <v>204</v>
      </c>
      <c r="C22" s="98" t="s">
        <v>311</v>
      </c>
      <c r="D22" s="102">
        <v>20</v>
      </c>
      <c r="E22" s="119" t="s">
        <v>303</v>
      </c>
      <c r="F22" s="119" t="s">
        <v>378</v>
      </c>
      <c r="G22" s="100">
        <v>1571</v>
      </c>
      <c r="H22" s="100" t="s">
        <v>136</v>
      </c>
      <c r="I22" s="100"/>
      <c r="J22" s="100"/>
      <c r="K22" s="101"/>
      <c r="L22" s="101" t="s">
        <v>209</v>
      </c>
      <c r="M22" s="101">
        <v>360</v>
      </c>
      <c r="N22" s="101">
        <v>360</v>
      </c>
      <c r="O22" s="101" t="s">
        <v>210</v>
      </c>
      <c r="P22" s="102">
        <f>N22/100*Q22</f>
        <v>324</v>
      </c>
      <c r="Q22" s="106">
        <v>90</v>
      </c>
      <c r="R22" s="102">
        <f>M22/(0.3*W22)</f>
        <v>75</v>
      </c>
      <c r="S22" s="102">
        <f t="shared" si="2"/>
        <v>18</v>
      </c>
      <c r="T22" s="103">
        <f>P22/(0.3*W22)</f>
        <v>67.5</v>
      </c>
      <c r="U22" s="101">
        <v>60</v>
      </c>
      <c r="V22" s="102">
        <f t="shared" si="1"/>
        <v>48</v>
      </c>
      <c r="W22" s="102">
        <v>16</v>
      </c>
      <c r="X22" s="102">
        <f t="shared" si="0"/>
        <v>28.799999999999997</v>
      </c>
      <c r="Y22" s="104">
        <f t="shared" si="3"/>
        <v>33.333333333333336</v>
      </c>
      <c r="Z22" s="104">
        <f>0.3*W22</f>
        <v>4.8</v>
      </c>
      <c r="AA22" s="104">
        <f t="shared" si="4"/>
        <v>345.59999999999997</v>
      </c>
      <c r="AB22" s="104">
        <f t="shared" si="5"/>
        <v>403.19999999999993</v>
      </c>
      <c r="AC22" s="104">
        <v>2024</v>
      </c>
      <c r="AD22" s="105" t="s">
        <v>211</v>
      </c>
      <c r="AE22" s="101">
        <v>1071</v>
      </c>
      <c r="AF22" s="98" t="s">
        <v>311</v>
      </c>
      <c r="AG22" s="116"/>
      <c r="AH22" s="56"/>
    </row>
    <row r="23" spans="1:34" ht="15" customHeight="1" x14ac:dyDescent="0.2">
      <c r="A23" s="197">
        <v>6280</v>
      </c>
      <c r="B23" s="99" t="s">
        <v>312</v>
      </c>
      <c r="C23" s="98" t="s">
        <v>313</v>
      </c>
      <c r="D23" s="102">
        <v>21</v>
      </c>
      <c r="E23" s="119" t="s">
        <v>314</v>
      </c>
      <c r="F23" s="119" t="s">
        <v>378</v>
      </c>
      <c r="G23" s="100" t="s">
        <v>315</v>
      </c>
      <c r="H23" s="100" t="s">
        <v>316</v>
      </c>
      <c r="I23" s="100"/>
      <c r="J23" s="100"/>
      <c r="K23" s="101"/>
      <c r="L23" s="101" t="s">
        <v>209</v>
      </c>
      <c r="M23" s="101">
        <v>300</v>
      </c>
      <c r="N23" s="101">
        <v>300</v>
      </c>
      <c r="O23" s="101" t="s">
        <v>210</v>
      </c>
      <c r="P23" s="102">
        <f>N23/100*Q23</f>
        <v>240</v>
      </c>
      <c r="Q23" s="103">
        <v>80</v>
      </c>
      <c r="R23" s="102">
        <f>M23/(0.26*W23)</f>
        <v>46.153846153846153</v>
      </c>
      <c r="S23" s="102">
        <f t="shared" si="2"/>
        <v>45</v>
      </c>
      <c r="T23" s="103">
        <f>P23/(0.26*W23)</f>
        <v>36.92307692307692</v>
      </c>
      <c r="U23" s="102">
        <v>85</v>
      </c>
      <c r="V23" s="102">
        <f t="shared" si="1"/>
        <v>68</v>
      </c>
      <c r="W23" s="102">
        <v>25</v>
      </c>
      <c r="X23" s="102">
        <f t="shared" si="0"/>
        <v>40.799999999999997</v>
      </c>
      <c r="Y23" s="104">
        <f t="shared" si="3"/>
        <v>36.764705882352942</v>
      </c>
      <c r="Z23" s="104">
        <f>0.26*W23</f>
        <v>6.5</v>
      </c>
      <c r="AA23" s="104">
        <f t="shared" si="4"/>
        <v>468</v>
      </c>
      <c r="AB23" s="104">
        <f t="shared" si="5"/>
        <v>546</v>
      </c>
      <c r="AC23" s="104">
        <v>2024</v>
      </c>
      <c r="AD23" s="105" t="s">
        <v>211</v>
      </c>
      <c r="AE23" s="101">
        <v>4008</v>
      </c>
      <c r="AF23" s="98" t="s">
        <v>317</v>
      </c>
      <c r="AG23" s="117" t="s">
        <v>301</v>
      </c>
      <c r="AH23" s="56"/>
    </row>
    <row r="24" spans="1:34" ht="15" customHeight="1" x14ac:dyDescent="0.2">
      <c r="A24" s="197">
        <v>4062</v>
      </c>
      <c r="B24" s="99" t="s">
        <v>318</v>
      </c>
      <c r="C24" s="98" t="s">
        <v>319</v>
      </c>
      <c r="D24" s="102">
        <v>22</v>
      </c>
      <c r="E24" s="119" t="s">
        <v>320</v>
      </c>
      <c r="F24" s="119" t="s">
        <v>378</v>
      </c>
      <c r="G24" s="98" t="s">
        <v>321</v>
      </c>
      <c r="H24" s="98" t="s">
        <v>322</v>
      </c>
      <c r="I24" s="98" t="s">
        <v>323</v>
      </c>
      <c r="J24" s="98"/>
      <c r="K24" s="98">
        <v>2024</v>
      </c>
      <c r="L24" s="101"/>
      <c r="M24" s="101"/>
      <c r="N24" s="101"/>
      <c r="O24" s="101"/>
      <c r="P24" s="101"/>
      <c r="Q24" s="101"/>
      <c r="R24" s="101"/>
      <c r="S24" s="101"/>
      <c r="T24" s="101"/>
      <c r="U24" s="101">
        <v>73</v>
      </c>
      <c r="V24" s="102">
        <f t="shared" si="1"/>
        <v>58.4</v>
      </c>
      <c r="W24" s="101"/>
      <c r="X24" s="102">
        <f t="shared" si="0"/>
        <v>35.04</v>
      </c>
      <c r="Y24" s="101"/>
      <c r="Z24" s="101"/>
      <c r="AA24" s="101"/>
      <c r="AB24" s="101"/>
      <c r="AC24" s="101"/>
      <c r="AD24" s="101"/>
      <c r="AE24" s="101"/>
      <c r="AF24" s="101"/>
      <c r="AG24" s="114"/>
      <c r="AH24" s="56"/>
    </row>
    <row r="25" spans="1:34" x14ac:dyDescent="0.2">
      <c r="A25" s="197">
        <v>4508</v>
      </c>
      <c r="B25" s="100" t="s">
        <v>318</v>
      </c>
      <c r="C25" s="98" t="s">
        <v>237</v>
      </c>
      <c r="D25" s="102">
        <v>23</v>
      </c>
      <c r="E25" s="119" t="s">
        <v>324</v>
      </c>
      <c r="F25" s="119" t="s">
        <v>378</v>
      </c>
      <c r="G25" s="100" t="s">
        <v>325</v>
      </c>
      <c r="H25" s="100" t="s">
        <v>307</v>
      </c>
      <c r="I25" s="100" t="s">
        <v>326</v>
      </c>
      <c r="J25" s="100"/>
      <c r="K25" s="101"/>
      <c r="L25" s="101" t="s">
        <v>209</v>
      </c>
      <c r="M25" s="101">
        <v>500</v>
      </c>
      <c r="N25" s="101">
        <v>500</v>
      </c>
      <c r="O25" s="101" t="s">
        <v>210</v>
      </c>
      <c r="P25" s="102">
        <f>N25/100*Q25</f>
        <v>450</v>
      </c>
      <c r="Q25" s="106">
        <v>90</v>
      </c>
      <c r="R25" s="102">
        <f>M25/(0.26*W25)</f>
        <v>96.153846153846146</v>
      </c>
      <c r="S25" s="102">
        <f>(N25/100*95)-P25</f>
        <v>25</v>
      </c>
      <c r="T25" s="103">
        <f>P25/(0.26*W25)</f>
        <v>86.538461538461533</v>
      </c>
      <c r="U25" s="101">
        <v>40</v>
      </c>
      <c r="V25" s="102">
        <f t="shared" si="1"/>
        <v>32</v>
      </c>
      <c r="W25" s="102">
        <v>20</v>
      </c>
      <c r="X25" s="102">
        <f t="shared" si="0"/>
        <v>19.2</v>
      </c>
      <c r="Y25" s="104">
        <f>W25/(V25/100)</f>
        <v>62.5</v>
      </c>
      <c r="Z25" s="104">
        <f>0.26*W25</f>
        <v>5.2</v>
      </c>
      <c r="AA25" s="104">
        <f>Z25*72</f>
        <v>374.40000000000003</v>
      </c>
      <c r="AB25" s="104">
        <f>AA25+(Z25*12)</f>
        <v>436.80000000000007</v>
      </c>
      <c r="AC25" s="104">
        <v>2024</v>
      </c>
      <c r="AD25" s="105" t="s">
        <v>211</v>
      </c>
      <c r="AE25" s="101">
        <v>4508</v>
      </c>
      <c r="AF25" s="98" t="s">
        <v>327</v>
      </c>
      <c r="AG25" s="115" t="s">
        <v>328</v>
      </c>
      <c r="AH25" s="58"/>
    </row>
    <row r="26" spans="1:34" x14ac:dyDescent="0.2">
      <c r="A26" s="197">
        <v>7203</v>
      </c>
      <c r="B26" s="100" t="s">
        <v>312</v>
      </c>
      <c r="C26" s="98" t="s">
        <v>237</v>
      </c>
      <c r="D26" s="102">
        <v>24</v>
      </c>
      <c r="E26" s="119"/>
      <c r="F26" s="119" t="s">
        <v>378</v>
      </c>
      <c r="G26" s="100" t="s">
        <v>325</v>
      </c>
      <c r="H26" s="100" t="s">
        <v>307</v>
      </c>
      <c r="I26" s="100"/>
      <c r="J26" s="100"/>
      <c r="K26" s="101"/>
      <c r="L26" s="101" t="s">
        <v>329</v>
      </c>
      <c r="M26" s="101">
        <v>60</v>
      </c>
      <c r="N26" s="101">
        <v>60</v>
      </c>
      <c r="O26" s="101" t="s">
        <v>210</v>
      </c>
      <c r="P26" s="102">
        <f>N26/100*Q26</f>
        <v>38.4</v>
      </c>
      <c r="Q26" s="106">
        <v>64</v>
      </c>
      <c r="R26" s="102">
        <f>M26/(0.26*W26)</f>
        <v>15.384615384615383</v>
      </c>
      <c r="S26" s="102">
        <f>(N26/100*95)-P26</f>
        <v>18.600000000000001</v>
      </c>
      <c r="T26" s="103">
        <f>P26/(0.26*W26)</f>
        <v>9.8461538461538449</v>
      </c>
      <c r="U26" s="101">
        <v>40</v>
      </c>
      <c r="V26" s="102">
        <f t="shared" si="1"/>
        <v>32</v>
      </c>
      <c r="W26" s="102">
        <v>15</v>
      </c>
      <c r="X26" s="102">
        <f t="shared" si="0"/>
        <v>19.2</v>
      </c>
      <c r="Y26" s="104">
        <f>W26/(V26/100)</f>
        <v>46.875</v>
      </c>
      <c r="Z26" s="104">
        <f>0.26*W26</f>
        <v>3.9000000000000004</v>
      </c>
      <c r="AA26" s="104">
        <f>Z26*72</f>
        <v>280.8</v>
      </c>
      <c r="AB26" s="104">
        <f>AA26+(Z26*12)</f>
        <v>327.60000000000002</v>
      </c>
      <c r="AC26" s="104">
        <v>2024</v>
      </c>
      <c r="AD26" s="105" t="s">
        <v>211</v>
      </c>
      <c r="AE26" s="101">
        <v>7203</v>
      </c>
      <c r="AF26" s="98" t="s">
        <v>330</v>
      </c>
      <c r="AG26" s="115" t="s">
        <v>331</v>
      </c>
      <c r="AH26" s="58"/>
    </row>
    <row r="27" spans="1:34" x14ac:dyDescent="0.2">
      <c r="A27" s="197">
        <v>7810</v>
      </c>
      <c r="B27" s="100" t="s">
        <v>212</v>
      </c>
      <c r="C27" s="98" t="s">
        <v>237</v>
      </c>
      <c r="D27" s="102">
        <v>25</v>
      </c>
      <c r="E27" s="119"/>
      <c r="F27" s="119" t="s">
        <v>378</v>
      </c>
      <c r="G27" s="100" t="s">
        <v>332</v>
      </c>
      <c r="H27" s="100" t="s">
        <v>307</v>
      </c>
      <c r="I27" s="100"/>
      <c r="J27" s="100"/>
      <c r="K27" s="101"/>
      <c r="L27" s="101" t="s">
        <v>209</v>
      </c>
      <c r="M27" s="101">
        <v>500</v>
      </c>
      <c r="N27" s="101">
        <v>500</v>
      </c>
      <c r="O27" s="101" t="s">
        <v>210</v>
      </c>
      <c r="P27" s="102">
        <f>N27/100*Q27</f>
        <v>300</v>
      </c>
      <c r="Q27" s="106">
        <v>60</v>
      </c>
      <c r="R27" s="102">
        <f>M27/(0.26*W27)</f>
        <v>128.2051282051282</v>
      </c>
      <c r="S27" s="102">
        <f>(N27/100*95)-P27</f>
        <v>175</v>
      </c>
      <c r="T27" s="103">
        <f>P27/(0.26*W27)</f>
        <v>76.92307692307692</v>
      </c>
      <c r="U27" s="101">
        <v>40</v>
      </c>
      <c r="V27" s="102">
        <f t="shared" si="1"/>
        <v>32</v>
      </c>
      <c r="W27" s="102">
        <v>15</v>
      </c>
      <c r="X27" s="102">
        <f t="shared" si="0"/>
        <v>19.2</v>
      </c>
      <c r="Y27" s="104">
        <f>W27/(V27/100)</f>
        <v>46.875</v>
      </c>
      <c r="Z27" s="104">
        <f>0.26*W27</f>
        <v>3.9000000000000004</v>
      </c>
      <c r="AA27" s="104">
        <f>Z27*72</f>
        <v>280.8</v>
      </c>
      <c r="AB27" s="104">
        <f>AA27+(Z27*12)</f>
        <v>327.60000000000002</v>
      </c>
      <c r="AC27" s="104">
        <v>2024</v>
      </c>
      <c r="AD27" s="105" t="s">
        <v>211</v>
      </c>
      <c r="AE27" s="101">
        <v>7762</v>
      </c>
      <c r="AF27" s="98" t="s">
        <v>333</v>
      </c>
      <c r="AG27" s="115" t="s">
        <v>334</v>
      </c>
      <c r="AH27" s="56"/>
    </row>
    <row r="28" spans="1:34" ht="15" customHeight="1" x14ac:dyDescent="0.2">
      <c r="A28" s="197">
        <v>1070</v>
      </c>
      <c r="B28" s="99" t="s">
        <v>204</v>
      </c>
      <c r="C28" s="98" t="s">
        <v>335</v>
      </c>
      <c r="D28" s="102">
        <v>26</v>
      </c>
      <c r="E28" s="119" t="s">
        <v>303</v>
      </c>
      <c r="F28" s="119" t="s">
        <v>378</v>
      </c>
      <c r="G28" s="98" t="s">
        <v>336</v>
      </c>
      <c r="H28" s="98" t="s">
        <v>337</v>
      </c>
      <c r="I28" s="98"/>
      <c r="J28" s="98"/>
      <c r="K28" s="101"/>
      <c r="L28" s="101" t="s">
        <v>209</v>
      </c>
      <c r="M28" s="101">
        <v>700</v>
      </c>
      <c r="N28" s="101">
        <v>700</v>
      </c>
      <c r="O28" s="101" t="s">
        <v>210</v>
      </c>
      <c r="P28" s="102">
        <v>595</v>
      </c>
      <c r="Q28" s="103">
        <f>SUM(P28/7)</f>
        <v>85</v>
      </c>
      <c r="R28" s="102">
        <f>M28/(0.26*W28)</f>
        <v>168.26923076923077</v>
      </c>
      <c r="S28" s="102">
        <f>(N28/100*95)-P28</f>
        <v>70</v>
      </c>
      <c r="T28" s="103">
        <f>P28/(0.26*W28)</f>
        <v>143.02884615384616</v>
      </c>
      <c r="U28" s="102">
        <v>60</v>
      </c>
      <c r="V28" s="102">
        <f t="shared" si="1"/>
        <v>48</v>
      </c>
      <c r="W28" s="102">
        <v>16</v>
      </c>
      <c r="X28" s="102">
        <f t="shared" si="0"/>
        <v>28.799999999999997</v>
      </c>
      <c r="Y28" s="104">
        <f>W28/(V28/100)</f>
        <v>33.333333333333336</v>
      </c>
      <c r="Z28" s="104">
        <f>0.26*W28</f>
        <v>4.16</v>
      </c>
      <c r="AA28" s="104">
        <f>Z28*72</f>
        <v>299.52</v>
      </c>
      <c r="AB28" s="104">
        <f>AA28+(Z28*12)</f>
        <v>349.44</v>
      </c>
      <c r="AC28" s="104">
        <v>2024</v>
      </c>
      <c r="AD28" s="105" t="s">
        <v>211</v>
      </c>
      <c r="AE28" s="101">
        <v>1070</v>
      </c>
      <c r="AF28" s="98" t="s">
        <v>335</v>
      </c>
      <c r="AG28" s="113"/>
      <c r="AH28" s="56"/>
    </row>
    <row r="29" spans="1:34" s="59" customFormat="1" ht="15" customHeight="1" x14ac:dyDescent="0.2">
      <c r="A29" s="197">
        <v>4061</v>
      </c>
      <c r="B29" s="99" t="s">
        <v>318</v>
      </c>
      <c r="C29" s="98" t="s">
        <v>319</v>
      </c>
      <c r="D29" s="102">
        <v>27</v>
      </c>
      <c r="E29" s="119" t="s">
        <v>338</v>
      </c>
      <c r="F29" s="119" t="s">
        <v>378</v>
      </c>
      <c r="G29" s="100" t="s">
        <v>321</v>
      </c>
      <c r="H29" s="107" t="s">
        <v>322</v>
      </c>
      <c r="I29" s="107" t="s">
        <v>323</v>
      </c>
      <c r="J29" s="107"/>
      <c r="K29" s="107">
        <v>2024</v>
      </c>
      <c r="L29" s="110"/>
      <c r="M29" s="107"/>
      <c r="N29" s="107"/>
      <c r="O29" s="107"/>
      <c r="P29" s="107"/>
      <c r="Q29" s="107"/>
      <c r="R29" s="107"/>
      <c r="S29" s="107"/>
      <c r="T29" s="107"/>
      <c r="U29" s="107">
        <v>73</v>
      </c>
      <c r="V29" s="112">
        <f t="shared" si="1"/>
        <v>58.4</v>
      </c>
      <c r="W29" s="107"/>
      <c r="X29" s="112">
        <f t="shared" si="0"/>
        <v>35.04</v>
      </c>
      <c r="Y29" s="107"/>
      <c r="Z29" s="107"/>
      <c r="AA29" s="107"/>
      <c r="AB29" s="107"/>
      <c r="AC29" s="107"/>
      <c r="AD29" s="107"/>
      <c r="AE29" s="110"/>
      <c r="AF29" s="107"/>
      <c r="AG29" s="118"/>
      <c r="AH29" s="58"/>
    </row>
    <row r="30" spans="1:34" s="59" customFormat="1" ht="15" customHeight="1" x14ac:dyDescent="0.2">
      <c r="A30" s="197">
        <v>2604</v>
      </c>
      <c r="B30" s="99" t="s">
        <v>381</v>
      </c>
      <c r="C30" s="98" t="s">
        <v>391</v>
      </c>
      <c r="D30" s="102">
        <v>28</v>
      </c>
      <c r="E30" s="119" t="s">
        <v>387</v>
      </c>
      <c r="F30" s="119" t="s">
        <v>382</v>
      </c>
      <c r="G30" s="100"/>
      <c r="H30" s="107" t="s">
        <v>56</v>
      </c>
      <c r="I30" s="107" t="s">
        <v>383</v>
      </c>
      <c r="J30" s="107" t="s">
        <v>384</v>
      </c>
      <c r="K30" s="107"/>
      <c r="L30" s="110"/>
      <c r="M30" s="107"/>
      <c r="N30" s="107"/>
      <c r="O30" s="107"/>
      <c r="P30" s="107"/>
      <c r="Q30" s="107"/>
      <c r="R30" s="107"/>
      <c r="S30" s="107"/>
      <c r="T30" s="107"/>
      <c r="U30" s="107"/>
      <c r="V30" s="112"/>
      <c r="W30" s="107"/>
      <c r="X30" s="112"/>
      <c r="Y30" s="107"/>
      <c r="Z30" s="107"/>
      <c r="AA30" s="107"/>
      <c r="AB30" s="107"/>
      <c r="AC30" s="107"/>
      <c r="AD30" s="107"/>
      <c r="AE30" s="110"/>
      <c r="AF30" s="107"/>
      <c r="AG30" s="118"/>
      <c r="AH30" s="58"/>
    </row>
    <row r="31" spans="1:34" s="59" customFormat="1" ht="15" customHeight="1" x14ac:dyDescent="0.2">
      <c r="A31" s="197">
        <v>2604</v>
      </c>
      <c r="B31" s="99" t="s">
        <v>381</v>
      </c>
      <c r="C31" s="98" t="s">
        <v>391</v>
      </c>
      <c r="D31" s="102">
        <v>29</v>
      </c>
      <c r="E31" s="119" t="s">
        <v>388</v>
      </c>
      <c r="F31" s="119" t="s">
        <v>382</v>
      </c>
      <c r="G31" s="100"/>
      <c r="H31" s="107" t="s">
        <v>56</v>
      </c>
      <c r="I31" s="107" t="s">
        <v>383</v>
      </c>
      <c r="J31" s="107" t="s">
        <v>385</v>
      </c>
      <c r="K31" s="107"/>
      <c r="L31" s="110"/>
      <c r="M31" s="107"/>
      <c r="N31" s="107"/>
      <c r="O31" s="107"/>
      <c r="P31" s="107"/>
      <c r="Q31" s="107"/>
      <c r="R31" s="107"/>
      <c r="S31" s="107"/>
      <c r="T31" s="107"/>
      <c r="U31" s="107"/>
      <c r="V31" s="112"/>
      <c r="W31" s="107"/>
      <c r="X31" s="112"/>
      <c r="Y31" s="107"/>
      <c r="Z31" s="107"/>
      <c r="AA31" s="107"/>
      <c r="AB31" s="107"/>
      <c r="AC31" s="107"/>
      <c r="AD31" s="107"/>
      <c r="AE31" s="110"/>
      <c r="AF31" s="107"/>
      <c r="AG31" s="118"/>
      <c r="AH31" s="58"/>
    </row>
    <row r="32" spans="1:34" s="59" customFormat="1" ht="15" customHeight="1" x14ac:dyDescent="0.2">
      <c r="A32" s="197">
        <v>2604</v>
      </c>
      <c r="B32" s="99" t="s">
        <v>381</v>
      </c>
      <c r="C32" s="98" t="s">
        <v>391</v>
      </c>
      <c r="D32" s="102">
        <v>30</v>
      </c>
      <c r="E32" s="119" t="s">
        <v>389</v>
      </c>
      <c r="F32" s="119" t="s">
        <v>382</v>
      </c>
      <c r="G32" s="100"/>
      <c r="H32" s="107" t="s">
        <v>56</v>
      </c>
      <c r="I32" s="107" t="s">
        <v>383</v>
      </c>
      <c r="J32" s="107" t="s">
        <v>386</v>
      </c>
      <c r="K32" s="107"/>
      <c r="L32" s="110"/>
      <c r="M32" s="107"/>
      <c r="N32" s="107"/>
      <c r="O32" s="107"/>
      <c r="P32" s="107"/>
      <c r="Q32" s="107"/>
      <c r="R32" s="107"/>
      <c r="S32" s="107"/>
      <c r="T32" s="107"/>
      <c r="U32" s="107"/>
      <c r="V32" s="112"/>
      <c r="W32" s="107"/>
      <c r="X32" s="112"/>
      <c r="Y32" s="107"/>
      <c r="Z32" s="107"/>
      <c r="AA32" s="107"/>
      <c r="AB32" s="107"/>
      <c r="AC32" s="107"/>
      <c r="AD32" s="107"/>
      <c r="AE32" s="110"/>
      <c r="AF32" s="107"/>
      <c r="AG32" s="118"/>
      <c r="AH32" s="58"/>
    </row>
    <row r="33" spans="1:34" s="59" customFormat="1" ht="15" customHeight="1" x14ac:dyDescent="0.2">
      <c r="A33" s="197">
        <v>1761</v>
      </c>
      <c r="B33" s="99" t="s">
        <v>204</v>
      </c>
      <c r="C33" s="98" t="s">
        <v>494</v>
      </c>
      <c r="D33" s="102">
        <v>31</v>
      </c>
      <c r="E33" s="119"/>
      <c r="F33" s="119" t="s">
        <v>382</v>
      </c>
      <c r="G33" s="100"/>
      <c r="H33" s="107" t="s">
        <v>491</v>
      </c>
      <c r="I33" s="107"/>
      <c r="J33" s="107"/>
      <c r="K33" s="107">
        <v>2025</v>
      </c>
      <c r="L33" s="110"/>
      <c r="M33" s="107"/>
      <c r="N33" s="107"/>
      <c r="O33" s="107"/>
      <c r="P33" s="107"/>
      <c r="Q33" s="107"/>
      <c r="R33" s="107"/>
      <c r="S33" s="107"/>
      <c r="T33" s="107"/>
      <c r="U33" s="107" t="s">
        <v>492</v>
      </c>
      <c r="V33" s="112"/>
      <c r="W33" s="107"/>
      <c r="X33" s="112"/>
      <c r="Y33" s="107"/>
      <c r="Z33" s="107"/>
      <c r="AA33" s="107"/>
      <c r="AB33" s="107"/>
      <c r="AC33" s="107"/>
      <c r="AD33" s="107"/>
      <c r="AE33" s="110"/>
      <c r="AF33" s="107"/>
      <c r="AG33" s="118"/>
      <c r="AH33" s="58"/>
    </row>
    <row r="34" spans="1:34" ht="15" customHeight="1" x14ac:dyDescent="0.2">
      <c r="A34" s="199">
        <v>1024</v>
      </c>
      <c r="B34" s="123" t="s">
        <v>204</v>
      </c>
      <c r="C34" s="124" t="s">
        <v>339</v>
      </c>
      <c r="D34" s="191" t="s">
        <v>340</v>
      </c>
      <c r="E34" s="125" t="s">
        <v>341</v>
      </c>
      <c r="F34" s="125" t="s">
        <v>379</v>
      </c>
      <c r="G34" s="126">
        <v>1024</v>
      </c>
      <c r="H34" s="126" t="s">
        <v>342</v>
      </c>
      <c r="I34" s="126" t="s">
        <v>343</v>
      </c>
      <c r="J34" s="126" t="s">
        <v>344</v>
      </c>
      <c r="K34" s="127">
        <v>2010</v>
      </c>
      <c r="L34" s="129" t="s">
        <v>209</v>
      </c>
      <c r="M34" s="129">
        <v>700</v>
      </c>
      <c r="N34" s="129">
        <v>700</v>
      </c>
      <c r="O34" s="129" t="s">
        <v>210</v>
      </c>
      <c r="P34" s="130">
        <f>N34/100*Q34</f>
        <v>630</v>
      </c>
      <c r="Q34" s="131">
        <v>90</v>
      </c>
      <c r="R34" s="130">
        <f>M34/(0.28*W34)</f>
        <v>35.714285714285708</v>
      </c>
      <c r="S34" s="130">
        <f t="shared" ref="S34:S41" si="6">(N34/100*95)-P34</f>
        <v>35</v>
      </c>
      <c r="T34" s="131">
        <f>P34/(0.28*W34)</f>
        <v>32.142857142857139</v>
      </c>
      <c r="U34" s="130">
        <v>200</v>
      </c>
      <c r="V34" s="130">
        <f t="shared" si="1"/>
        <v>160</v>
      </c>
      <c r="W34" s="130">
        <v>70</v>
      </c>
      <c r="X34" s="130">
        <f t="shared" si="0"/>
        <v>96</v>
      </c>
      <c r="Y34" s="132">
        <f t="shared" ref="Y34:Y41" si="7">W34/(V34/100)</f>
        <v>43.75</v>
      </c>
      <c r="Z34" s="132">
        <f>0.28*W34</f>
        <v>19.600000000000001</v>
      </c>
      <c r="AA34" s="132">
        <f t="shared" ref="AA34:AA41" si="8">Z34*72</f>
        <v>1411.2</v>
      </c>
      <c r="AB34" s="132">
        <f t="shared" ref="AB34:AB41" si="9">AA34+(Z34*12)</f>
        <v>1646.4</v>
      </c>
      <c r="AC34" s="132">
        <v>2023</v>
      </c>
      <c r="AD34" s="133" t="s">
        <v>211</v>
      </c>
      <c r="AE34" s="129">
        <v>1024</v>
      </c>
      <c r="AF34" s="124" t="s">
        <v>339</v>
      </c>
      <c r="AG34" s="134"/>
    </row>
    <row r="35" spans="1:34" ht="15" customHeight="1" x14ac:dyDescent="0.2">
      <c r="A35" s="199">
        <v>1000</v>
      </c>
      <c r="B35" s="123" t="s">
        <v>204</v>
      </c>
      <c r="C35" s="124" t="s">
        <v>345</v>
      </c>
      <c r="D35" s="191" t="s">
        <v>340</v>
      </c>
      <c r="E35" s="125" t="s">
        <v>346</v>
      </c>
      <c r="F35" s="125" t="s">
        <v>379</v>
      </c>
      <c r="G35" s="128" t="s">
        <v>347</v>
      </c>
      <c r="H35" s="128" t="s">
        <v>280</v>
      </c>
      <c r="I35" s="128" t="s">
        <v>348</v>
      </c>
      <c r="J35" s="128" t="s">
        <v>349</v>
      </c>
      <c r="K35" s="129">
        <v>2011</v>
      </c>
      <c r="L35" s="129" t="s">
        <v>209</v>
      </c>
      <c r="M35" s="129">
        <v>18666</v>
      </c>
      <c r="N35" s="129">
        <v>16666</v>
      </c>
      <c r="O35" s="129">
        <v>2000</v>
      </c>
      <c r="P35" s="130">
        <v>15300</v>
      </c>
      <c r="Q35" s="135">
        <f>SUM(P35/166)</f>
        <v>92.168674698795186</v>
      </c>
      <c r="R35" s="130">
        <f>M35/(0.31*W35)</f>
        <v>150.53225806451613</v>
      </c>
      <c r="S35" s="130">
        <f t="shared" si="6"/>
        <v>532.69999999999891</v>
      </c>
      <c r="T35" s="135">
        <f>(P35+O35)/(0.31*W35)</f>
        <v>139.51612903225808</v>
      </c>
      <c r="U35" s="130">
        <v>2500</v>
      </c>
      <c r="V35" s="130">
        <f t="shared" si="1"/>
        <v>2000</v>
      </c>
      <c r="W35" s="130">
        <v>400</v>
      </c>
      <c r="X35" s="130">
        <f t="shared" si="0"/>
        <v>1200</v>
      </c>
      <c r="Y35" s="132">
        <f t="shared" si="7"/>
        <v>20</v>
      </c>
      <c r="Z35" s="132">
        <f>0.31*W35</f>
        <v>124</v>
      </c>
      <c r="AA35" s="132">
        <f t="shared" si="8"/>
        <v>8928</v>
      </c>
      <c r="AB35" s="132">
        <f t="shared" si="9"/>
        <v>10416</v>
      </c>
      <c r="AC35" s="136">
        <v>2022</v>
      </c>
      <c r="AD35" s="133" t="s">
        <v>211</v>
      </c>
      <c r="AE35" s="129">
        <v>1000</v>
      </c>
      <c r="AF35" s="124" t="s">
        <v>345</v>
      </c>
      <c r="AG35" s="137"/>
    </row>
    <row r="36" spans="1:34" ht="15" customHeight="1" x14ac:dyDescent="0.2">
      <c r="A36" s="199">
        <v>1000</v>
      </c>
      <c r="B36" s="123" t="s">
        <v>204</v>
      </c>
      <c r="C36" s="124" t="s">
        <v>350</v>
      </c>
      <c r="D36" s="191" t="s">
        <v>340</v>
      </c>
      <c r="E36" s="125" t="s">
        <v>346</v>
      </c>
      <c r="F36" s="125" t="s">
        <v>379</v>
      </c>
      <c r="G36" s="128" t="s">
        <v>347</v>
      </c>
      <c r="H36" s="128" t="s">
        <v>280</v>
      </c>
      <c r="I36" s="128" t="s">
        <v>348</v>
      </c>
      <c r="J36" s="128" t="s">
        <v>351</v>
      </c>
      <c r="K36" s="129">
        <v>2011</v>
      </c>
      <c r="L36" s="129" t="s">
        <v>209</v>
      </c>
      <c r="M36" s="129">
        <v>18666</v>
      </c>
      <c r="N36" s="129">
        <v>16666</v>
      </c>
      <c r="O36" s="129">
        <v>2000</v>
      </c>
      <c r="P36" s="130">
        <v>15300</v>
      </c>
      <c r="Q36" s="135">
        <f>SUM(P36/166)</f>
        <v>92.168674698795186</v>
      </c>
      <c r="R36" s="130">
        <f>M36/(0.31*W36)</f>
        <v>150.53225806451613</v>
      </c>
      <c r="S36" s="130">
        <f t="shared" si="6"/>
        <v>532.69999999999891</v>
      </c>
      <c r="T36" s="135">
        <f>(P36+O36)/(0.31*W36)</f>
        <v>139.51612903225808</v>
      </c>
      <c r="U36" s="130">
        <v>2500</v>
      </c>
      <c r="V36" s="130">
        <f t="shared" si="1"/>
        <v>2000</v>
      </c>
      <c r="W36" s="130">
        <v>400</v>
      </c>
      <c r="X36" s="130">
        <f t="shared" si="0"/>
        <v>1200</v>
      </c>
      <c r="Y36" s="132">
        <f t="shared" si="7"/>
        <v>20</v>
      </c>
      <c r="Z36" s="132">
        <f>0.31*W36</f>
        <v>124</v>
      </c>
      <c r="AA36" s="132">
        <f t="shared" si="8"/>
        <v>8928</v>
      </c>
      <c r="AB36" s="132">
        <f t="shared" si="9"/>
        <v>10416</v>
      </c>
      <c r="AC36" s="136">
        <v>2022</v>
      </c>
      <c r="AD36" s="133" t="s">
        <v>211</v>
      </c>
      <c r="AE36" s="129">
        <v>1000</v>
      </c>
      <c r="AF36" s="124" t="s">
        <v>350</v>
      </c>
      <c r="AG36" s="137"/>
    </row>
    <row r="37" spans="1:34" ht="15" customHeight="1" x14ac:dyDescent="0.2">
      <c r="A37" s="199">
        <v>1000</v>
      </c>
      <c r="B37" s="123" t="s">
        <v>204</v>
      </c>
      <c r="C37" s="124" t="s">
        <v>352</v>
      </c>
      <c r="D37" s="191" t="s">
        <v>340</v>
      </c>
      <c r="E37" s="125" t="s">
        <v>346</v>
      </c>
      <c r="F37" s="125" t="s">
        <v>379</v>
      </c>
      <c r="G37" s="128" t="s">
        <v>347</v>
      </c>
      <c r="H37" s="128" t="s">
        <v>280</v>
      </c>
      <c r="I37" s="128" t="s">
        <v>348</v>
      </c>
      <c r="J37" s="128" t="s">
        <v>353</v>
      </c>
      <c r="K37" s="129">
        <v>2011</v>
      </c>
      <c r="L37" s="129" t="s">
        <v>209</v>
      </c>
      <c r="M37" s="129">
        <v>18666</v>
      </c>
      <c r="N37" s="129">
        <v>16666</v>
      </c>
      <c r="O37" s="129">
        <v>2000</v>
      </c>
      <c r="P37" s="130">
        <v>15300</v>
      </c>
      <c r="Q37" s="135">
        <f>SUM(P37/166)</f>
        <v>92.168674698795186</v>
      </c>
      <c r="R37" s="130">
        <f>M37/(0.31*W37)</f>
        <v>150.53225806451613</v>
      </c>
      <c r="S37" s="130">
        <f t="shared" si="6"/>
        <v>532.69999999999891</v>
      </c>
      <c r="T37" s="135">
        <f>(P37+O37)/(0.31*W37)</f>
        <v>139.51612903225808</v>
      </c>
      <c r="U37" s="130">
        <v>2500</v>
      </c>
      <c r="V37" s="130">
        <f t="shared" si="1"/>
        <v>2000</v>
      </c>
      <c r="W37" s="130">
        <v>400</v>
      </c>
      <c r="X37" s="130">
        <f t="shared" si="0"/>
        <v>1200</v>
      </c>
      <c r="Y37" s="132">
        <f t="shared" si="7"/>
        <v>20</v>
      </c>
      <c r="Z37" s="132">
        <f>0.31*W37</f>
        <v>124</v>
      </c>
      <c r="AA37" s="132">
        <f t="shared" si="8"/>
        <v>8928</v>
      </c>
      <c r="AB37" s="132">
        <f t="shared" si="9"/>
        <v>10416</v>
      </c>
      <c r="AC37" s="132">
        <v>2022</v>
      </c>
      <c r="AD37" s="133" t="s">
        <v>211</v>
      </c>
      <c r="AE37" s="129">
        <v>1000</v>
      </c>
      <c r="AF37" s="124" t="s">
        <v>352</v>
      </c>
      <c r="AG37" s="137"/>
      <c r="AH37" s="47"/>
    </row>
    <row r="38" spans="1:34" ht="15" customHeight="1" x14ac:dyDescent="0.2">
      <c r="A38" s="199">
        <v>1183</v>
      </c>
      <c r="B38" s="123" t="s">
        <v>204</v>
      </c>
      <c r="C38" s="128" t="s">
        <v>354</v>
      </c>
      <c r="D38" s="191" t="s">
        <v>340</v>
      </c>
      <c r="E38" s="125"/>
      <c r="F38" s="125" t="s">
        <v>379</v>
      </c>
      <c r="G38" s="128">
        <v>1183</v>
      </c>
      <c r="H38" s="128" t="s">
        <v>355</v>
      </c>
      <c r="I38" s="128"/>
      <c r="J38" s="128"/>
      <c r="K38" s="129"/>
      <c r="L38" s="129" t="s">
        <v>209</v>
      </c>
      <c r="M38" s="129">
        <v>500</v>
      </c>
      <c r="N38" s="129">
        <v>500</v>
      </c>
      <c r="O38" s="129" t="s">
        <v>210</v>
      </c>
      <c r="P38" s="130">
        <f>SUM(N38/100*Q38)</f>
        <v>100</v>
      </c>
      <c r="Q38" s="138">
        <v>20</v>
      </c>
      <c r="R38" s="130">
        <f>M38/(0.26*W38)</f>
        <v>192.30769230769229</v>
      </c>
      <c r="S38" s="130">
        <f t="shared" si="6"/>
        <v>375</v>
      </c>
      <c r="T38" s="131">
        <f>P38/(0.26*W38)</f>
        <v>38.46153846153846</v>
      </c>
      <c r="U38" s="129">
        <v>40</v>
      </c>
      <c r="V38" s="130">
        <f t="shared" si="1"/>
        <v>32</v>
      </c>
      <c r="W38" s="130">
        <v>10</v>
      </c>
      <c r="X38" s="130">
        <f t="shared" si="0"/>
        <v>19.2</v>
      </c>
      <c r="Y38" s="132">
        <f t="shared" si="7"/>
        <v>31.25</v>
      </c>
      <c r="Z38" s="132">
        <f>0.26*W38</f>
        <v>2.6</v>
      </c>
      <c r="AA38" s="132">
        <f t="shared" si="8"/>
        <v>187.20000000000002</v>
      </c>
      <c r="AB38" s="132">
        <f t="shared" si="9"/>
        <v>218.40000000000003</v>
      </c>
      <c r="AC38" s="132"/>
      <c r="AD38" s="133"/>
      <c r="AE38" s="129">
        <v>1183</v>
      </c>
      <c r="AF38" s="128" t="s">
        <v>354</v>
      </c>
      <c r="AG38" s="139"/>
    </row>
    <row r="39" spans="1:34" ht="15" customHeight="1" x14ac:dyDescent="0.2">
      <c r="A39" s="199">
        <v>1186</v>
      </c>
      <c r="B39" s="123" t="s">
        <v>204</v>
      </c>
      <c r="C39" s="128" t="s">
        <v>354</v>
      </c>
      <c r="D39" s="191" t="s">
        <v>340</v>
      </c>
      <c r="E39" s="125"/>
      <c r="F39" s="125" t="s">
        <v>379</v>
      </c>
      <c r="G39" s="128">
        <v>1186</v>
      </c>
      <c r="H39" s="128" t="s">
        <v>355</v>
      </c>
      <c r="I39" s="128"/>
      <c r="J39" s="128"/>
      <c r="K39" s="129"/>
      <c r="L39" s="129" t="s">
        <v>209</v>
      </c>
      <c r="M39" s="129">
        <v>500</v>
      </c>
      <c r="N39" s="129">
        <v>500</v>
      </c>
      <c r="O39" s="129" t="s">
        <v>210</v>
      </c>
      <c r="P39" s="130">
        <f>SUM(N39/100*Q39)</f>
        <v>125</v>
      </c>
      <c r="Q39" s="138">
        <v>25</v>
      </c>
      <c r="R39" s="130">
        <f>M39/(0.26*W39)</f>
        <v>192.30769230769229</v>
      </c>
      <c r="S39" s="130">
        <f t="shared" si="6"/>
        <v>350</v>
      </c>
      <c r="T39" s="131">
        <f>P39/(0.26*W39)</f>
        <v>48.076923076923073</v>
      </c>
      <c r="U39" s="129">
        <v>40</v>
      </c>
      <c r="V39" s="130">
        <f t="shared" si="1"/>
        <v>32</v>
      </c>
      <c r="W39" s="130">
        <v>10</v>
      </c>
      <c r="X39" s="130">
        <f t="shared" si="0"/>
        <v>19.2</v>
      </c>
      <c r="Y39" s="132">
        <f t="shared" si="7"/>
        <v>31.25</v>
      </c>
      <c r="Z39" s="132">
        <f>0.26*W39</f>
        <v>2.6</v>
      </c>
      <c r="AA39" s="132">
        <f t="shared" si="8"/>
        <v>187.20000000000002</v>
      </c>
      <c r="AB39" s="132">
        <f t="shared" si="9"/>
        <v>218.40000000000003</v>
      </c>
      <c r="AC39" s="132"/>
      <c r="AD39" s="133"/>
      <c r="AE39" s="129">
        <v>1186</v>
      </c>
      <c r="AF39" s="128" t="s">
        <v>354</v>
      </c>
      <c r="AG39" s="140"/>
      <c r="AH39" s="47"/>
    </row>
    <row r="40" spans="1:34" ht="15" customHeight="1" x14ac:dyDescent="0.2">
      <c r="A40" s="200">
        <v>1191</v>
      </c>
      <c r="B40" s="141" t="s">
        <v>204</v>
      </c>
      <c r="C40" s="142" t="s">
        <v>354</v>
      </c>
      <c r="D40" s="192" t="s">
        <v>340</v>
      </c>
      <c r="E40" s="143"/>
      <c r="F40" s="125" t="s">
        <v>379</v>
      </c>
      <c r="G40" s="142">
        <v>1191</v>
      </c>
      <c r="H40" s="142" t="s">
        <v>356</v>
      </c>
      <c r="I40" s="142"/>
      <c r="J40" s="142"/>
      <c r="K40" s="144"/>
      <c r="L40" s="144" t="s">
        <v>209</v>
      </c>
      <c r="M40" s="144">
        <v>500</v>
      </c>
      <c r="N40" s="144">
        <v>500</v>
      </c>
      <c r="O40" s="144" t="s">
        <v>210</v>
      </c>
      <c r="P40" s="145">
        <f>N40/100*Q40</f>
        <v>100</v>
      </c>
      <c r="Q40" s="146">
        <v>20</v>
      </c>
      <c r="R40" s="145">
        <f>M40/(0.26*W40)</f>
        <v>192.30769230769229</v>
      </c>
      <c r="S40" s="145">
        <f t="shared" si="6"/>
        <v>375</v>
      </c>
      <c r="T40" s="147">
        <f>P40/(0.26*W40)</f>
        <v>38.46153846153846</v>
      </c>
      <c r="U40" s="144">
        <v>40</v>
      </c>
      <c r="V40" s="145">
        <f t="shared" si="1"/>
        <v>32</v>
      </c>
      <c r="W40" s="145">
        <v>10</v>
      </c>
      <c r="X40" s="145">
        <f t="shared" si="0"/>
        <v>19.2</v>
      </c>
      <c r="Y40" s="148">
        <f t="shared" si="7"/>
        <v>31.25</v>
      </c>
      <c r="Z40" s="148">
        <f>0.26*W40</f>
        <v>2.6</v>
      </c>
      <c r="AA40" s="148">
        <f t="shared" si="8"/>
        <v>187.20000000000002</v>
      </c>
      <c r="AB40" s="148">
        <f t="shared" si="9"/>
        <v>218.40000000000003</v>
      </c>
      <c r="AC40" s="148">
        <v>2082015</v>
      </c>
      <c r="AD40" s="149"/>
      <c r="AE40" s="144">
        <v>1191</v>
      </c>
      <c r="AF40" s="142" t="s">
        <v>354</v>
      </c>
      <c r="AG40" s="150"/>
      <c r="AH40" s="47"/>
    </row>
    <row r="41" spans="1:34" ht="15" customHeight="1" x14ac:dyDescent="0.2">
      <c r="A41" s="199">
        <v>1500</v>
      </c>
      <c r="B41" s="123" t="s">
        <v>204</v>
      </c>
      <c r="C41" s="124" t="s">
        <v>357</v>
      </c>
      <c r="D41" s="191" t="s">
        <v>340</v>
      </c>
      <c r="E41" s="125" t="s">
        <v>358</v>
      </c>
      <c r="F41" s="125" t="s">
        <v>379</v>
      </c>
      <c r="G41" s="128" t="s">
        <v>359</v>
      </c>
      <c r="H41" s="128" t="s">
        <v>360</v>
      </c>
      <c r="I41" s="128" t="s">
        <v>361</v>
      </c>
      <c r="J41" s="128" t="s">
        <v>362</v>
      </c>
      <c r="K41" s="129">
        <v>2013</v>
      </c>
      <c r="L41" s="129" t="s">
        <v>209</v>
      </c>
      <c r="M41" s="129">
        <v>31000</v>
      </c>
      <c r="N41" s="129">
        <v>30000</v>
      </c>
      <c r="O41" s="129">
        <v>1000</v>
      </c>
      <c r="P41" s="130">
        <f>N41/100*Q41</f>
        <v>27000</v>
      </c>
      <c r="Q41" s="131">
        <v>90</v>
      </c>
      <c r="R41" s="130">
        <f>M41/(0.31*W41)</f>
        <v>259.74025974025977</v>
      </c>
      <c r="S41" s="130">
        <f t="shared" si="6"/>
        <v>1500</v>
      </c>
      <c r="T41" s="131">
        <f>(P41+O41)/(0.31*W41)</f>
        <v>234.60410557184753</v>
      </c>
      <c r="U41" s="130">
        <v>1856</v>
      </c>
      <c r="V41" s="130">
        <f t="shared" si="1"/>
        <v>1484.8</v>
      </c>
      <c r="W41" s="130">
        <v>385</v>
      </c>
      <c r="X41" s="130">
        <f t="shared" si="0"/>
        <v>890.88</v>
      </c>
      <c r="Y41" s="132">
        <f t="shared" si="7"/>
        <v>25.929418103448278</v>
      </c>
      <c r="Z41" s="132">
        <f>0.31*W41</f>
        <v>119.35</v>
      </c>
      <c r="AA41" s="132">
        <f t="shared" si="8"/>
        <v>8593.1999999999989</v>
      </c>
      <c r="AB41" s="132">
        <f t="shared" si="9"/>
        <v>10025.399999999998</v>
      </c>
      <c r="AC41" s="132">
        <v>2022</v>
      </c>
      <c r="AD41" s="133" t="s">
        <v>211</v>
      </c>
      <c r="AE41" s="129">
        <v>1500</v>
      </c>
      <c r="AF41" s="124" t="s">
        <v>357</v>
      </c>
      <c r="AG41" s="140"/>
      <c r="AH41" s="47"/>
    </row>
    <row r="42" spans="1:34" x14ac:dyDescent="0.2">
      <c r="A42" s="201">
        <v>77695</v>
      </c>
      <c r="B42" s="153" t="s">
        <v>212</v>
      </c>
      <c r="C42" s="154" t="s">
        <v>363</v>
      </c>
      <c r="D42" s="193" t="s">
        <v>340</v>
      </c>
      <c r="E42" s="155"/>
      <c r="F42" s="156" t="s">
        <v>380</v>
      </c>
      <c r="G42" s="154"/>
      <c r="H42" s="154"/>
      <c r="I42" s="154"/>
      <c r="J42" s="154"/>
      <c r="K42" s="157"/>
      <c r="L42" s="157"/>
      <c r="M42" s="157"/>
      <c r="N42" s="157"/>
      <c r="O42" s="157"/>
      <c r="P42" s="158"/>
      <c r="Q42" s="159"/>
      <c r="R42" s="158"/>
      <c r="S42" s="158"/>
      <c r="T42" s="160"/>
      <c r="U42" s="157"/>
      <c r="V42" s="158"/>
      <c r="W42" s="158"/>
      <c r="X42" s="158"/>
      <c r="Y42" s="161"/>
      <c r="Z42" s="161"/>
      <c r="AA42" s="161"/>
      <c r="AB42" s="161"/>
      <c r="AC42" s="161"/>
      <c r="AD42" s="162"/>
      <c r="AE42" s="157"/>
      <c r="AF42" s="154"/>
      <c r="AG42" s="163"/>
      <c r="AH42" s="47"/>
    </row>
    <row r="43" spans="1:34" x14ac:dyDescent="0.2">
      <c r="A43" s="202">
        <v>4367</v>
      </c>
      <c r="B43" s="164" t="s">
        <v>390</v>
      </c>
      <c r="C43" s="165">
        <v>4367</v>
      </c>
      <c r="D43" s="194" t="s">
        <v>340</v>
      </c>
      <c r="E43" s="155" t="s">
        <v>392</v>
      </c>
      <c r="F43" s="155" t="s">
        <v>393</v>
      </c>
      <c r="G43" s="165" t="s">
        <v>390</v>
      </c>
      <c r="H43" s="165" t="s">
        <v>394</v>
      </c>
      <c r="I43" s="165" t="s">
        <v>395</v>
      </c>
      <c r="J43" s="165" t="s">
        <v>396</v>
      </c>
      <c r="K43" s="166"/>
      <c r="L43" s="166"/>
      <c r="M43" s="166"/>
      <c r="N43" s="166"/>
      <c r="O43" s="166"/>
      <c r="P43" s="167"/>
      <c r="Q43" s="168"/>
      <c r="R43" s="167">
        <v>154</v>
      </c>
      <c r="S43" s="167"/>
      <c r="T43" s="169"/>
      <c r="U43" s="166"/>
      <c r="V43" s="167"/>
      <c r="W43" s="167"/>
      <c r="X43" s="167"/>
      <c r="Y43" s="170"/>
      <c r="Z43" s="170"/>
      <c r="AA43" s="170"/>
      <c r="AB43" s="170"/>
      <c r="AC43" s="170"/>
      <c r="AD43" s="171"/>
      <c r="AE43" s="166"/>
      <c r="AF43" s="165"/>
      <c r="AG43" s="172"/>
      <c r="AH43" s="47"/>
    </row>
    <row r="44" spans="1:34" x14ac:dyDescent="0.2">
      <c r="A44" s="202">
        <v>4367</v>
      </c>
      <c r="B44" s="164" t="s">
        <v>390</v>
      </c>
      <c r="C44" s="165">
        <v>4367</v>
      </c>
      <c r="D44" s="194" t="s">
        <v>340</v>
      </c>
      <c r="E44" s="155" t="s">
        <v>397</v>
      </c>
      <c r="F44" s="155" t="s">
        <v>393</v>
      </c>
      <c r="G44" s="165" t="s">
        <v>390</v>
      </c>
      <c r="H44" s="165" t="s">
        <v>394</v>
      </c>
      <c r="I44" s="165" t="s">
        <v>395</v>
      </c>
      <c r="J44" s="165" t="s">
        <v>402</v>
      </c>
      <c r="K44" s="166"/>
      <c r="L44" s="166"/>
      <c r="M44" s="166"/>
      <c r="N44" s="166"/>
      <c r="O44" s="166"/>
      <c r="P44" s="167"/>
      <c r="Q44" s="168"/>
      <c r="R44" s="167">
        <v>150</v>
      </c>
      <c r="S44" s="167"/>
      <c r="T44" s="169"/>
      <c r="U44" s="166"/>
      <c r="V44" s="167"/>
      <c r="W44" s="167"/>
      <c r="X44" s="167"/>
      <c r="Y44" s="170"/>
      <c r="Z44" s="170"/>
      <c r="AA44" s="170"/>
      <c r="AB44" s="170"/>
      <c r="AC44" s="170"/>
      <c r="AD44" s="171"/>
      <c r="AE44" s="166"/>
      <c r="AF44" s="165"/>
      <c r="AG44" s="172"/>
      <c r="AH44" s="47"/>
    </row>
    <row r="45" spans="1:34" x14ac:dyDescent="0.2">
      <c r="A45" s="202">
        <v>4367</v>
      </c>
      <c r="B45" s="164" t="s">
        <v>390</v>
      </c>
      <c r="C45" s="165">
        <v>4367</v>
      </c>
      <c r="D45" s="194" t="s">
        <v>340</v>
      </c>
      <c r="E45" s="155" t="s">
        <v>398</v>
      </c>
      <c r="F45" s="155" t="s">
        <v>393</v>
      </c>
      <c r="G45" s="165" t="s">
        <v>390</v>
      </c>
      <c r="H45" s="165" t="s">
        <v>394</v>
      </c>
      <c r="I45" s="165" t="s">
        <v>395</v>
      </c>
      <c r="J45" s="165" t="s">
        <v>403</v>
      </c>
      <c r="K45" s="166"/>
      <c r="L45" s="166"/>
      <c r="M45" s="166"/>
      <c r="N45" s="166"/>
      <c r="O45" s="166"/>
      <c r="P45" s="167"/>
      <c r="Q45" s="168"/>
      <c r="R45" s="167">
        <v>148</v>
      </c>
      <c r="S45" s="167"/>
      <c r="T45" s="169"/>
      <c r="U45" s="166"/>
      <c r="V45" s="167"/>
      <c r="W45" s="167"/>
      <c r="X45" s="167"/>
      <c r="Y45" s="170"/>
      <c r="Z45" s="170"/>
      <c r="AA45" s="170"/>
      <c r="AB45" s="170"/>
      <c r="AC45" s="170"/>
      <c r="AD45" s="171"/>
      <c r="AE45" s="166"/>
      <c r="AF45" s="165"/>
      <c r="AG45" s="172"/>
      <c r="AH45" s="47"/>
    </row>
    <row r="46" spans="1:34" x14ac:dyDescent="0.2">
      <c r="A46" s="202">
        <v>4367</v>
      </c>
      <c r="B46" s="164" t="s">
        <v>390</v>
      </c>
      <c r="C46" s="165">
        <v>4367</v>
      </c>
      <c r="D46" s="194" t="s">
        <v>340</v>
      </c>
      <c r="E46" s="155" t="s">
        <v>399</v>
      </c>
      <c r="F46" s="155" t="s">
        <v>393</v>
      </c>
      <c r="G46" s="165" t="s">
        <v>390</v>
      </c>
      <c r="H46" s="165" t="s">
        <v>91</v>
      </c>
      <c r="I46" s="165" t="s">
        <v>400</v>
      </c>
      <c r="J46" s="165" t="s">
        <v>401</v>
      </c>
      <c r="K46" s="166"/>
      <c r="L46" s="166"/>
      <c r="M46" s="166"/>
      <c r="N46" s="166"/>
      <c r="O46" s="166"/>
      <c r="P46" s="167"/>
      <c r="Q46" s="168"/>
      <c r="R46" s="167">
        <v>149</v>
      </c>
      <c r="S46" s="167"/>
      <c r="T46" s="169"/>
      <c r="U46" s="166"/>
      <c r="V46" s="167"/>
      <c r="W46" s="167"/>
      <c r="X46" s="167"/>
      <c r="Y46" s="170"/>
      <c r="Z46" s="170"/>
      <c r="AA46" s="170"/>
      <c r="AB46" s="170"/>
      <c r="AC46" s="170"/>
      <c r="AD46" s="171"/>
      <c r="AE46" s="166"/>
      <c r="AF46" s="165"/>
      <c r="AG46" s="172"/>
      <c r="AH46" s="47"/>
    </row>
    <row r="47" spans="1:34" x14ac:dyDescent="0.2">
      <c r="A47" s="202">
        <v>4367</v>
      </c>
      <c r="B47" s="164" t="s">
        <v>390</v>
      </c>
      <c r="C47" s="165" t="s">
        <v>404</v>
      </c>
      <c r="D47" s="194" t="s">
        <v>340</v>
      </c>
      <c r="E47" s="155" t="s">
        <v>405</v>
      </c>
      <c r="F47" s="155" t="s">
        <v>393</v>
      </c>
      <c r="G47" s="165" t="s">
        <v>390</v>
      </c>
      <c r="H47" s="165" t="s">
        <v>91</v>
      </c>
      <c r="I47" s="165" t="s">
        <v>407</v>
      </c>
      <c r="J47" s="165" t="s">
        <v>408</v>
      </c>
      <c r="K47" s="166"/>
      <c r="L47" s="166"/>
      <c r="M47" s="166"/>
      <c r="N47" s="166"/>
      <c r="O47" s="166"/>
      <c r="P47" s="167"/>
      <c r="Q47" s="168"/>
      <c r="R47" s="167"/>
      <c r="S47" s="167"/>
      <c r="T47" s="169"/>
      <c r="U47" s="166"/>
      <c r="V47" s="167"/>
      <c r="W47" s="167"/>
      <c r="X47" s="167"/>
      <c r="Y47" s="170"/>
      <c r="Z47" s="170"/>
      <c r="AA47" s="170"/>
      <c r="AB47" s="170"/>
      <c r="AC47" s="170"/>
      <c r="AD47" s="171"/>
      <c r="AE47" s="166"/>
      <c r="AF47" s="165"/>
      <c r="AG47" s="172"/>
      <c r="AH47" s="47"/>
    </row>
    <row r="48" spans="1:34" x14ac:dyDescent="0.2">
      <c r="A48" s="202">
        <v>4367</v>
      </c>
      <c r="B48" s="164" t="s">
        <v>390</v>
      </c>
      <c r="C48" s="165" t="s">
        <v>404</v>
      </c>
      <c r="D48" s="194" t="s">
        <v>340</v>
      </c>
      <c r="E48" s="155" t="s">
        <v>406</v>
      </c>
      <c r="F48" s="155" t="s">
        <v>393</v>
      </c>
      <c r="G48" s="165" t="s">
        <v>390</v>
      </c>
      <c r="H48" s="165" t="s">
        <v>91</v>
      </c>
      <c r="I48" s="165" t="s">
        <v>407</v>
      </c>
      <c r="J48" s="165" t="s">
        <v>409</v>
      </c>
      <c r="K48" s="166"/>
      <c r="L48" s="166"/>
      <c r="M48" s="166"/>
      <c r="N48" s="166"/>
      <c r="O48" s="166"/>
      <c r="P48" s="167"/>
      <c r="Q48" s="168"/>
      <c r="R48" s="167"/>
      <c r="S48" s="167"/>
      <c r="T48" s="169"/>
      <c r="U48" s="166"/>
      <c r="V48" s="167"/>
      <c r="W48" s="167"/>
      <c r="X48" s="167"/>
      <c r="Y48" s="170"/>
      <c r="Z48" s="170"/>
      <c r="AA48" s="170"/>
      <c r="AB48" s="170"/>
      <c r="AC48" s="170"/>
      <c r="AD48" s="171"/>
      <c r="AE48" s="166"/>
      <c r="AF48" s="165"/>
      <c r="AG48" s="172"/>
      <c r="AH48" s="47"/>
    </row>
    <row r="49" spans="33:35" x14ac:dyDescent="0.2">
      <c r="AG49" s="64"/>
      <c r="AH49" s="47"/>
    </row>
    <row r="50" spans="33:35" x14ac:dyDescent="0.2">
      <c r="AG50" s="64"/>
      <c r="AH50" s="47"/>
    </row>
    <row r="51" spans="33:35" x14ac:dyDescent="0.2">
      <c r="AG51" s="64"/>
      <c r="AH51" s="47"/>
    </row>
    <row r="52" spans="33:35" x14ac:dyDescent="0.2">
      <c r="AG52" s="64"/>
      <c r="AH52" s="47"/>
    </row>
    <row r="53" spans="33:35" x14ac:dyDescent="0.2">
      <c r="AG53" s="64"/>
      <c r="AH53" s="47"/>
    </row>
    <row r="54" spans="33:35" x14ac:dyDescent="0.2">
      <c r="AG54" s="64"/>
      <c r="AH54" s="47"/>
    </row>
    <row r="55" spans="33:35" x14ac:dyDescent="0.2">
      <c r="AG55" s="64"/>
      <c r="AH55" s="47"/>
    </row>
    <row r="56" spans="33:35" x14ac:dyDescent="0.2">
      <c r="AG56" s="64"/>
      <c r="AH56" s="47"/>
    </row>
    <row r="57" spans="33:35" x14ac:dyDescent="0.2">
      <c r="AG57" s="64"/>
      <c r="AH57" s="47"/>
    </row>
    <row r="58" spans="33:35" x14ac:dyDescent="0.2">
      <c r="AG58" s="64"/>
      <c r="AH58" s="47"/>
    </row>
    <row r="59" spans="33:35" x14ac:dyDescent="0.2">
      <c r="AG59" s="64"/>
      <c r="AH59" s="47"/>
      <c r="AI59" s="52" t="s">
        <v>364</v>
      </c>
    </row>
  </sheetData>
  <autoFilter ref="A2:AG48" xr:uid="{E9014FD3-92DA-4FB1-8FEE-53AC9CE37D57}">
    <sortState xmlns:xlrd2="http://schemas.microsoft.com/office/spreadsheetml/2017/richdata2" ref="A3:AG41">
      <sortCondition ref="D2:D25"/>
    </sortState>
  </autoFilter>
  <mergeCells count="1">
    <mergeCell ref="A1:AG1"/>
  </mergeCells>
  <phoneticPr fontId="26" type="noConversion"/>
  <printOptions horizontalCentered="1" gridLines="1"/>
  <pageMargins left="0.25" right="0.25" top="0.75" bottom="0.75" header="0.3" footer="0.3"/>
  <pageSetup paperSize="8" scale="53" fitToHeight="2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0E04-30AA-4B28-84C8-FFA8E393D675}">
  <dimension ref="A1:J40"/>
  <sheetViews>
    <sheetView workbookViewId="0">
      <selection activeCell="I36" sqref="I36"/>
    </sheetView>
  </sheetViews>
  <sheetFormatPr defaultColWidth="11.42578125" defaultRowHeight="12.75" x14ac:dyDescent="0.2"/>
  <cols>
    <col min="1" max="1" width="8.85546875" style="90" bestFit="1" customWidth="1"/>
    <col min="2" max="2" width="19.5703125" style="90" bestFit="1" customWidth="1"/>
    <col min="3" max="3" width="6.28515625" style="90" customWidth="1"/>
    <col min="4" max="4" width="8.42578125" style="90" bestFit="1" customWidth="1"/>
    <col min="5" max="5" width="22.7109375" style="90" bestFit="1" customWidth="1"/>
    <col min="6" max="6" width="16.28515625" style="90" bestFit="1" customWidth="1"/>
    <col min="7" max="16384" width="11.42578125" style="90"/>
  </cols>
  <sheetData>
    <row r="1" spans="1:10" s="81" customFormat="1" ht="23.25" customHeight="1" x14ac:dyDescent="0.2">
      <c r="A1" s="341" t="s">
        <v>365</v>
      </c>
      <c r="B1" s="342"/>
      <c r="C1" s="342"/>
      <c r="D1" s="342"/>
      <c r="E1" s="342"/>
      <c r="F1" s="342"/>
      <c r="G1" s="342"/>
      <c r="H1" s="342"/>
      <c r="I1" s="342"/>
      <c r="J1" s="343"/>
    </row>
    <row r="2" spans="1:10" s="85" customFormat="1" ht="18.75" customHeight="1" x14ac:dyDescent="0.2">
      <c r="A2" s="82" t="s">
        <v>366</v>
      </c>
      <c r="B2" s="83" t="s">
        <v>177</v>
      </c>
      <c r="C2" s="83" t="s">
        <v>178</v>
      </c>
      <c r="D2" s="83" t="s">
        <v>367</v>
      </c>
      <c r="E2" s="83" t="s">
        <v>368</v>
      </c>
      <c r="F2" s="83" t="s">
        <v>180</v>
      </c>
      <c r="G2" s="83" t="s">
        <v>193</v>
      </c>
      <c r="H2" s="83" t="s">
        <v>369</v>
      </c>
      <c r="I2" s="83" t="s">
        <v>370</v>
      </c>
      <c r="J2" s="84" t="s">
        <v>371</v>
      </c>
    </row>
    <row r="3" spans="1:10" x14ac:dyDescent="0.2">
      <c r="A3" s="86"/>
      <c r="B3" s="45"/>
      <c r="C3" s="87"/>
      <c r="D3" s="45"/>
      <c r="E3" s="45"/>
      <c r="F3" s="45"/>
      <c r="G3" s="88"/>
      <c r="H3" s="88"/>
      <c r="I3" s="45"/>
      <c r="J3" s="89"/>
    </row>
    <row r="4" spans="1:10" x14ac:dyDescent="0.2">
      <c r="A4" s="46">
        <f>[1]Generatoren!A4</f>
        <v>5</v>
      </c>
      <c r="B4" s="52" t="str">
        <f>[1]Generatoren!B4</f>
        <v>mob. Zeppelin MA</v>
      </c>
      <c r="C4" s="55" t="str">
        <f>[1]Generatoren!C4</f>
        <v>4.1</v>
      </c>
      <c r="D4" s="48">
        <f>[1]Generatoren!D4</f>
        <v>45546</v>
      </c>
      <c r="E4" s="47" t="str">
        <f>[1]Generatoren!E4</f>
        <v>mobil</v>
      </c>
      <c r="F4" s="47" t="str">
        <f>[1]Generatoren!F4</f>
        <v>Cat/Zeppelin</v>
      </c>
      <c r="G4" s="49">
        <f>[1]Generatoren!S4</f>
        <v>500</v>
      </c>
      <c r="H4" s="50">
        <f>[1]Generatoren!T4</f>
        <v>400</v>
      </c>
      <c r="I4" s="50">
        <f>[1]Generatoren!U4</f>
        <v>133</v>
      </c>
      <c r="J4" s="91">
        <f>[1]Generatoren!W4</f>
        <v>33.25</v>
      </c>
    </row>
    <row r="5" spans="1:10" x14ac:dyDescent="0.2">
      <c r="A5" s="46">
        <f>[1]Generatoren!A5</f>
        <v>1000</v>
      </c>
      <c r="B5" s="52" t="str">
        <f>[1]Generatoren!B5</f>
        <v>MCC 11</v>
      </c>
      <c r="C5" s="55" t="str">
        <f>[1]Generatoren!C5</f>
        <v>x</v>
      </c>
      <c r="D5" s="48">
        <f>[1]Generatoren!D5</f>
        <v>45588</v>
      </c>
      <c r="E5" s="47" t="str">
        <f>[1]Generatoren!E5</f>
        <v>MCC</v>
      </c>
      <c r="F5" s="47" t="str">
        <f>[1]Generatoren!F5</f>
        <v>MTU/Marelli</v>
      </c>
      <c r="G5" s="49">
        <f>[1]Generatoren!S5</f>
        <v>2500</v>
      </c>
      <c r="H5" s="50">
        <f>[1]Generatoren!T5</f>
        <v>2000</v>
      </c>
      <c r="I5" s="50">
        <f>[1]Generatoren!U5</f>
        <v>400</v>
      </c>
      <c r="J5" s="91">
        <f>[1]Generatoren!W5</f>
        <v>20</v>
      </c>
    </row>
    <row r="6" spans="1:10" x14ac:dyDescent="0.2">
      <c r="A6" s="46">
        <f>[1]Generatoren!A6</f>
        <v>1000</v>
      </c>
      <c r="B6" s="52" t="str">
        <f>[1]Generatoren!B6</f>
        <v>MCC 12</v>
      </c>
      <c r="C6" s="55" t="str">
        <f>[1]Generatoren!C6</f>
        <v>x</v>
      </c>
      <c r="D6" s="48">
        <f>[1]Generatoren!D6</f>
        <v>45588</v>
      </c>
      <c r="E6" s="47" t="str">
        <f>[1]Generatoren!E6</f>
        <v>MCC</v>
      </c>
      <c r="F6" s="47" t="str">
        <f>[1]Generatoren!F6</f>
        <v>MTU/Marelli</v>
      </c>
      <c r="G6" s="49">
        <f>[1]Generatoren!S6</f>
        <v>2500</v>
      </c>
      <c r="H6" s="50">
        <f>[1]Generatoren!T6</f>
        <v>2000</v>
      </c>
      <c r="I6" s="50">
        <f>[1]Generatoren!U6</f>
        <v>400</v>
      </c>
      <c r="J6" s="91">
        <f>[1]Generatoren!W6</f>
        <v>20</v>
      </c>
    </row>
    <row r="7" spans="1:10" x14ac:dyDescent="0.2">
      <c r="A7" s="46">
        <f>[1]Generatoren!A7</f>
        <v>1000</v>
      </c>
      <c r="B7" s="52" t="str">
        <f>[1]Generatoren!B7</f>
        <v>MCC 13</v>
      </c>
      <c r="C7" s="55" t="str">
        <f>[1]Generatoren!C7</f>
        <v>x</v>
      </c>
      <c r="D7" s="48">
        <f>[1]Generatoren!D7</f>
        <v>45588</v>
      </c>
      <c r="E7" s="47" t="str">
        <f>[1]Generatoren!E7</f>
        <v>MCC</v>
      </c>
      <c r="F7" s="47" t="str">
        <f>[1]Generatoren!F7</f>
        <v>MTU/Marelli</v>
      </c>
      <c r="G7" s="49">
        <f>[1]Generatoren!S7</f>
        <v>2500</v>
      </c>
      <c r="H7" s="50">
        <f>[1]Generatoren!T7</f>
        <v>2000</v>
      </c>
      <c r="I7" s="50">
        <f>[1]Generatoren!U7</f>
        <v>400</v>
      </c>
      <c r="J7" s="91">
        <f>[1]Generatoren!W7</f>
        <v>20</v>
      </c>
    </row>
    <row r="8" spans="1:10" x14ac:dyDescent="0.2">
      <c r="A8" s="46">
        <f>[1]Generatoren!A8</f>
        <v>1024</v>
      </c>
      <c r="B8" s="52" t="str">
        <f>[1]Generatoren!B8</f>
        <v>Bushalte</v>
      </c>
      <c r="C8" s="55" t="str">
        <f>[1]Generatoren!C8</f>
        <v>5.1</v>
      </c>
      <c r="D8" s="48">
        <f>[1]Generatoren!D8</f>
        <v>45567</v>
      </c>
      <c r="E8" s="47">
        <f>[1]Generatoren!E8</f>
        <v>1024</v>
      </c>
      <c r="F8" s="47" t="str">
        <f>[1]Generatoren!F8</f>
        <v>WA</v>
      </c>
      <c r="G8" s="49">
        <f>[1]Generatoren!S8</f>
        <v>200</v>
      </c>
      <c r="H8" s="50">
        <f>[1]Generatoren!T8</f>
        <v>160</v>
      </c>
      <c r="I8" s="50">
        <f>[1]Generatoren!U8</f>
        <v>70</v>
      </c>
      <c r="J8" s="91">
        <f>[1]Generatoren!W8</f>
        <v>43.75</v>
      </c>
    </row>
    <row r="9" spans="1:10" x14ac:dyDescent="0.2">
      <c r="A9" s="46">
        <f>[1]Generatoren!A9</f>
        <v>1027</v>
      </c>
      <c r="B9" s="52" t="str">
        <f>[1]Generatoren!B9</f>
        <v>Container Feuerwehr</v>
      </c>
      <c r="C9" s="55" t="str">
        <f>[1]Generatoren!C9</f>
        <v>18.1</v>
      </c>
      <c r="D9" s="48">
        <f>[1]Generatoren!D9</f>
        <v>45567</v>
      </c>
      <c r="E9" s="47" t="str">
        <f>[1]Generatoren!E9</f>
        <v>1001,1002,1627</v>
      </c>
      <c r="F9" s="47" t="str">
        <f>[1]Generatoren!F9</f>
        <v>Iveco/Meccalte</v>
      </c>
      <c r="G9" s="49">
        <f>[1]Generatoren!S9</f>
        <v>105</v>
      </c>
      <c r="H9" s="50">
        <f>[1]Generatoren!T9</f>
        <v>84</v>
      </c>
      <c r="I9" s="50">
        <f>[1]Generatoren!U9</f>
        <v>60</v>
      </c>
      <c r="J9" s="91">
        <f>[1]Generatoren!W9</f>
        <v>71.428571428571431</v>
      </c>
    </row>
    <row r="10" spans="1:10" x14ac:dyDescent="0.2">
      <c r="A10" s="46">
        <f>[1]Generatoren!A11</f>
        <v>1050</v>
      </c>
      <c r="B10" s="52" t="str">
        <f>[1]Generatoren!B11</f>
        <v>Gen. Shop</v>
      </c>
      <c r="C10" s="55" t="str">
        <f>[1]Generatoren!C11</f>
        <v>8.1</v>
      </c>
      <c r="D10" s="48">
        <f>[1]Generatoren!D11</f>
        <v>45580</v>
      </c>
      <c r="E10" s="47">
        <f>[1]Generatoren!E11</f>
        <v>1050.1532</v>
      </c>
      <c r="F10" s="47" t="str">
        <f>[1]Generatoren!F11</f>
        <v>DB/Leroy-Somer</v>
      </c>
      <c r="G10" s="49">
        <f>[1]Generatoren!S11</f>
        <v>310</v>
      </c>
      <c r="H10" s="50">
        <f>[1]Generatoren!T11</f>
        <v>248</v>
      </c>
      <c r="I10" s="50">
        <f>[1]Generatoren!U11</f>
        <v>35</v>
      </c>
      <c r="J10" s="91">
        <f>[1]Generatoren!W11</f>
        <v>14.112903225806452</v>
      </c>
    </row>
    <row r="11" spans="1:10" x14ac:dyDescent="0.2">
      <c r="A11" s="46">
        <f>[1]Generatoren!A12</f>
        <v>1059</v>
      </c>
      <c r="B11" s="52" t="str">
        <f>[1]Generatoren!B12</f>
        <v>EOC</v>
      </c>
      <c r="C11" s="55" t="str">
        <f>[1]Generatoren!C12</f>
        <v>x</v>
      </c>
      <c r="D11" s="48">
        <f>[1]Generatoren!D12</f>
        <v>45594</v>
      </c>
      <c r="E11" s="47" t="str">
        <f>[1]Generatoren!E12</f>
        <v>1059 EOC</v>
      </c>
      <c r="F11" s="47" t="str">
        <f>[1]Generatoren!F12</f>
        <v>FPT</v>
      </c>
      <c r="G11" s="49">
        <f>[1]Generatoren!S12</f>
        <v>40</v>
      </c>
      <c r="H11" s="50">
        <f>[1]Generatoren!T12</f>
        <v>32</v>
      </c>
      <c r="I11" s="50">
        <f>[1]Generatoren!U12</f>
        <v>16</v>
      </c>
      <c r="J11" s="91">
        <f>[1]Generatoren!W12</f>
        <v>50</v>
      </c>
    </row>
    <row r="12" spans="1:10" x14ac:dyDescent="0.2">
      <c r="A12" s="46">
        <f>[1]Generatoren!A13</f>
        <v>1060</v>
      </c>
      <c r="B12" s="52" t="str">
        <f>[1]Generatoren!B13</f>
        <v>Flugleitung</v>
      </c>
      <c r="C12" s="55" t="str">
        <f>[1]Generatoren!C13</f>
        <v>1.1</v>
      </c>
      <c r="D12" s="48">
        <f>[1]Generatoren!D13</f>
        <v>45572</v>
      </c>
      <c r="E12" s="47" t="str">
        <f>[1]Generatoren!E13</f>
        <v>1060 Flugleitung</v>
      </c>
      <c r="F12" s="47">
        <f>[1]Generatoren!F13</f>
        <v>0</v>
      </c>
      <c r="G12" s="49">
        <f>[1]Generatoren!S13</f>
        <v>60</v>
      </c>
      <c r="H12" s="50">
        <f>[1]Generatoren!T13</f>
        <v>48</v>
      </c>
      <c r="I12" s="50">
        <f>[1]Generatoren!U13</f>
        <v>17</v>
      </c>
      <c r="J12" s="91">
        <f>[1]Generatoren!W13</f>
        <v>35.416666666666671</v>
      </c>
    </row>
    <row r="13" spans="1:10" x14ac:dyDescent="0.2">
      <c r="A13" s="46">
        <f>[1]Generatoren!A14</f>
        <v>1070</v>
      </c>
      <c r="B13" s="52" t="str">
        <f>[1]Generatoren!B14</f>
        <v>Nord Cont. B.</v>
      </c>
      <c r="C13" s="55" t="str">
        <f>[1]Generatoren!C14</f>
        <v>26.1</v>
      </c>
      <c r="D13" s="48">
        <f>[1]Generatoren!D14</f>
        <v>45593</v>
      </c>
      <c r="E13" s="47" t="str">
        <f>[1]Generatoren!E14</f>
        <v>kein Anschluss</v>
      </c>
      <c r="F13" s="47" t="str">
        <f>[1]Generatoren!F14</f>
        <v>Iveco/Marelli</v>
      </c>
      <c r="G13" s="49">
        <f>[1]Generatoren!S14</f>
        <v>60</v>
      </c>
      <c r="H13" s="50">
        <f>[1]Generatoren!T14</f>
        <v>48</v>
      </c>
      <c r="I13" s="50">
        <f>[1]Generatoren!U14</f>
        <v>16</v>
      </c>
      <c r="J13" s="91">
        <f>[1]Generatoren!W14</f>
        <v>33.333333333333336</v>
      </c>
    </row>
    <row r="14" spans="1:10" x14ac:dyDescent="0.2">
      <c r="A14" s="46">
        <f>[1]Generatoren!A15</f>
        <v>1071</v>
      </c>
      <c r="B14" s="52" t="str">
        <f>[1]Generatoren!B15</f>
        <v>Nordseite Wilson</v>
      </c>
      <c r="C14" s="55" t="str">
        <f>[1]Generatoren!C15</f>
        <v>20.1</v>
      </c>
      <c r="D14" s="48">
        <f>[1]Generatoren!D15</f>
        <v>45593</v>
      </c>
      <c r="E14" s="47">
        <f>[1]Generatoren!E15</f>
        <v>1571</v>
      </c>
      <c r="F14" s="47" t="str">
        <f>[1]Generatoren!F15</f>
        <v>FG Wilson</v>
      </c>
      <c r="G14" s="49">
        <f>[1]Generatoren!S15</f>
        <v>60</v>
      </c>
      <c r="H14" s="50">
        <f>[1]Generatoren!T15</f>
        <v>48</v>
      </c>
      <c r="I14" s="50">
        <f>[1]Generatoren!U15</f>
        <v>16</v>
      </c>
      <c r="J14" s="91">
        <f>[1]Generatoren!W15</f>
        <v>33.333333333333336</v>
      </c>
    </row>
    <row r="15" spans="1:10" x14ac:dyDescent="0.2">
      <c r="A15" s="46">
        <f>[1]Generatoren!A16</f>
        <v>1086</v>
      </c>
      <c r="B15" s="52" t="str">
        <f>[1]Generatoren!B16</f>
        <v>Airfield Thomas</v>
      </c>
      <c r="C15" s="55" t="str">
        <f>[1]Generatoren!C16</f>
        <v>9.1</v>
      </c>
      <c r="D15" s="48">
        <f>[1]Generatoren!D16</f>
        <v>45581</v>
      </c>
      <c r="E15" s="47" t="str">
        <f>[1]Generatoren!E16</f>
        <v>1086,Tow.,Airf.,1686,3005</v>
      </c>
      <c r="F15" s="47" t="str">
        <f>[1]Generatoren!F16</f>
        <v>MAN/AEG</v>
      </c>
      <c r="G15" s="49">
        <f>[1]Generatoren!S16</f>
        <v>400</v>
      </c>
      <c r="H15" s="50">
        <f>[1]Generatoren!T16</f>
        <v>320</v>
      </c>
      <c r="I15" s="50">
        <f>[1]Generatoren!U16</f>
        <v>60</v>
      </c>
      <c r="J15" s="91">
        <f>[1]Generatoren!W16</f>
        <v>18.75</v>
      </c>
    </row>
    <row r="16" spans="1:10" x14ac:dyDescent="0.2">
      <c r="A16" s="46">
        <f>[1]Generatoren!A17</f>
        <v>1183</v>
      </c>
      <c r="B16" s="52" t="str">
        <f>[1]Generatoren!B17</f>
        <v>Shelter</v>
      </c>
      <c r="C16" s="55" t="str">
        <f>[1]Generatoren!C17</f>
        <v>x</v>
      </c>
      <c r="D16" s="48">
        <f>[1]Generatoren!D17</f>
        <v>45594</v>
      </c>
      <c r="E16" s="47">
        <f>[1]Generatoren!E17</f>
        <v>1183</v>
      </c>
      <c r="F16" s="47" t="str">
        <f>[1]Generatoren!F17</f>
        <v>KHD Ansaldo</v>
      </c>
      <c r="G16" s="49">
        <f>[1]Generatoren!S17</f>
        <v>40</v>
      </c>
      <c r="H16" s="50">
        <f>[1]Generatoren!T17</f>
        <v>32</v>
      </c>
      <c r="I16" s="50">
        <f>[1]Generatoren!U17</f>
        <v>10</v>
      </c>
      <c r="J16" s="91">
        <f>[1]Generatoren!W17</f>
        <v>31.25</v>
      </c>
    </row>
    <row r="17" spans="1:10" x14ac:dyDescent="0.2">
      <c r="A17" s="46">
        <f>[1]Generatoren!A18</f>
        <v>1186</v>
      </c>
      <c r="B17" s="52" t="str">
        <f>[1]Generatoren!B18</f>
        <v>Shelter</v>
      </c>
      <c r="C17" s="55" t="str">
        <f>[1]Generatoren!C18</f>
        <v>x</v>
      </c>
      <c r="D17" s="48">
        <f>[1]Generatoren!D18</f>
        <v>45594</v>
      </c>
      <c r="E17" s="47">
        <f>[1]Generatoren!E18</f>
        <v>1186</v>
      </c>
      <c r="F17" s="47" t="str">
        <f>[1]Generatoren!F18</f>
        <v>KHD Ansaldo</v>
      </c>
      <c r="G17" s="49">
        <f>[1]Generatoren!S18</f>
        <v>40</v>
      </c>
      <c r="H17" s="50">
        <f>[1]Generatoren!T18</f>
        <v>32</v>
      </c>
      <c r="I17" s="50">
        <f>[1]Generatoren!U18</f>
        <v>10</v>
      </c>
      <c r="J17" s="91">
        <f>[1]Generatoren!W18</f>
        <v>31.25</v>
      </c>
    </row>
    <row r="18" spans="1:10" x14ac:dyDescent="0.2">
      <c r="A18" s="46">
        <f>[1]Generatoren!A19</f>
        <v>1191</v>
      </c>
      <c r="B18" s="52" t="str">
        <f>[1]Generatoren!B19</f>
        <v>Shelter</v>
      </c>
      <c r="C18" s="55" t="str">
        <f>[1]Generatoren!C19</f>
        <v>x</v>
      </c>
      <c r="D18" s="48">
        <f>[1]Generatoren!D19</f>
        <v>45595</v>
      </c>
      <c r="E18" s="47">
        <f>[1]Generatoren!E19</f>
        <v>1191</v>
      </c>
      <c r="F18" s="47" t="str">
        <f>[1]Generatoren!F19</f>
        <v>KHD/Ansaldo</v>
      </c>
      <c r="G18" s="49">
        <f>[1]Generatoren!S19</f>
        <v>40</v>
      </c>
      <c r="H18" s="50">
        <f>[1]Generatoren!T19</f>
        <v>32</v>
      </c>
      <c r="I18" s="50">
        <f>[1]Generatoren!U19</f>
        <v>10</v>
      </c>
      <c r="J18" s="91">
        <f>[1]Generatoren!W19</f>
        <v>31.25</v>
      </c>
    </row>
    <row r="19" spans="1:10" x14ac:dyDescent="0.2">
      <c r="A19" s="46">
        <f>[1]Generatoren!A20</f>
        <v>1205</v>
      </c>
      <c r="B19" s="52" t="str">
        <f>[1]Generatoren!B20</f>
        <v>Command</v>
      </c>
      <c r="C19" s="55" t="str">
        <f>[1]Generatoren!C20</f>
        <v>17.1</v>
      </c>
      <c r="D19" s="48">
        <f>[1]Generatoren!D20</f>
        <v>45574</v>
      </c>
      <c r="E19" s="47">
        <f>[1]Generatoren!E20</f>
        <v>1205.1208999999999</v>
      </c>
      <c r="F19" s="47" t="str">
        <f>[1]Generatoren!F20</f>
        <v>Deutz/Marelli</v>
      </c>
      <c r="G19" s="49">
        <f>[1]Generatoren!S20</f>
        <v>130</v>
      </c>
      <c r="H19" s="50">
        <f>[1]Generatoren!T20</f>
        <v>104</v>
      </c>
      <c r="I19" s="50">
        <f>[1]Generatoren!U20</f>
        <v>28</v>
      </c>
      <c r="J19" s="91">
        <f>[1]Generatoren!W20</f>
        <v>26.923076923076923</v>
      </c>
    </row>
    <row r="20" spans="1:10" x14ac:dyDescent="0.2">
      <c r="A20" s="46">
        <f>[1]Generatoren!A21</f>
        <v>1222</v>
      </c>
      <c r="B20" s="52" t="str">
        <f>[1]Generatoren!B21</f>
        <v>AFN</v>
      </c>
      <c r="C20" s="55" t="str">
        <f>[1]Generatoren!C21</f>
        <v>11.1</v>
      </c>
      <c r="D20" s="48">
        <f>[1]Generatoren!D21</f>
        <v>45574</v>
      </c>
      <c r="E20" s="47" t="str">
        <f>[1]Generatoren!E21</f>
        <v>AFN, AND</v>
      </c>
      <c r="F20" s="47">
        <f>[1]Generatoren!F21</f>
        <v>0</v>
      </c>
      <c r="G20" s="49">
        <f>[1]Generatoren!S21</f>
        <v>96</v>
      </c>
      <c r="H20" s="50">
        <f>[1]Generatoren!T21</f>
        <v>76.8</v>
      </c>
      <c r="I20" s="50">
        <f>[1]Generatoren!U21</f>
        <v>35</v>
      </c>
      <c r="J20" s="91">
        <f>[1]Generatoren!W21</f>
        <v>45.572916666666664</v>
      </c>
    </row>
    <row r="21" spans="1:10" x14ac:dyDescent="0.2">
      <c r="A21" s="46">
        <f>[1]Generatoren!A22</f>
        <v>1500</v>
      </c>
      <c r="B21" s="52" t="str">
        <f>[1]Generatoren!B22</f>
        <v>IPC</v>
      </c>
      <c r="C21" s="55" t="str">
        <f>[1]Generatoren!C22</f>
        <v>x</v>
      </c>
      <c r="D21" s="48">
        <f>[1]Generatoren!D22</f>
        <v>45572</v>
      </c>
      <c r="E21" s="47" t="str">
        <f>[1]Generatoren!E22</f>
        <v>1012,1812,1500</v>
      </c>
      <c r="F21" s="47" t="str">
        <f>[1]Generatoren!F22</f>
        <v>MTU / Marelli</v>
      </c>
      <c r="G21" s="49">
        <f>[1]Generatoren!S22</f>
        <v>1856</v>
      </c>
      <c r="H21" s="50">
        <f>[1]Generatoren!T22</f>
        <v>1484.8</v>
      </c>
      <c r="I21" s="50">
        <f>[1]Generatoren!U22</f>
        <v>385</v>
      </c>
      <c r="J21" s="91">
        <f>[1]Generatoren!W22</f>
        <v>25.929418103448278</v>
      </c>
    </row>
    <row r="22" spans="1:10" x14ac:dyDescent="0.2">
      <c r="A22" s="46">
        <f>[1]Generatoren!A23</f>
        <v>1507</v>
      </c>
      <c r="B22" s="52" t="str">
        <f>[1]Generatoren!B23</f>
        <v>Cont. MA-Weiler</v>
      </c>
      <c r="C22" s="55" t="str">
        <f>[1]Generatoren!C23</f>
        <v>12.1</v>
      </c>
      <c r="D22" s="48">
        <f>[1]Generatoren!D23</f>
        <v>45573</v>
      </c>
      <c r="E22" s="47" t="str">
        <f>[1]Generatoren!E23</f>
        <v>ACP,1007 - 1009</v>
      </c>
      <c r="F22" s="47" t="str">
        <f>[1]Generatoren!F23</f>
        <v>Deutz/Leroy-Somer</v>
      </c>
      <c r="G22" s="49">
        <f>[1]Generatoren!S23</f>
        <v>500</v>
      </c>
      <c r="H22" s="50">
        <f>[1]Generatoren!T23</f>
        <v>400</v>
      </c>
      <c r="I22" s="50">
        <f>[1]Generatoren!U23</f>
        <v>150</v>
      </c>
      <c r="J22" s="91">
        <f>[1]Generatoren!W23</f>
        <v>37.5</v>
      </c>
    </row>
    <row r="23" spans="1:10" x14ac:dyDescent="0.2">
      <c r="A23" s="46">
        <f>[1]Generatoren!A24</f>
        <v>1569</v>
      </c>
      <c r="B23" s="52" t="str">
        <f>[1]Generatoren!B24</f>
        <v>Airfield Tacan</v>
      </c>
      <c r="C23" s="55" t="str">
        <f>[1]Generatoren!C24</f>
        <v>16.1</v>
      </c>
      <c r="D23" s="48">
        <f>[1]Generatoren!D24</f>
        <v>45582</v>
      </c>
      <c r="E23" s="47" t="str">
        <f>[1]Generatoren!E24</f>
        <v>Tacan</v>
      </c>
      <c r="F23" s="47" t="str">
        <f>[1]Generatoren!F24</f>
        <v>Iveco/Leroy Somer</v>
      </c>
      <c r="G23" s="49">
        <f>[1]Generatoren!S24</f>
        <v>160</v>
      </c>
      <c r="H23" s="50">
        <f>[1]Generatoren!T24</f>
        <v>128</v>
      </c>
      <c r="I23" s="50">
        <f>[1]Generatoren!U24</f>
        <v>17</v>
      </c>
      <c r="J23" s="91">
        <f>[1]Generatoren!W24</f>
        <v>13.28125</v>
      </c>
    </row>
    <row r="24" spans="1:10" x14ac:dyDescent="0.2">
      <c r="A24" s="46">
        <f>[1]Generatoren!A25</f>
        <v>3341</v>
      </c>
      <c r="B24" s="52" t="str">
        <f>[1]Generatoren!B25</f>
        <v>Container NAU</v>
      </c>
      <c r="C24" s="55" t="str">
        <f>[1]Generatoren!C25</f>
        <v>15.1</v>
      </c>
      <c r="D24" s="48">
        <f>[1]Generatoren!D25</f>
        <v>45595</v>
      </c>
      <c r="E24" s="47" t="str">
        <f>[1]Generatoren!E25</f>
        <v>NAU</v>
      </c>
      <c r="F24" s="47" t="str">
        <f>[1]Generatoren!F25</f>
        <v>MTU/Leroy-Somer</v>
      </c>
      <c r="G24" s="49">
        <f>[1]Generatoren!S25</f>
        <v>800</v>
      </c>
      <c r="H24" s="50">
        <f>[1]Generatoren!T25</f>
        <v>640</v>
      </c>
      <c r="I24" s="50">
        <f>[1]Generatoren!U25</f>
        <v>210</v>
      </c>
      <c r="J24" s="91">
        <f>[1]Generatoren!W25</f>
        <v>32.8125</v>
      </c>
    </row>
    <row r="25" spans="1:10" x14ac:dyDescent="0.2">
      <c r="A25" s="46">
        <f>[1]Generatoren!A26</f>
        <v>3377</v>
      </c>
      <c r="B25" s="52" t="str">
        <f>[1]Generatoren!B26</f>
        <v>Nordseite MTU bl</v>
      </c>
      <c r="C25" s="55" t="str">
        <f>[1]Generatoren!C26</f>
        <v>3.1</v>
      </c>
      <c r="D25" s="48">
        <f>[1]Generatoren!D26</f>
        <v>45596</v>
      </c>
      <c r="E25" s="47" t="str">
        <f>[1]Generatoren!E26</f>
        <v>Sat-Com</v>
      </c>
      <c r="F25" s="47" t="str">
        <f>[1]Generatoren!F26</f>
        <v>MTU / Meccalte</v>
      </c>
      <c r="G25" s="49">
        <f>[1]Generatoren!S26</f>
        <v>1000</v>
      </c>
      <c r="H25" s="50">
        <f>[1]Generatoren!T26</f>
        <v>800</v>
      </c>
      <c r="I25" s="50">
        <f>[1]Generatoren!U26</f>
        <v>59</v>
      </c>
      <c r="J25" s="91">
        <f>[1]Generatoren!W26</f>
        <v>7.375</v>
      </c>
    </row>
    <row r="26" spans="1:10" x14ac:dyDescent="0.2">
      <c r="A26" s="46">
        <f>[1]Generatoren!A27</f>
        <v>4008</v>
      </c>
      <c r="B26" s="52" t="str">
        <f>[1]Generatoren!B27</f>
        <v>Kastel St.Tel.</v>
      </c>
      <c r="C26" s="55" t="str">
        <f>[1]Generatoren!C27</f>
        <v>22.1</v>
      </c>
      <c r="D26" s="48">
        <f>[1]Generatoren!D27</f>
        <v>45566</v>
      </c>
      <c r="E26" s="47" t="str">
        <f>[1]Generatoren!E27</f>
        <v>Telefoner</v>
      </c>
      <c r="F26" s="47" t="str">
        <f>[1]Generatoren!F27</f>
        <v>Iveco/Creazzo</v>
      </c>
      <c r="G26" s="49">
        <f>[1]Generatoren!S27</f>
        <v>85</v>
      </c>
      <c r="H26" s="50">
        <f>[1]Generatoren!T27</f>
        <v>68</v>
      </c>
      <c r="I26" s="50">
        <f>[1]Generatoren!U27</f>
        <v>25</v>
      </c>
      <c r="J26" s="91">
        <f>[1]Generatoren!W27</f>
        <v>36.764705882352942</v>
      </c>
    </row>
    <row r="27" spans="1:10" x14ac:dyDescent="0.2">
      <c r="A27" s="46">
        <f>[1]Generatoren!A28</f>
        <v>4508</v>
      </c>
      <c r="B27" s="52" t="str">
        <f>[1]Generatoren!B28</f>
        <v>Kastel St.Wache</v>
      </c>
      <c r="C27" s="55" t="str">
        <f>[1]Generatoren!C28</f>
        <v>23.1</v>
      </c>
      <c r="D27" s="48">
        <f>[1]Generatoren!D28</f>
        <v>45566</v>
      </c>
      <c r="E27" s="47" t="str">
        <f>[1]Generatoren!E28</f>
        <v>Wache</v>
      </c>
      <c r="F27" s="47" t="str">
        <f>[1]Generatoren!F28</f>
        <v>Iveco/Meccalte</v>
      </c>
      <c r="G27" s="49">
        <f>[1]Generatoren!S28</f>
        <v>40</v>
      </c>
      <c r="H27" s="50">
        <f>[1]Generatoren!T28</f>
        <v>32</v>
      </c>
      <c r="I27" s="50">
        <f>[1]Generatoren!U28</f>
        <v>20</v>
      </c>
      <c r="J27" s="91">
        <f>[1]Generatoren!W28</f>
        <v>62.5</v>
      </c>
    </row>
    <row r="28" spans="1:10" x14ac:dyDescent="0.2">
      <c r="A28" s="46">
        <f>[1]Generatoren!A29</f>
        <v>5301</v>
      </c>
      <c r="B28" s="52" t="str">
        <f>[1]Generatoren!B29</f>
        <v>AEC 2 Cont,Grün</v>
      </c>
      <c r="C28" s="55" t="str">
        <f>[1]Generatoren!C29</f>
        <v>13.1</v>
      </c>
      <c r="D28" s="48">
        <f>[1]Generatoren!D29</f>
        <v>45588</v>
      </c>
      <c r="E28" s="47" t="str">
        <f>[1]Generatoren!E29</f>
        <v>AEC</v>
      </c>
      <c r="F28" s="47" t="str">
        <f>[1]Generatoren!F29</f>
        <v>MTU/Marelli</v>
      </c>
      <c r="G28" s="49">
        <f>[1]Generatoren!S29</f>
        <v>800</v>
      </c>
      <c r="H28" s="50">
        <f>[1]Generatoren!T29</f>
        <v>640</v>
      </c>
      <c r="I28" s="50">
        <f>[1]Generatoren!U29</f>
        <v>200</v>
      </c>
      <c r="J28" s="91">
        <f>[1]Generatoren!W29</f>
        <v>31.25</v>
      </c>
    </row>
    <row r="29" spans="1:10" x14ac:dyDescent="0.2">
      <c r="A29" s="46">
        <f>[1]Generatoren!A30</f>
        <v>6208</v>
      </c>
      <c r="B29" s="52" t="str">
        <f>[1]Generatoren!B30</f>
        <v>McCully Cont. Tel.</v>
      </c>
      <c r="C29" s="55" t="str">
        <f>[1]Generatoren!C30</f>
        <v>21.1</v>
      </c>
      <c r="D29" s="48">
        <f>[1]Generatoren!D30</f>
        <v>45566</v>
      </c>
      <c r="E29" s="47" t="str">
        <f>[1]Generatoren!E30</f>
        <v>Telefoner</v>
      </c>
      <c r="F29" s="47" t="str">
        <f>[1]Generatoren!F30</f>
        <v>Iveco/Meccalte</v>
      </c>
      <c r="G29" s="49">
        <f>[1]Generatoren!S30</f>
        <v>60</v>
      </c>
      <c r="H29" s="50">
        <f>[1]Generatoren!T30</f>
        <v>48</v>
      </c>
      <c r="I29" s="50">
        <f>[1]Generatoren!U30</f>
        <v>25</v>
      </c>
      <c r="J29" s="91">
        <f>[1]Generatoren!W30</f>
        <v>52.083333333333336</v>
      </c>
    </row>
    <row r="30" spans="1:10" x14ac:dyDescent="0.2">
      <c r="A30" s="46">
        <f>[1]Generatoren!A31</f>
        <v>7203</v>
      </c>
      <c r="B30" s="52" t="str">
        <f>[1]Generatoren!B31</f>
        <v>McCully Wache</v>
      </c>
      <c r="C30" s="55" t="str">
        <f>[1]Generatoren!C31</f>
        <v>24.1</v>
      </c>
      <c r="D30" s="48">
        <f>[1]Generatoren!D31</f>
        <v>45566</v>
      </c>
      <c r="E30" s="47" t="str">
        <f>[1]Generatoren!E31</f>
        <v>Wache</v>
      </c>
      <c r="F30" s="47" t="str">
        <f>[1]Generatoren!F31</f>
        <v>Iveco/Meccalte</v>
      </c>
      <c r="G30" s="49">
        <f>[1]Generatoren!S31</f>
        <v>40</v>
      </c>
      <c r="H30" s="50">
        <f>[1]Generatoren!T31</f>
        <v>32</v>
      </c>
      <c r="I30" s="50">
        <f>[1]Generatoren!U31</f>
        <v>15</v>
      </c>
      <c r="J30" s="91">
        <f>[1]Generatoren!W31</f>
        <v>46.875</v>
      </c>
    </row>
    <row r="31" spans="1:10" x14ac:dyDescent="0.2">
      <c r="A31" s="46">
        <f>[1]Generatoren!A32</f>
        <v>7560</v>
      </c>
      <c r="B31" s="52" t="str">
        <f>[1]Generatoren!B32</f>
        <v>Kastel Annex Wache</v>
      </c>
      <c r="C31" s="55" t="str">
        <f>[1]Generatoren!C32</f>
        <v>x</v>
      </c>
      <c r="D31" s="48">
        <f>[1]Generatoren!D32</f>
        <v>45595</v>
      </c>
      <c r="E31" s="47" t="str">
        <f>[1]Generatoren!E32</f>
        <v>Kastel Annex Wache</v>
      </c>
      <c r="F31" s="47" t="str">
        <f>[1]Generatoren!F32</f>
        <v>FPT/Nidec</v>
      </c>
      <c r="G31" s="49">
        <f>[1]Generatoren!S32</f>
        <v>150</v>
      </c>
      <c r="H31" s="50">
        <f>[1]Generatoren!T32</f>
        <v>120</v>
      </c>
      <c r="I31" s="50">
        <f>[1]Generatoren!U32</f>
        <v>20</v>
      </c>
      <c r="J31" s="91">
        <f>[1]Generatoren!W32</f>
        <v>16.666666666666668</v>
      </c>
    </row>
    <row r="32" spans="1:10" x14ac:dyDescent="0.2">
      <c r="A32" s="46">
        <f>[1]Generatoren!A33</f>
        <v>7762</v>
      </c>
      <c r="B32" s="52" t="str">
        <f>[1]Generatoren!B33</f>
        <v>Heinerberg Wache N</v>
      </c>
      <c r="C32" s="55" t="str">
        <f>[1]Generatoren!C33</f>
        <v>25.1</v>
      </c>
      <c r="D32" s="48">
        <f>[1]Generatoren!D33</f>
        <v>45586</v>
      </c>
      <c r="E32" s="47" t="str">
        <f>[1]Generatoren!E33</f>
        <v>Wache (nicht besetzt)</v>
      </c>
      <c r="F32" s="47" t="str">
        <f>[1]Generatoren!F33</f>
        <v>Iveco/Meccalte</v>
      </c>
      <c r="G32" s="49">
        <f>[1]Generatoren!S33</f>
        <v>40</v>
      </c>
      <c r="H32" s="50">
        <f>[1]Generatoren!T33</f>
        <v>32</v>
      </c>
      <c r="I32" s="50">
        <f>[1]Generatoren!U33</f>
        <v>15</v>
      </c>
      <c r="J32" s="91">
        <f>[1]Generatoren!W33</f>
        <v>46.875</v>
      </c>
    </row>
    <row r="33" spans="1:10" x14ac:dyDescent="0.2">
      <c r="A33" s="46">
        <f>[1]Generatoren!A34</f>
        <v>7821</v>
      </c>
      <c r="B33" s="52" t="str">
        <f>[1]Generatoren!B34</f>
        <v>Heinerbg. Wache O</v>
      </c>
      <c r="C33" s="55" t="str">
        <f>[1]Generatoren!C34</f>
        <v>19.1</v>
      </c>
      <c r="D33" s="48">
        <f>[1]Generatoren!D34</f>
        <v>45587</v>
      </c>
      <c r="E33" s="47" t="str">
        <f>[1]Generatoren!E34</f>
        <v>Wache Ost 7821-7825</v>
      </c>
      <c r="F33" s="47" t="str">
        <f>[1]Generatoren!F34</f>
        <v>Deutz/Leroy-Somer</v>
      </c>
      <c r="G33" s="49">
        <f>[1]Generatoren!S34</f>
        <v>130</v>
      </c>
      <c r="H33" s="50">
        <f>[1]Generatoren!T34</f>
        <v>104</v>
      </c>
      <c r="I33" s="50">
        <f>[1]Generatoren!U34</f>
        <v>25</v>
      </c>
      <c r="J33" s="91">
        <f>[1]Generatoren!W34</f>
        <v>24.038461538461537</v>
      </c>
    </row>
    <row r="34" spans="1:10" x14ac:dyDescent="0.2">
      <c r="A34" s="46">
        <f>[1]Generatoren!A35</f>
        <v>7850</v>
      </c>
      <c r="B34" s="52" t="str">
        <f>[1]Generatoren!B35</f>
        <v>Heinerberg PX</v>
      </c>
      <c r="C34" s="55" t="str">
        <f>[1]Generatoren!C35</f>
        <v>2.1</v>
      </c>
      <c r="D34" s="48">
        <f>[1]Generatoren!D35</f>
        <v>45587</v>
      </c>
      <c r="E34" s="47" t="str">
        <f>[1]Generatoren!E35</f>
        <v>PX</v>
      </c>
      <c r="F34" s="47" t="str">
        <f>[1]Generatoren!F35</f>
        <v>Perkins/meccalte</v>
      </c>
      <c r="G34" s="49">
        <f>[1]Generatoren!S35</f>
        <v>800</v>
      </c>
      <c r="H34" s="50">
        <f>[1]Generatoren!T35</f>
        <v>640</v>
      </c>
      <c r="I34" s="50">
        <f>[1]Generatoren!U35</f>
        <v>150</v>
      </c>
      <c r="J34" s="91">
        <f>[1]Generatoren!W35</f>
        <v>23.4375</v>
      </c>
    </row>
    <row r="35" spans="1:10" x14ac:dyDescent="0.2">
      <c r="A35" s="46">
        <f>[1]Generatoren!A36</f>
        <v>7890</v>
      </c>
      <c r="B35" s="52" t="str">
        <f>[1]Generatoren!B36</f>
        <v>Heinerberg Hotel</v>
      </c>
      <c r="C35" s="55" t="str">
        <f>[1]Generatoren!C36</f>
        <v>14.1</v>
      </c>
      <c r="D35" s="48">
        <f>[1]Generatoren!D36</f>
        <v>45587</v>
      </c>
      <c r="E35" s="47" t="str">
        <f>[1]Generatoren!E36</f>
        <v>Hotel</v>
      </c>
      <c r="F35" s="47" t="str">
        <f>[1]Generatoren!F36</f>
        <v>Iveco/Mecalte</v>
      </c>
      <c r="G35" s="49">
        <f>[1]Generatoren!S36</f>
        <v>400</v>
      </c>
      <c r="H35" s="50">
        <f>[1]Generatoren!T36</f>
        <v>320</v>
      </c>
      <c r="I35" s="50">
        <f>[1]Generatoren!U36</f>
        <v>17</v>
      </c>
      <c r="J35" s="91">
        <f>[1]Generatoren!W36</f>
        <v>5.3125</v>
      </c>
    </row>
    <row r="36" spans="1:10" x14ac:dyDescent="0.2">
      <c r="A36" s="46">
        <v>1761</v>
      </c>
      <c r="B36" s="52">
        <v>1761</v>
      </c>
      <c r="C36" s="55">
        <v>31</v>
      </c>
      <c r="D36" s="48"/>
      <c r="E36" s="47" t="s">
        <v>495</v>
      </c>
      <c r="F36" s="47" t="s">
        <v>491</v>
      </c>
      <c r="G36" s="49">
        <v>250</v>
      </c>
      <c r="H36" s="50"/>
      <c r="I36" s="50"/>
      <c r="J36" s="91"/>
    </row>
    <row r="37" spans="1:10" ht="13.5" thickBot="1" x14ac:dyDescent="0.25">
      <c r="A37" s="60"/>
      <c r="B37" s="61"/>
      <c r="C37" s="78"/>
      <c r="D37" s="92"/>
      <c r="E37" s="62"/>
      <c r="F37" s="62"/>
      <c r="G37" s="63"/>
      <c r="H37" s="93"/>
      <c r="I37" s="93"/>
      <c r="J37" s="94"/>
    </row>
    <row r="38" spans="1:10" x14ac:dyDescent="0.2">
      <c r="A38" s="46"/>
      <c r="B38" s="52"/>
      <c r="C38" s="52"/>
      <c r="D38" s="48"/>
      <c r="E38" s="47"/>
      <c r="F38" s="47"/>
      <c r="G38" s="49"/>
      <c r="H38" s="50"/>
      <c r="I38" s="50"/>
      <c r="J38" s="51"/>
    </row>
    <row r="39" spans="1:10" x14ac:dyDescent="0.2">
      <c r="A39" s="46"/>
      <c r="B39" s="52"/>
      <c r="C39" s="52"/>
      <c r="D39" s="48"/>
      <c r="E39" s="47"/>
      <c r="F39" s="47"/>
      <c r="G39" s="49"/>
      <c r="H39" s="50"/>
      <c r="I39" s="50"/>
      <c r="J39" s="51"/>
    </row>
    <row r="40" spans="1:10" x14ac:dyDescent="0.2">
      <c r="A40" s="46"/>
      <c r="B40" s="52"/>
      <c r="C40" s="52"/>
      <c r="D40" s="48"/>
      <c r="E40" s="47"/>
      <c r="F40" s="47"/>
      <c r="G40" s="49"/>
      <c r="H40" s="50"/>
      <c r="I40" s="50"/>
      <c r="J40" s="51"/>
    </row>
  </sheetData>
  <mergeCells count="1">
    <mergeCell ref="A1:J1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60FB-6F80-4784-8913-CB81FFB5839A}">
  <dimension ref="A1:S36"/>
  <sheetViews>
    <sheetView workbookViewId="0">
      <selection activeCell="P31" sqref="P31"/>
    </sheetView>
  </sheetViews>
  <sheetFormatPr defaultColWidth="11.42578125" defaultRowHeight="12.75" x14ac:dyDescent="0.2"/>
  <cols>
    <col min="1" max="1" width="8.7109375" style="52" customWidth="1"/>
    <col min="2" max="2" width="20.140625" style="52" bestFit="1" customWidth="1"/>
    <col min="3" max="3" width="4.42578125" style="52" bestFit="1" customWidth="1"/>
    <col min="4" max="4" width="8.7109375" style="73" customWidth="1"/>
    <col min="5" max="5" width="8.7109375" style="55" customWidth="1"/>
    <col min="6" max="6" width="9.42578125" style="55" bestFit="1" customWidth="1"/>
    <col min="7" max="7" width="10.140625" style="52" bestFit="1" customWidth="1"/>
    <col min="8" max="8" width="9.7109375" style="55" bestFit="1" customWidth="1"/>
    <col min="9" max="18" width="8.7109375" style="75" customWidth="1"/>
    <col min="19" max="16384" width="11.42578125" style="52"/>
  </cols>
  <sheetData>
    <row r="1" spans="1:19" ht="27.75" customHeight="1" x14ac:dyDescent="0.2">
      <c r="A1" s="344" t="s">
        <v>372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6"/>
    </row>
    <row r="2" spans="1:19" s="67" customFormat="1" ht="21.75" customHeight="1" x14ac:dyDescent="0.25">
      <c r="A2" s="347" t="s">
        <v>177</v>
      </c>
      <c r="B2" s="348"/>
      <c r="C2" s="151"/>
      <c r="D2" s="66" t="s">
        <v>367</v>
      </c>
      <c r="E2" s="349" t="s">
        <v>373</v>
      </c>
      <c r="F2" s="350"/>
      <c r="G2" s="350"/>
      <c r="H2" s="350"/>
      <c r="I2" s="350"/>
      <c r="J2" s="350"/>
      <c r="K2" s="351"/>
      <c r="L2" s="352" t="s">
        <v>374</v>
      </c>
      <c r="M2" s="353"/>
      <c r="N2" s="354"/>
      <c r="O2" s="352" t="s">
        <v>375</v>
      </c>
      <c r="P2" s="350"/>
      <c r="Q2" s="350"/>
      <c r="R2" s="350"/>
      <c r="S2" s="355"/>
    </row>
    <row r="3" spans="1:19" s="49" customFormat="1" ht="21.75" customHeight="1" x14ac:dyDescent="0.2">
      <c r="A3" s="68" t="str">
        <f>[1]Generatoren!A2</f>
        <v>Geb.</v>
      </c>
      <c r="B3" s="69" t="str">
        <f>[1]Generatoren!B2</f>
        <v>Ort</v>
      </c>
      <c r="C3" s="69" t="str">
        <f>[1]Generatoren!C2</f>
        <v>EPS</v>
      </c>
      <c r="D3" s="70" t="str">
        <f>[1]Generatoren!D2</f>
        <v>Check</v>
      </c>
      <c r="E3" s="69" t="str">
        <f>[1]Generatoren!J2</f>
        <v>Sprit</v>
      </c>
      <c r="F3" s="69" t="str">
        <f>[1]Generatoren!K2</f>
        <v>Ges.Tank</v>
      </c>
      <c r="G3" s="69" t="str">
        <f>[1]Generatoren!L2</f>
        <v>Haupttank</v>
      </c>
      <c r="H3" s="69" t="str">
        <f>[1]Generatoren!M2</f>
        <v>Tagestank</v>
      </c>
      <c r="I3" s="71" t="str">
        <f>[1]Generatoren!N2</f>
        <v>Stand L</v>
      </c>
      <c r="J3" s="71" t="str">
        <f>[1]Generatoren!O2</f>
        <v>Stand %</v>
      </c>
      <c r="K3" s="71" t="str">
        <f>[1]Generatoren!Q2</f>
        <v>fehlt L</v>
      </c>
      <c r="L3" s="71" t="str">
        <f>[1]Generatoren!T2</f>
        <v>Leist. kW</v>
      </c>
      <c r="M3" s="71" t="str">
        <f>[1]Generatoren!U2</f>
        <v>Last kW</v>
      </c>
      <c r="N3" s="71" t="str">
        <f>[1]Generatoren!W2</f>
        <v>Last %</v>
      </c>
      <c r="O3" s="71" t="str">
        <f>[1]Generatoren!P2</f>
        <v>Ges.h</v>
      </c>
      <c r="P3" s="71" t="str">
        <f>[1]Generatoren!R2</f>
        <v>Rest.h</v>
      </c>
      <c r="Q3" s="71" t="str">
        <f>[1]Generatoren!X2</f>
        <v>l/h</v>
      </c>
      <c r="R3" s="71" t="str">
        <f>[1]Generatoren!Y2</f>
        <v>l/72h</v>
      </c>
      <c r="S3" s="72" t="s">
        <v>200</v>
      </c>
    </row>
    <row r="4" spans="1:19" x14ac:dyDescent="0.2">
      <c r="A4" s="46">
        <f>[1]Generatoren!A4</f>
        <v>5</v>
      </c>
      <c r="B4" s="52" t="str">
        <f>[1]Generatoren!B4</f>
        <v>mob. Zeppelin MA</v>
      </c>
      <c r="C4" s="52" t="str">
        <f>[1]Generatoren!C4</f>
        <v>4.1</v>
      </c>
      <c r="D4" s="73">
        <f>[1]Generatoren!D4</f>
        <v>45546</v>
      </c>
      <c r="E4" s="55" t="str">
        <f>[1]Generatoren!J4</f>
        <v>Heizöl</v>
      </c>
      <c r="F4" s="74">
        <f>[1]Generatoren!K4</f>
        <v>800</v>
      </c>
      <c r="G4" s="74">
        <f>[1]Generatoren!L4</f>
        <v>800</v>
      </c>
      <c r="H4" s="74" t="str">
        <f>[1]Generatoren!M4</f>
        <v>x</v>
      </c>
      <c r="I4" s="74">
        <f>[1]Generatoren!N4</f>
        <v>640</v>
      </c>
      <c r="J4" s="74">
        <f>[1]Generatoren!O4</f>
        <v>80</v>
      </c>
      <c r="K4" s="74">
        <f>[1]Generatoren!Q4</f>
        <v>120</v>
      </c>
      <c r="L4" s="75">
        <f>[1]Generatoren!T4</f>
        <v>400</v>
      </c>
      <c r="M4" s="75">
        <f>[1]Generatoren!U4</f>
        <v>133</v>
      </c>
      <c r="N4" s="75">
        <f>[1]Generatoren!W4</f>
        <v>33.25</v>
      </c>
      <c r="O4" s="75">
        <f>[1]Generatoren!P4</f>
        <v>21.482277121374864</v>
      </c>
      <c r="P4" s="50">
        <f>[1]Generatoren!R4</f>
        <v>17.185821697099893</v>
      </c>
      <c r="Q4" s="75">
        <f>[1]Generatoren!X4</f>
        <v>37.24</v>
      </c>
      <c r="R4" s="75">
        <f>[1]Generatoren!Y4</f>
        <v>2681.28</v>
      </c>
      <c r="S4" s="76">
        <f>[1]Generatoren!Z4</f>
        <v>3128.1600000000003</v>
      </c>
    </row>
    <row r="5" spans="1:19" x14ac:dyDescent="0.2">
      <c r="A5" s="46">
        <f>[1]Generatoren!A5</f>
        <v>1000</v>
      </c>
      <c r="B5" s="52" t="str">
        <f>[1]Generatoren!B5</f>
        <v>MCC 11</v>
      </c>
      <c r="C5" s="52" t="str">
        <f>[1]Generatoren!C5</f>
        <v>x</v>
      </c>
      <c r="D5" s="73">
        <f>[1]Generatoren!D5</f>
        <v>45588</v>
      </c>
      <c r="E5" s="55" t="str">
        <f>[1]Generatoren!J5</f>
        <v>Heizöl</v>
      </c>
      <c r="F5" s="74">
        <f>[1]Generatoren!K5</f>
        <v>18666</v>
      </c>
      <c r="G5" s="74">
        <f>[1]Generatoren!L5</f>
        <v>16666</v>
      </c>
      <c r="H5" s="74">
        <f>[1]Generatoren!M5</f>
        <v>2000</v>
      </c>
      <c r="I5" s="74">
        <f>[1]Generatoren!N5</f>
        <v>15300</v>
      </c>
      <c r="J5" s="74">
        <f>[1]Generatoren!O5</f>
        <v>92.168674698795186</v>
      </c>
      <c r="K5" s="74">
        <f>[1]Generatoren!Q5</f>
        <v>532.69999999999891</v>
      </c>
      <c r="L5" s="75">
        <f>[1]Generatoren!T5</f>
        <v>2000</v>
      </c>
      <c r="M5" s="75">
        <f>[1]Generatoren!U5</f>
        <v>400</v>
      </c>
      <c r="N5" s="75">
        <f>[1]Generatoren!W5</f>
        <v>20</v>
      </c>
      <c r="O5" s="75">
        <f>[1]Generatoren!P5</f>
        <v>150.53225806451613</v>
      </c>
      <c r="P5" s="50">
        <f>[1]Generatoren!R5</f>
        <v>139.51612903225808</v>
      </c>
      <c r="Q5" s="75">
        <f>[1]Generatoren!X5</f>
        <v>124</v>
      </c>
      <c r="R5" s="75">
        <f>[1]Generatoren!Y5</f>
        <v>8928</v>
      </c>
      <c r="S5" s="76">
        <f>[1]Generatoren!Z5</f>
        <v>10416</v>
      </c>
    </row>
    <row r="6" spans="1:19" x14ac:dyDescent="0.2">
      <c r="A6" s="46">
        <f>[1]Generatoren!A6</f>
        <v>1000</v>
      </c>
      <c r="B6" s="52" t="str">
        <f>[1]Generatoren!B6</f>
        <v>MCC 12</v>
      </c>
      <c r="C6" s="52" t="str">
        <f>[1]Generatoren!C6</f>
        <v>x</v>
      </c>
      <c r="D6" s="73">
        <f>[1]Generatoren!D6</f>
        <v>45588</v>
      </c>
      <c r="E6" s="55" t="str">
        <f>[1]Generatoren!J6</f>
        <v>Heizöl</v>
      </c>
      <c r="F6" s="74">
        <f>[1]Generatoren!K6</f>
        <v>18666</v>
      </c>
      <c r="G6" s="74">
        <f>[1]Generatoren!L6</f>
        <v>16666</v>
      </c>
      <c r="H6" s="74">
        <f>[1]Generatoren!M6</f>
        <v>2000</v>
      </c>
      <c r="I6" s="74">
        <f>[1]Generatoren!N6</f>
        <v>15300</v>
      </c>
      <c r="J6" s="74">
        <f>[1]Generatoren!O6</f>
        <v>92.168674698795186</v>
      </c>
      <c r="K6" s="74">
        <f>[1]Generatoren!Q6</f>
        <v>532.69999999999891</v>
      </c>
      <c r="L6" s="75">
        <f>[1]Generatoren!T6</f>
        <v>2000</v>
      </c>
      <c r="M6" s="75">
        <f>[1]Generatoren!U6</f>
        <v>400</v>
      </c>
      <c r="N6" s="75">
        <f>[1]Generatoren!W6</f>
        <v>20</v>
      </c>
      <c r="O6" s="75">
        <f>[1]Generatoren!P6</f>
        <v>150.53225806451613</v>
      </c>
      <c r="P6" s="50">
        <f>[1]Generatoren!R6</f>
        <v>139.51612903225808</v>
      </c>
      <c r="Q6" s="75">
        <f>[1]Generatoren!X6</f>
        <v>124</v>
      </c>
      <c r="R6" s="75">
        <f>[1]Generatoren!Y6</f>
        <v>8928</v>
      </c>
      <c r="S6" s="76">
        <f>[1]Generatoren!Z6</f>
        <v>10416</v>
      </c>
    </row>
    <row r="7" spans="1:19" x14ac:dyDescent="0.2">
      <c r="A7" s="46">
        <f>[1]Generatoren!A7</f>
        <v>1000</v>
      </c>
      <c r="B7" s="52" t="str">
        <f>[1]Generatoren!B7</f>
        <v>MCC 13</v>
      </c>
      <c r="C7" s="52" t="str">
        <f>[1]Generatoren!C7</f>
        <v>x</v>
      </c>
      <c r="D7" s="73">
        <f>[1]Generatoren!D7</f>
        <v>45588</v>
      </c>
      <c r="E7" s="55" t="str">
        <f>[1]Generatoren!J7</f>
        <v>Heizöl</v>
      </c>
      <c r="F7" s="74">
        <f>[1]Generatoren!K7</f>
        <v>18666</v>
      </c>
      <c r="G7" s="74">
        <f>[1]Generatoren!L7</f>
        <v>16666</v>
      </c>
      <c r="H7" s="74">
        <f>[1]Generatoren!M7</f>
        <v>2000</v>
      </c>
      <c r="I7" s="74">
        <f>[1]Generatoren!N7</f>
        <v>15300</v>
      </c>
      <c r="J7" s="74">
        <f>[1]Generatoren!O7</f>
        <v>92.168674698795186</v>
      </c>
      <c r="K7" s="74">
        <f>[1]Generatoren!Q7</f>
        <v>532.69999999999891</v>
      </c>
      <c r="L7" s="75">
        <f>[1]Generatoren!T7</f>
        <v>2000</v>
      </c>
      <c r="M7" s="75">
        <f>[1]Generatoren!U7</f>
        <v>400</v>
      </c>
      <c r="N7" s="75">
        <f>[1]Generatoren!W7</f>
        <v>20</v>
      </c>
      <c r="O7" s="75">
        <f>[1]Generatoren!P7</f>
        <v>150.53225806451613</v>
      </c>
      <c r="P7" s="50">
        <f>[1]Generatoren!R7</f>
        <v>139.51612903225808</v>
      </c>
      <c r="Q7" s="75">
        <f>[1]Generatoren!X7</f>
        <v>124</v>
      </c>
      <c r="R7" s="75">
        <f>[1]Generatoren!Y7</f>
        <v>8928</v>
      </c>
      <c r="S7" s="76">
        <f>[1]Generatoren!Z7</f>
        <v>10416</v>
      </c>
    </row>
    <row r="8" spans="1:19" x14ac:dyDescent="0.2">
      <c r="A8" s="46">
        <f>[1]Generatoren!A8</f>
        <v>1024</v>
      </c>
      <c r="B8" s="52" t="str">
        <f>[1]Generatoren!B8</f>
        <v>Bushalte</v>
      </c>
      <c r="C8" s="52" t="str">
        <f>[1]Generatoren!C8</f>
        <v>5.1</v>
      </c>
      <c r="D8" s="73">
        <f>[1]Generatoren!D8</f>
        <v>45567</v>
      </c>
      <c r="E8" s="55" t="str">
        <f>[1]Generatoren!J8</f>
        <v>Heizöl</v>
      </c>
      <c r="F8" s="74">
        <f>[1]Generatoren!K8</f>
        <v>700</v>
      </c>
      <c r="G8" s="74">
        <f>[1]Generatoren!L8</f>
        <v>700</v>
      </c>
      <c r="H8" s="74" t="str">
        <f>[1]Generatoren!M8</f>
        <v>x</v>
      </c>
      <c r="I8" s="74">
        <f>[1]Generatoren!N8</f>
        <v>630</v>
      </c>
      <c r="J8" s="74">
        <f>[1]Generatoren!O8</f>
        <v>90</v>
      </c>
      <c r="K8" s="74">
        <f>[1]Generatoren!Q8</f>
        <v>35</v>
      </c>
      <c r="L8" s="75">
        <f>[1]Generatoren!T8</f>
        <v>160</v>
      </c>
      <c r="M8" s="75">
        <f>[1]Generatoren!U8</f>
        <v>70</v>
      </c>
      <c r="N8" s="75">
        <f>[1]Generatoren!W8</f>
        <v>43.75</v>
      </c>
      <c r="O8" s="75">
        <f>[1]Generatoren!P8</f>
        <v>35.714285714285708</v>
      </c>
      <c r="P8" s="50">
        <f>[1]Generatoren!R8</f>
        <v>32.142857142857139</v>
      </c>
      <c r="Q8" s="75">
        <f>[1]Generatoren!X8</f>
        <v>19.600000000000001</v>
      </c>
      <c r="R8" s="75">
        <f>[1]Generatoren!Y8</f>
        <v>1411.2</v>
      </c>
      <c r="S8" s="76">
        <f>[1]Generatoren!Z8</f>
        <v>1646.4</v>
      </c>
    </row>
    <row r="9" spans="1:19" x14ac:dyDescent="0.2">
      <c r="A9" s="46">
        <f>[1]Generatoren!A9</f>
        <v>1027</v>
      </c>
      <c r="B9" s="52" t="str">
        <f>[1]Generatoren!B9</f>
        <v>Container Feuerwehr</v>
      </c>
      <c r="C9" s="52" t="str">
        <f>[1]Generatoren!C9</f>
        <v>18.1</v>
      </c>
      <c r="D9" s="73">
        <f>[1]Generatoren!D9</f>
        <v>45567</v>
      </c>
      <c r="E9" s="55" t="str">
        <f>[1]Generatoren!J9</f>
        <v>Heizöl</v>
      </c>
      <c r="F9" s="74">
        <f>[1]Generatoren!K9</f>
        <v>735</v>
      </c>
      <c r="G9" s="74">
        <f>[1]Generatoren!L9</f>
        <v>735</v>
      </c>
      <c r="H9" s="74" t="str">
        <f>[1]Generatoren!M9</f>
        <v>x</v>
      </c>
      <c r="I9" s="74">
        <f>[1]Generatoren!N9</f>
        <v>661.5</v>
      </c>
      <c r="J9" s="74">
        <f>[1]Generatoren!O9</f>
        <v>90</v>
      </c>
      <c r="K9" s="74">
        <f>[1]Generatoren!Q9</f>
        <v>36.75</v>
      </c>
      <c r="L9" s="75">
        <f>[1]Generatoren!T9</f>
        <v>84</v>
      </c>
      <c r="M9" s="75">
        <f>[1]Generatoren!U9</f>
        <v>60</v>
      </c>
      <c r="N9" s="75">
        <f>[1]Generatoren!W9</f>
        <v>71.428571428571431</v>
      </c>
      <c r="O9" s="75">
        <f>[1]Generatoren!P9</f>
        <v>47.115384615384613</v>
      </c>
      <c r="P9" s="50">
        <f>[1]Generatoren!R9</f>
        <v>42.403846153846153</v>
      </c>
      <c r="Q9" s="75">
        <f>[1]Generatoren!X9</f>
        <v>15.600000000000001</v>
      </c>
      <c r="R9" s="75">
        <f>[1]Generatoren!Y9</f>
        <v>1123.2</v>
      </c>
      <c r="S9" s="76">
        <f>[1]Generatoren!Z9</f>
        <v>1310.4000000000001</v>
      </c>
    </row>
    <row r="10" spans="1:19" x14ac:dyDescent="0.2">
      <c r="A10" s="46">
        <f>[1]Generatoren!A11</f>
        <v>1050</v>
      </c>
      <c r="B10" s="52" t="str">
        <f>[1]Generatoren!B11</f>
        <v>Gen. Shop</v>
      </c>
      <c r="C10" s="52" t="str">
        <f>[1]Generatoren!C11</f>
        <v>8.1</v>
      </c>
      <c r="D10" s="73">
        <f>[1]Generatoren!D11</f>
        <v>45580</v>
      </c>
      <c r="E10" s="55" t="str">
        <f>[1]Generatoren!J11</f>
        <v>Heizöl</v>
      </c>
      <c r="F10" s="74">
        <f>[1]Generatoren!K11</f>
        <v>2500</v>
      </c>
      <c r="G10" s="74">
        <f>[1]Generatoren!L11</f>
        <v>2000</v>
      </c>
      <c r="H10" s="74">
        <f>[1]Generatoren!M11</f>
        <v>500</v>
      </c>
      <c r="I10" s="74">
        <f>[1]Generatoren!N11</f>
        <v>1650</v>
      </c>
      <c r="J10" s="74">
        <f>[1]Generatoren!O11</f>
        <v>82.5</v>
      </c>
      <c r="K10" s="74">
        <f>[1]Generatoren!Q11</f>
        <v>250</v>
      </c>
      <c r="L10" s="75">
        <f>[1]Generatoren!T11</f>
        <v>248</v>
      </c>
      <c r="M10" s="75">
        <f>[1]Generatoren!U11</f>
        <v>35</v>
      </c>
      <c r="N10" s="75">
        <f>[1]Generatoren!W11</f>
        <v>14.112903225806452</v>
      </c>
      <c r="O10" s="75">
        <f>[1]Generatoren!P11</f>
        <v>230.41474654377882</v>
      </c>
      <c r="P10" s="50">
        <f>[1]Generatoren!R11</f>
        <v>198.15668202764977</v>
      </c>
      <c r="Q10" s="75">
        <f>[1]Generatoren!X11</f>
        <v>10.85</v>
      </c>
      <c r="R10" s="75">
        <f>[1]Generatoren!Y11</f>
        <v>781.19999999999993</v>
      </c>
      <c r="S10" s="76">
        <f>[1]Generatoren!Z11</f>
        <v>911.39999999999986</v>
      </c>
    </row>
    <row r="11" spans="1:19" x14ac:dyDescent="0.2">
      <c r="A11" s="46">
        <f>[1]Generatoren!A12</f>
        <v>1059</v>
      </c>
      <c r="B11" s="52" t="str">
        <f>[1]Generatoren!B12</f>
        <v>EOC</v>
      </c>
      <c r="C11" s="52" t="str">
        <f>[1]Generatoren!C12</f>
        <v>x</v>
      </c>
      <c r="D11" s="73">
        <f>[1]Generatoren!D12</f>
        <v>45594</v>
      </c>
      <c r="E11" s="55" t="str">
        <f>[1]Generatoren!J12</f>
        <v>Heizöl</v>
      </c>
      <c r="F11" s="74">
        <f>[1]Generatoren!K12</f>
        <v>600</v>
      </c>
      <c r="G11" s="74">
        <f>[1]Generatoren!L12</f>
        <v>600</v>
      </c>
      <c r="H11" s="74" t="str">
        <f>[1]Generatoren!M12</f>
        <v>x</v>
      </c>
      <c r="I11" s="74">
        <f>[1]Generatoren!N12</f>
        <v>492</v>
      </c>
      <c r="J11" s="74">
        <f>[1]Generatoren!O12</f>
        <v>82</v>
      </c>
      <c r="K11" s="74">
        <f>[1]Generatoren!Q12</f>
        <v>78</v>
      </c>
      <c r="L11" s="75">
        <f>[1]Generatoren!T12</f>
        <v>32</v>
      </c>
      <c r="M11" s="75">
        <f>[1]Generatoren!U12</f>
        <v>16</v>
      </c>
      <c r="N11" s="75">
        <f>[1]Generatoren!W12</f>
        <v>50</v>
      </c>
      <c r="O11" s="75">
        <f>[1]Generatoren!P12</f>
        <v>120.96774193548387</v>
      </c>
      <c r="P11" s="50">
        <f>[1]Generatoren!R12</f>
        <v>99.193548387096769</v>
      </c>
      <c r="Q11" s="75">
        <f>[1]Generatoren!X12</f>
        <v>4.96</v>
      </c>
      <c r="R11" s="75">
        <f>[1]Generatoren!Y12</f>
        <v>357.12</v>
      </c>
      <c r="S11" s="76">
        <f>[1]Generatoren!Z12</f>
        <v>416.64</v>
      </c>
    </row>
    <row r="12" spans="1:19" x14ac:dyDescent="0.2">
      <c r="A12" s="46">
        <f>[1]Generatoren!A13</f>
        <v>1060</v>
      </c>
      <c r="B12" s="52" t="str">
        <f>[1]Generatoren!B13</f>
        <v>Flugleitung</v>
      </c>
      <c r="C12" s="52" t="str">
        <f>[1]Generatoren!C13</f>
        <v>1.1</v>
      </c>
      <c r="D12" s="73">
        <f>[1]Generatoren!D13</f>
        <v>45572</v>
      </c>
      <c r="E12" s="55" t="str">
        <f>[1]Generatoren!J13</f>
        <v>Heizöl</v>
      </c>
      <c r="F12" s="74">
        <f>[1]Generatoren!K13</f>
        <v>1000</v>
      </c>
      <c r="G12" s="74">
        <f>[1]Generatoren!L13</f>
        <v>1000</v>
      </c>
      <c r="H12" s="74" t="str">
        <f>[1]Generatoren!M13</f>
        <v>x</v>
      </c>
      <c r="I12" s="74">
        <f>[1]Generatoren!N13</f>
        <v>760</v>
      </c>
      <c r="J12" s="74">
        <f>[1]Generatoren!O13</f>
        <v>76</v>
      </c>
      <c r="K12" s="74">
        <f>[1]Generatoren!Q13</f>
        <v>190</v>
      </c>
      <c r="L12" s="75">
        <f>[1]Generatoren!T13</f>
        <v>48</v>
      </c>
      <c r="M12" s="75">
        <f>[1]Generatoren!U13</f>
        <v>17</v>
      </c>
      <c r="N12" s="75">
        <f>[1]Generatoren!W13</f>
        <v>35.416666666666671</v>
      </c>
      <c r="O12" s="75">
        <f>[1]Generatoren!P13</f>
        <v>226.24434389140271</v>
      </c>
      <c r="P12" s="50">
        <f>[1]Generatoren!R13</f>
        <v>171.94570135746608</v>
      </c>
      <c r="Q12" s="75">
        <f>[1]Generatoren!X13</f>
        <v>5.27</v>
      </c>
      <c r="R12" s="75">
        <f>[1]Generatoren!Y13</f>
        <v>379.43999999999994</v>
      </c>
      <c r="S12" s="76">
        <f>[1]Generatoren!Z13</f>
        <v>442.67999999999995</v>
      </c>
    </row>
    <row r="13" spans="1:19" x14ac:dyDescent="0.2">
      <c r="A13" s="46">
        <f>[1]Generatoren!A14</f>
        <v>1070</v>
      </c>
      <c r="B13" s="52" t="str">
        <f>[1]Generatoren!B14</f>
        <v>Nord Cont. B.</v>
      </c>
      <c r="C13" s="52" t="str">
        <f>[1]Generatoren!C14</f>
        <v>26.1</v>
      </c>
      <c r="D13" s="73">
        <f>[1]Generatoren!D14</f>
        <v>45593</v>
      </c>
      <c r="E13" s="55" t="str">
        <f>[1]Generatoren!J14</f>
        <v>Heizöl</v>
      </c>
      <c r="F13" s="74">
        <f>[1]Generatoren!K14</f>
        <v>700</v>
      </c>
      <c r="G13" s="74">
        <f>[1]Generatoren!L14</f>
        <v>700</v>
      </c>
      <c r="H13" s="74" t="str">
        <f>[1]Generatoren!M14</f>
        <v>x</v>
      </c>
      <c r="I13" s="74">
        <f>[1]Generatoren!N14</f>
        <v>595</v>
      </c>
      <c r="J13" s="74">
        <f>[1]Generatoren!O14</f>
        <v>85</v>
      </c>
      <c r="K13" s="74">
        <f>[1]Generatoren!Q14</f>
        <v>70</v>
      </c>
      <c r="L13" s="75">
        <f>[1]Generatoren!T14</f>
        <v>48</v>
      </c>
      <c r="M13" s="75">
        <f>[1]Generatoren!U14</f>
        <v>16</v>
      </c>
      <c r="N13" s="75">
        <f>[1]Generatoren!W14</f>
        <v>33.333333333333336</v>
      </c>
      <c r="O13" s="75">
        <f>[1]Generatoren!P14</f>
        <v>168.26923076923077</v>
      </c>
      <c r="P13" s="50">
        <f>[1]Generatoren!R14</f>
        <v>143.02884615384616</v>
      </c>
      <c r="Q13" s="75">
        <f>[1]Generatoren!X14</f>
        <v>4.16</v>
      </c>
      <c r="R13" s="75">
        <f>[1]Generatoren!Y14</f>
        <v>299.52</v>
      </c>
      <c r="S13" s="76">
        <f>[1]Generatoren!Z14</f>
        <v>349.44</v>
      </c>
    </row>
    <row r="14" spans="1:19" x14ac:dyDescent="0.2">
      <c r="A14" s="46">
        <f>[1]Generatoren!A15</f>
        <v>1071</v>
      </c>
      <c r="B14" s="52" t="str">
        <f>[1]Generatoren!B15</f>
        <v>Nordseite Wilson</v>
      </c>
      <c r="C14" s="52" t="str">
        <f>[1]Generatoren!C15</f>
        <v>20.1</v>
      </c>
      <c r="D14" s="73">
        <f>[1]Generatoren!D15</f>
        <v>45593</v>
      </c>
      <c r="E14" s="55" t="str">
        <f>[1]Generatoren!J15</f>
        <v>Heizöl</v>
      </c>
      <c r="F14" s="74">
        <f>[1]Generatoren!K15</f>
        <v>360</v>
      </c>
      <c r="G14" s="74">
        <f>[1]Generatoren!L15</f>
        <v>360</v>
      </c>
      <c r="H14" s="74" t="str">
        <f>[1]Generatoren!M15</f>
        <v>x</v>
      </c>
      <c r="I14" s="74">
        <f>[1]Generatoren!N15</f>
        <v>324</v>
      </c>
      <c r="J14" s="74">
        <f>[1]Generatoren!O15</f>
        <v>90</v>
      </c>
      <c r="K14" s="74">
        <f>[1]Generatoren!Q15</f>
        <v>18</v>
      </c>
      <c r="L14" s="75">
        <f>[1]Generatoren!T15</f>
        <v>48</v>
      </c>
      <c r="M14" s="75">
        <f>[1]Generatoren!U15</f>
        <v>16</v>
      </c>
      <c r="N14" s="75">
        <f>[1]Generatoren!W15</f>
        <v>33.333333333333336</v>
      </c>
      <c r="O14" s="75">
        <f>[1]Generatoren!P15</f>
        <v>75</v>
      </c>
      <c r="P14" s="50">
        <f>[1]Generatoren!R15</f>
        <v>67.5</v>
      </c>
      <c r="Q14" s="75">
        <f>[1]Generatoren!X15</f>
        <v>4.8</v>
      </c>
      <c r="R14" s="75">
        <f>[1]Generatoren!Y15</f>
        <v>345.59999999999997</v>
      </c>
      <c r="S14" s="76">
        <f>[1]Generatoren!Z15</f>
        <v>403.19999999999993</v>
      </c>
    </row>
    <row r="15" spans="1:19" x14ac:dyDescent="0.2">
      <c r="A15" s="46">
        <f>[1]Generatoren!A16</f>
        <v>1086</v>
      </c>
      <c r="B15" s="52" t="str">
        <f>[1]Generatoren!B16</f>
        <v>Airfield Thomas</v>
      </c>
      <c r="C15" s="52" t="str">
        <f>[1]Generatoren!C16</f>
        <v>9.1</v>
      </c>
      <c r="D15" s="73">
        <f>[1]Generatoren!D16</f>
        <v>45581</v>
      </c>
      <c r="E15" s="55" t="str">
        <f>[1]Generatoren!J16</f>
        <v>Heizöl</v>
      </c>
      <c r="F15" s="74">
        <f>[1]Generatoren!K16</f>
        <v>5200</v>
      </c>
      <c r="G15" s="74">
        <f>[1]Generatoren!L16</f>
        <v>5000</v>
      </c>
      <c r="H15" s="74">
        <f>[1]Generatoren!M16</f>
        <v>200</v>
      </c>
      <c r="I15" s="74">
        <f>[1]Generatoren!N16</f>
        <v>4070</v>
      </c>
      <c r="J15" s="74">
        <f>[1]Generatoren!O16</f>
        <v>81.400000000000006</v>
      </c>
      <c r="K15" s="74">
        <f>[1]Generatoren!Q16</f>
        <v>680</v>
      </c>
      <c r="L15" s="75">
        <f>[1]Generatoren!T16</f>
        <v>320</v>
      </c>
      <c r="M15" s="75">
        <f>[1]Generatoren!U16</f>
        <v>60</v>
      </c>
      <c r="N15" s="75">
        <f>[1]Generatoren!W16</f>
        <v>18.75</v>
      </c>
      <c r="O15" s="75">
        <f>[1]Generatoren!P16</f>
        <v>279.56989247311827</v>
      </c>
      <c r="P15" s="50">
        <f>[1]Generatoren!R16</f>
        <v>229.56989247311827</v>
      </c>
      <c r="Q15" s="75">
        <f>[1]Generatoren!X16</f>
        <v>18.600000000000001</v>
      </c>
      <c r="R15" s="75">
        <f>[1]Generatoren!Y16</f>
        <v>1339.2</v>
      </c>
      <c r="S15" s="76">
        <f>[1]Generatoren!Z16</f>
        <v>1562.4</v>
      </c>
    </row>
    <row r="16" spans="1:19" x14ac:dyDescent="0.2">
      <c r="A16" s="46">
        <f>[1]Generatoren!A17</f>
        <v>1183</v>
      </c>
      <c r="B16" s="52" t="str">
        <f>[1]Generatoren!B17</f>
        <v>Shelter</v>
      </c>
      <c r="C16" s="52" t="str">
        <f>[1]Generatoren!C17</f>
        <v>x</v>
      </c>
      <c r="D16" s="73">
        <f>[1]Generatoren!D17</f>
        <v>45594</v>
      </c>
      <c r="E16" s="55" t="str">
        <f>[1]Generatoren!J17</f>
        <v>Heizöl</v>
      </c>
      <c r="F16" s="74">
        <f>[1]Generatoren!K17</f>
        <v>500</v>
      </c>
      <c r="G16" s="74">
        <f>[1]Generatoren!L17</f>
        <v>500</v>
      </c>
      <c r="H16" s="74" t="str">
        <f>[1]Generatoren!M17</f>
        <v>x</v>
      </c>
      <c r="I16" s="74">
        <f>[1]Generatoren!N17</f>
        <v>100</v>
      </c>
      <c r="J16" s="74">
        <f>[1]Generatoren!O17</f>
        <v>20</v>
      </c>
      <c r="K16" s="74">
        <f>[1]Generatoren!Q17</f>
        <v>375</v>
      </c>
      <c r="L16" s="75">
        <f>[1]Generatoren!T17</f>
        <v>32</v>
      </c>
      <c r="M16" s="75">
        <f>[1]Generatoren!U17</f>
        <v>10</v>
      </c>
      <c r="N16" s="75">
        <f>[1]Generatoren!W17</f>
        <v>31.25</v>
      </c>
      <c r="O16" s="75">
        <f>[1]Generatoren!P17</f>
        <v>192.30769230769229</v>
      </c>
      <c r="P16" s="50">
        <f>[1]Generatoren!R17</f>
        <v>38.46153846153846</v>
      </c>
      <c r="Q16" s="75">
        <f>[1]Generatoren!X17</f>
        <v>2.6</v>
      </c>
      <c r="R16" s="75">
        <f>[1]Generatoren!Y17</f>
        <v>187.20000000000002</v>
      </c>
      <c r="S16" s="76">
        <f>[1]Generatoren!Z17</f>
        <v>218.40000000000003</v>
      </c>
    </row>
    <row r="17" spans="1:19" x14ac:dyDescent="0.2">
      <c r="A17" s="46">
        <f>[1]Generatoren!A18</f>
        <v>1186</v>
      </c>
      <c r="B17" s="52" t="str">
        <f>[1]Generatoren!B18</f>
        <v>Shelter</v>
      </c>
      <c r="C17" s="52" t="str">
        <f>[1]Generatoren!C18</f>
        <v>x</v>
      </c>
      <c r="D17" s="73">
        <f>[1]Generatoren!D18</f>
        <v>45594</v>
      </c>
      <c r="E17" s="55" t="str">
        <f>[1]Generatoren!J18</f>
        <v>Heizöl</v>
      </c>
      <c r="F17" s="74">
        <f>[1]Generatoren!K18</f>
        <v>500</v>
      </c>
      <c r="G17" s="74">
        <f>[1]Generatoren!L18</f>
        <v>500</v>
      </c>
      <c r="H17" s="74" t="str">
        <f>[1]Generatoren!M18</f>
        <v>x</v>
      </c>
      <c r="I17" s="74">
        <f>[1]Generatoren!N18</f>
        <v>125</v>
      </c>
      <c r="J17" s="74">
        <f>[1]Generatoren!O18</f>
        <v>25</v>
      </c>
      <c r="K17" s="74">
        <f>[1]Generatoren!Q18</f>
        <v>350</v>
      </c>
      <c r="L17" s="75">
        <f>[1]Generatoren!T18</f>
        <v>32</v>
      </c>
      <c r="M17" s="75">
        <f>[1]Generatoren!U18</f>
        <v>10</v>
      </c>
      <c r="N17" s="75">
        <f>[1]Generatoren!W18</f>
        <v>31.25</v>
      </c>
      <c r="O17" s="75">
        <f>[1]Generatoren!P18</f>
        <v>192.30769230769229</v>
      </c>
      <c r="P17" s="50">
        <f>[1]Generatoren!R18</f>
        <v>48.076923076923073</v>
      </c>
      <c r="Q17" s="75">
        <f>[1]Generatoren!X18</f>
        <v>2.6</v>
      </c>
      <c r="R17" s="75">
        <f>[1]Generatoren!Y18</f>
        <v>187.20000000000002</v>
      </c>
      <c r="S17" s="76">
        <f>[1]Generatoren!Z18</f>
        <v>218.40000000000003</v>
      </c>
    </row>
    <row r="18" spans="1:19" x14ac:dyDescent="0.2">
      <c r="A18" s="46">
        <f>[1]Generatoren!A19</f>
        <v>1191</v>
      </c>
      <c r="B18" s="52" t="str">
        <f>[1]Generatoren!B19</f>
        <v>Shelter</v>
      </c>
      <c r="C18" s="52" t="str">
        <f>[1]Generatoren!C19</f>
        <v>x</v>
      </c>
      <c r="D18" s="73">
        <f>[1]Generatoren!D19</f>
        <v>45595</v>
      </c>
      <c r="E18" s="55" t="str">
        <f>[1]Generatoren!J19</f>
        <v>Heizöl</v>
      </c>
      <c r="F18" s="74">
        <f>[1]Generatoren!K19</f>
        <v>500</v>
      </c>
      <c r="G18" s="74">
        <f>[1]Generatoren!L19</f>
        <v>500</v>
      </c>
      <c r="H18" s="74" t="str">
        <f>[1]Generatoren!M19</f>
        <v>x</v>
      </c>
      <c r="I18" s="74">
        <f>[1]Generatoren!N19</f>
        <v>100</v>
      </c>
      <c r="J18" s="74">
        <f>[1]Generatoren!O19</f>
        <v>20</v>
      </c>
      <c r="K18" s="74">
        <f>[1]Generatoren!Q19</f>
        <v>375</v>
      </c>
      <c r="L18" s="75">
        <f>[1]Generatoren!T19</f>
        <v>32</v>
      </c>
      <c r="M18" s="75">
        <f>[1]Generatoren!U19</f>
        <v>10</v>
      </c>
      <c r="N18" s="75">
        <f>[1]Generatoren!W19</f>
        <v>31.25</v>
      </c>
      <c r="O18" s="75">
        <f>[1]Generatoren!P19</f>
        <v>192.30769230769229</v>
      </c>
      <c r="P18" s="50">
        <f>[1]Generatoren!R19</f>
        <v>38.46153846153846</v>
      </c>
      <c r="Q18" s="75">
        <f>[1]Generatoren!X19</f>
        <v>2.6</v>
      </c>
      <c r="R18" s="75">
        <f>[1]Generatoren!Y19</f>
        <v>187.20000000000002</v>
      </c>
      <c r="S18" s="76">
        <f>[1]Generatoren!Z19</f>
        <v>218.40000000000003</v>
      </c>
    </row>
    <row r="19" spans="1:19" x14ac:dyDescent="0.2">
      <c r="A19" s="46">
        <f>[1]Generatoren!A20</f>
        <v>1205</v>
      </c>
      <c r="B19" s="52" t="str">
        <f>[1]Generatoren!B20</f>
        <v>Command</v>
      </c>
      <c r="C19" s="52" t="str">
        <f>[1]Generatoren!C20</f>
        <v>17.1</v>
      </c>
      <c r="D19" s="73">
        <f>[1]Generatoren!D20</f>
        <v>45574</v>
      </c>
      <c r="E19" s="55" t="str">
        <f>[1]Generatoren!J20</f>
        <v>Heizöl</v>
      </c>
      <c r="F19" s="74">
        <f>[1]Generatoren!K20</f>
        <v>2000</v>
      </c>
      <c r="G19" s="74">
        <f>[1]Generatoren!L20</f>
        <v>2000</v>
      </c>
      <c r="H19" s="74" t="str">
        <f>[1]Generatoren!M20</f>
        <v>x</v>
      </c>
      <c r="I19" s="74">
        <f>[1]Generatoren!N20</f>
        <v>1900</v>
      </c>
      <c r="J19" s="74">
        <f>[1]Generatoren!O20</f>
        <v>95</v>
      </c>
      <c r="K19" s="74">
        <f>[1]Generatoren!Q20</f>
        <v>0</v>
      </c>
      <c r="L19" s="75">
        <f>[1]Generatoren!T20</f>
        <v>104</v>
      </c>
      <c r="M19" s="75">
        <f>[1]Generatoren!U20</f>
        <v>28</v>
      </c>
      <c r="N19" s="75">
        <f>[1]Generatoren!W20</f>
        <v>26.923076923076923</v>
      </c>
      <c r="O19" s="75">
        <f>[1]Generatoren!P20</f>
        <v>255.10204081632651</v>
      </c>
      <c r="P19" s="50">
        <f>[1]Generatoren!R20</f>
        <v>242.34693877551018</v>
      </c>
      <c r="Q19" s="75">
        <f>[1]Generatoren!X20</f>
        <v>7.8400000000000007</v>
      </c>
      <c r="R19" s="75">
        <f>[1]Generatoren!Y20</f>
        <v>564.48</v>
      </c>
      <c r="S19" s="76">
        <f>[1]Generatoren!Z20</f>
        <v>658.56000000000006</v>
      </c>
    </row>
    <row r="20" spans="1:19" x14ac:dyDescent="0.2">
      <c r="A20" s="46">
        <f>[1]Generatoren!A21</f>
        <v>1222</v>
      </c>
      <c r="B20" s="52" t="str">
        <f>[1]Generatoren!B21</f>
        <v>AFN</v>
      </c>
      <c r="C20" s="52" t="str">
        <f>[1]Generatoren!C21</f>
        <v>11.1</v>
      </c>
      <c r="D20" s="73">
        <f>[1]Generatoren!D21</f>
        <v>45574</v>
      </c>
      <c r="E20" s="55" t="str">
        <f>[1]Generatoren!J21</f>
        <v>Heizöl</v>
      </c>
      <c r="F20" s="74">
        <f>[1]Generatoren!K21</f>
        <v>700</v>
      </c>
      <c r="G20" s="74">
        <f>[1]Generatoren!L21</f>
        <v>700</v>
      </c>
      <c r="H20" s="74" t="str">
        <f>[1]Generatoren!M21</f>
        <v>x</v>
      </c>
      <c r="I20" s="74">
        <f>[1]Generatoren!N21</f>
        <v>455</v>
      </c>
      <c r="J20" s="74">
        <f>[1]Generatoren!O21</f>
        <v>65</v>
      </c>
      <c r="K20" s="74">
        <f>[1]Generatoren!Q21</f>
        <v>210</v>
      </c>
      <c r="L20" s="75">
        <f>[1]Generatoren!T21</f>
        <v>76.8</v>
      </c>
      <c r="M20" s="75">
        <f>[1]Generatoren!U21</f>
        <v>35</v>
      </c>
      <c r="N20" s="75">
        <f>[1]Generatoren!W21</f>
        <v>45.572916666666664</v>
      </c>
      <c r="O20" s="75">
        <f>[1]Generatoren!P21</f>
        <v>76.92307692307692</v>
      </c>
      <c r="P20" s="50">
        <f>[1]Generatoren!R21</f>
        <v>50</v>
      </c>
      <c r="Q20" s="75">
        <f>[1]Generatoren!X21</f>
        <v>9.1</v>
      </c>
      <c r="R20" s="75">
        <f>[1]Generatoren!Y21</f>
        <v>655.19999999999993</v>
      </c>
      <c r="S20" s="76">
        <f>[1]Generatoren!Z21</f>
        <v>764.39999999999986</v>
      </c>
    </row>
    <row r="21" spans="1:19" x14ac:dyDescent="0.2">
      <c r="A21" s="46">
        <f>[1]Generatoren!A22</f>
        <v>1500</v>
      </c>
      <c r="B21" s="52" t="str">
        <f>[1]Generatoren!B22</f>
        <v>IPC</v>
      </c>
      <c r="C21" s="52" t="str">
        <f>[1]Generatoren!C22</f>
        <v>x</v>
      </c>
      <c r="D21" s="73">
        <f>[1]Generatoren!D22</f>
        <v>45572</v>
      </c>
      <c r="E21" s="55" t="str">
        <f>[1]Generatoren!J22</f>
        <v>Heizöl</v>
      </c>
      <c r="F21" s="74">
        <f>[1]Generatoren!K22</f>
        <v>31000</v>
      </c>
      <c r="G21" s="74">
        <f>[1]Generatoren!L22</f>
        <v>30000</v>
      </c>
      <c r="H21" s="74">
        <f>[1]Generatoren!M22</f>
        <v>1000</v>
      </c>
      <c r="I21" s="74">
        <f>[1]Generatoren!N22</f>
        <v>27000</v>
      </c>
      <c r="J21" s="74">
        <f>[1]Generatoren!O22</f>
        <v>90</v>
      </c>
      <c r="K21" s="74">
        <f>[1]Generatoren!Q22</f>
        <v>1500</v>
      </c>
      <c r="L21" s="75">
        <f>[1]Generatoren!T22</f>
        <v>1484.8</v>
      </c>
      <c r="M21" s="75">
        <f>[1]Generatoren!U22</f>
        <v>385</v>
      </c>
      <c r="N21" s="75">
        <f>[1]Generatoren!W22</f>
        <v>25.929418103448278</v>
      </c>
      <c r="O21" s="75">
        <f>[1]Generatoren!P22</f>
        <v>259.74025974025977</v>
      </c>
      <c r="P21" s="50">
        <f>[1]Generatoren!R22</f>
        <v>234.60410557184753</v>
      </c>
      <c r="Q21" s="75">
        <f>[1]Generatoren!X22</f>
        <v>119.35</v>
      </c>
      <c r="R21" s="75">
        <f>[1]Generatoren!Y22</f>
        <v>8593.1999999999989</v>
      </c>
      <c r="S21" s="76">
        <f>[1]Generatoren!Z22</f>
        <v>10025.399999999998</v>
      </c>
    </row>
    <row r="22" spans="1:19" x14ac:dyDescent="0.2">
      <c r="A22" s="46">
        <f>[1]Generatoren!A23</f>
        <v>1507</v>
      </c>
      <c r="B22" s="52" t="str">
        <f>[1]Generatoren!B23</f>
        <v>Cont. MA-Weiler</v>
      </c>
      <c r="C22" s="52" t="str">
        <f>[1]Generatoren!C23</f>
        <v>12.1</v>
      </c>
      <c r="D22" s="73">
        <f>[1]Generatoren!D23</f>
        <v>45573</v>
      </c>
      <c r="E22" s="55" t="str">
        <f>[1]Generatoren!J23</f>
        <v>Heizöl</v>
      </c>
      <c r="F22" s="74">
        <f>[1]Generatoren!K23</f>
        <v>4500</v>
      </c>
      <c r="G22" s="74">
        <f>[1]Generatoren!L23</f>
        <v>4000</v>
      </c>
      <c r="H22" s="74">
        <f>[1]Generatoren!M23</f>
        <v>500</v>
      </c>
      <c r="I22" s="74">
        <f>[1]Generatoren!N23</f>
        <v>3800</v>
      </c>
      <c r="J22" s="74">
        <f>[1]Generatoren!O23</f>
        <v>95</v>
      </c>
      <c r="K22" s="74">
        <f>[1]Generatoren!Q23</f>
        <v>0</v>
      </c>
      <c r="L22" s="75">
        <f>[1]Generatoren!T23</f>
        <v>400</v>
      </c>
      <c r="M22" s="75">
        <f>[1]Generatoren!U23</f>
        <v>150</v>
      </c>
      <c r="N22" s="75">
        <f>[1]Generatoren!W23</f>
        <v>37.5</v>
      </c>
      <c r="O22" s="75">
        <f>[1]Generatoren!P23</f>
        <v>96.774193548387103</v>
      </c>
      <c r="P22" s="50">
        <f>[1]Generatoren!R23</f>
        <v>92.473118279569889</v>
      </c>
      <c r="Q22" s="75">
        <f>[1]Generatoren!X23</f>
        <v>46.5</v>
      </c>
      <c r="R22" s="75">
        <f>[1]Generatoren!Y23</f>
        <v>3348</v>
      </c>
      <c r="S22" s="76">
        <f>[1]Generatoren!Z23</f>
        <v>3906</v>
      </c>
    </row>
    <row r="23" spans="1:19" x14ac:dyDescent="0.2">
      <c r="A23" s="46">
        <f>[1]Generatoren!A24</f>
        <v>1569</v>
      </c>
      <c r="B23" s="52" t="str">
        <f>[1]Generatoren!B24</f>
        <v>Airfield Tacan</v>
      </c>
      <c r="C23" s="52" t="str">
        <f>[1]Generatoren!C24</f>
        <v>16.1</v>
      </c>
      <c r="D23" s="73">
        <f>[1]Generatoren!D24</f>
        <v>45582</v>
      </c>
      <c r="E23" s="55" t="str">
        <f>[1]Generatoren!J24</f>
        <v>Heizöl</v>
      </c>
      <c r="F23" s="74">
        <f>[1]Generatoren!K24</f>
        <v>1080</v>
      </c>
      <c r="G23" s="74">
        <f>[1]Generatoren!L24</f>
        <v>1080</v>
      </c>
      <c r="H23" s="74" t="str">
        <f>[1]Generatoren!M24</f>
        <v>x</v>
      </c>
      <c r="I23" s="74">
        <f>[1]Generatoren!N24</f>
        <v>990</v>
      </c>
      <c r="J23" s="74">
        <f>[1]Generatoren!O24</f>
        <v>91.666666666666657</v>
      </c>
      <c r="K23" s="74">
        <f>[1]Generatoren!Q24</f>
        <v>36</v>
      </c>
      <c r="L23" s="75">
        <f>[1]Generatoren!T24</f>
        <v>128</v>
      </c>
      <c r="M23" s="75">
        <f>[1]Generatoren!U24</f>
        <v>17</v>
      </c>
      <c r="N23" s="75">
        <f>[1]Generatoren!W24</f>
        <v>13.28125</v>
      </c>
      <c r="O23" s="75">
        <f>[1]Generatoren!P24</f>
        <v>226.89075630252097</v>
      </c>
      <c r="P23" s="50">
        <f>[1]Generatoren!R24</f>
        <v>207.9831932773109</v>
      </c>
      <c r="Q23" s="75">
        <f>[1]Generatoren!X24</f>
        <v>4.7600000000000007</v>
      </c>
      <c r="R23" s="75">
        <f>[1]Generatoren!Y24</f>
        <v>342.72</v>
      </c>
      <c r="S23" s="76">
        <f>[1]Generatoren!Z24</f>
        <v>399.84000000000003</v>
      </c>
    </row>
    <row r="24" spans="1:19" x14ac:dyDescent="0.2">
      <c r="A24" s="46">
        <f>[1]Generatoren!A25</f>
        <v>3341</v>
      </c>
      <c r="B24" s="52" t="str">
        <f>[1]Generatoren!B25</f>
        <v>Container NAU</v>
      </c>
      <c r="C24" s="52" t="str">
        <f>[1]Generatoren!C25</f>
        <v>15.1</v>
      </c>
      <c r="D24" s="73">
        <f>[1]Generatoren!D25</f>
        <v>45595</v>
      </c>
      <c r="E24" s="55" t="str">
        <f>[1]Generatoren!J25</f>
        <v>Heizöl</v>
      </c>
      <c r="F24" s="74">
        <f>[1]Generatoren!K25</f>
        <v>9250</v>
      </c>
      <c r="G24" s="74">
        <f>[1]Generatoren!L25</f>
        <v>8500</v>
      </c>
      <c r="H24" s="74">
        <f>[1]Generatoren!M25</f>
        <v>750</v>
      </c>
      <c r="I24" s="74">
        <f>[1]Generatoren!N25</f>
        <v>7650</v>
      </c>
      <c r="J24" s="74">
        <f>[1]Generatoren!O25</f>
        <v>90</v>
      </c>
      <c r="K24" s="74">
        <f>[1]Generatoren!Q25</f>
        <v>425</v>
      </c>
      <c r="L24" s="75">
        <f>[1]Generatoren!T25</f>
        <v>640</v>
      </c>
      <c r="M24" s="75">
        <f>[1]Generatoren!U25</f>
        <v>210</v>
      </c>
      <c r="N24" s="75">
        <f>[1]Generatoren!W25</f>
        <v>32.8125</v>
      </c>
      <c r="O24" s="75">
        <f>[1]Generatoren!P25</f>
        <v>142.08909370199694</v>
      </c>
      <c r="P24" s="50">
        <f>[1]Generatoren!R25</f>
        <v>117.5115207373272</v>
      </c>
      <c r="Q24" s="75">
        <f>[1]Generatoren!X25</f>
        <v>65.099999999999994</v>
      </c>
      <c r="R24" s="75">
        <f>[1]Generatoren!Y25</f>
        <v>4687.2</v>
      </c>
      <c r="S24" s="76">
        <f>[1]Generatoren!Z25</f>
        <v>5468.4</v>
      </c>
    </row>
    <row r="25" spans="1:19" x14ac:dyDescent="0.2">
      <c r="A25" s="46">
        <f>[1]Generatoren!A26</f>
        <v>3377</v>
      </c>
      <c r="B25" s="52" t="str">
        <f>[1]Generatoren!B26</f>
        <v>Nordseite MTU bl</v>
      </c>
      <c r="C25" s="52" t="str">
        <f>[1]Generatoren!C26</f>
        <v>3.1</v>
      </c>
      <c r="D25" s="73">
        <f>[1]Generatoren!D26</f>
        <v>45596</v>
      </c>
      <c r="E25" s="55" t="str">
        <f>[1]Generatoren!J26</f>
        <v>Heizöl</v>
      </c>
      <c r="F25" s="74">
        <f>[1]Generatoren!K26</f>
        <v>1000</v>
      </c>
      <c r="G25" s="74">
        <f>[1]Generatoren!L26</f>
        <v>1000</v>
      </c>
      <c r="H25" s="74" t="str">
        <f>[1]Generatoren!M26</f>
        <v>x</v>
      </c>
      <c r="I25" s="74">
        <f>[1]Generatoren!N26</f>
        <v>900</v>
      </c>
      <c r="J25" s="74">
        <f>[1]Generatoren!O26</f>
        <v>90</v>
      </c>
      <c r="K25" s="74">
        <f>[1]Generatoren!Q26</f>
        <v>50</v>
      </c>
      <c r="L25" s="75">
        <f>[1]Generatoren!T26</f>
        <v>800</v>
      </c>
      <c r="M25" s="75">
        <f>[1]Generatoren!U26</f>
        <v>59</v>
      </c>
      <c r="N25" s="75">
        <f>[1]Generatoren!W26</f>
        <v>7.375</v>
      </c>
      <c r="O25" s="75">
        <f>[1]Generatoren!P26</f>
        <v>54.674685620557682</v>
      </c>
      <c r="P25" s="50">
        <f>[1]Generatoren!R26</f>
        <v>49.207217058501918</v>
      </c>
      <c r="Q25" s="75">
        <f>[1]Generatoren!X26</f>
        <v>18.29</v>
      </c>
      <c r="R25" s="75">
        <f>[1]Generatoren!Y26</f>
        <v>1316.8799999999999</v>
      </c>
      <c r="S25" s="76">
        <f>[1]Generatoren!Z26</f>
        <v>1536.36</v>
      </c>
    </row>
    <row r="26" spans="1:19" x14ac:dyDescent="0.2">
      <c r="A26" s="46">
        <f>[1]Generatoren!A27</f>
        <v>4008</v>
      </c>
      <c r="B26" s="52" t="str">
        <f>[1]Generatoren!B27</f>
        <v>Kastel St.Tel.</v>
      </c>
      <c r="C26" s="52" t="str">
        <f>[1]Generatoren!C27</f>
        <v>22.1</v>
      </c>
      <c r="D26" s="73">
        <f>[1]Generatoren!D27</f>
        <v>45566</v>
      </c>
      <c r="E26" s="55" t="str">
        <f>[1]Generatoren!J27</f>
        <v>Heizöl</v>
      </c>
      <c r="F26" s="74">
        <f>[1]Generatoren!K27</f>
        <v>300</v>
      </c>
      <c r="G26" s="74">
        <f>[1]Generatoren!L27</f>
        <v>300</v>
      </c>
      <c r="H26" s="74" t="str">
        <f>[1]Generatoren!M27</f>
        <v>x</v>
      </c>
      <c r="I26" s="74">
        <f>[1]Generatoren!N27</f>
        <v>240</v>
      </c>
      <c r="J26" s="74">
        <f>[1]Generatoren!O27</f>
        <v>80</v>
      </c>
      <c r="K26" s="74">
        <f>[1]Generatoren!Q27</f>
        <v>45</v>
      </c>
      <c r="L26" s="75">
        <f>[1]Generatoren!T27</f>
        <v>68</v>
      </c>
      <c r="M26" s="75">
        <f>[1]Generatoren!U27</f>
        <v>25</v>
      </c>
      <c r="N26" s="75">
        <f>[1]Generatoren!W27</f>
        <v>36.764705882352942</v>
      </c>
      <c r="O26" s="75">
        <f>[1]Generatoren!P27</f>
        <v>46.153846153846153</v>
      </c>
      <c r="P26" s="50">
        <f>[1]Generatoren!R27</f>
        <v>36.92307692307692</v>
      </c>
      <c r="Q26" s="75">
        <f>[1]Generatoren!X27</f>
        <v>6.5</v>
      </c>
      <c r="R26" s="75">
        <f>[1]Generatoren!Y27</f>
        <v>468</v>
      </c>
      <c r="S26" s="76">
        <f>[1]Generatoren!Z27</f>
        <v>546</v>
      </c>
    </row>
    <row r="27" spans="1:19" x14ac:dyDescent="0.2">
      <c r="A27" s="46">
        <f>[1]Generatoren!A28</f>
        <v>4508</v>
      </c>
      <c r="B27" s="52" t="str">
        <f>[1]Generatoren!B28</f>
        <v>Kastel St.Wache</v>
      </c>
      <c r="C27" s="52" t="str">
        <f>[1]Generatoren!C28</f>
        <v>23.1</v>
      </c>
      <c r="D27" s="73">
        <f>[1]Generatoren!D28</f>
        <v>45566</v>
      </c>
      <c r="E27" s="55" t="str">
        <f>[1]Generatoren!J28</f>
        <v>Heizöl</v>
      </c>
      <c r="F27" s="74">
        <f>[1]Generatoren!K28</f>
        <v>500</v>
      </c>
      <c r="G27" s="74">
        <f>[1]Generatoren!L28</f>
        <v>500</v>
      </c>
      <c r="H27" s="74" t="str">
        <f>[1]Generatoren!M28</f>
        <v>x</v>
      </c>
      <c r="I27" s="74">
        <f>[1]Generatoren!N28</f>
        <v>450</v>
      </c>
      <c r="J27" s="74">
        <f>[1]Generatoren!O28</f>
        <v>90</v>
      </c>
      <c r="K27" s="74">
        <f>[1]Generatoren!Q28</f>
        <v>25</v>
      </c>
      <c r="L27" s="75">
        <f>[1]Generatoren!T28</f>
        <v>32</v>
      </c>
      <c r="M27" s="75">
        <f>[1]Generatoren!U28</f>
        <v>20</v>
      </c>
      <c r="N27" s="75">
        <f>[1]Generatoren!W28</f>
        <v>62.5</v>
      </c>
      <c r="O27" s="75">
        <f>[1]Generatoren!P28</f>
        <v>96.153846153846146</v>
      </c>
      <c r="P27" s="50">
        <f>[1]Generatoren!R28</f>
        <v>86.538461538461533</v>
      </c>
      <c r="Q27" s="75">
        <f>[1]Generatoren!X28</f>
        <v>5.2</v>
      </c>
      <c r="R27" s="75">
        <f>[1]Generatoren!Y28</f>
        <v>374.40000000000003</v>
      </c>
      <c r="S27" s="76">
        <f>[1]Generatoren!Z28</f>
        <v>436.80000000000007</v>
      </c>
    </row>
    <row r="28" spans="1:19" x14ac:dyDescent="0.2">
      <c r="A28" s="46">
        <f>[1]Generatoren!A29</f>
        <v>5301</v>
      </c>
      <c r="B28" s="52" t="str">
        <f>[1]Generatoren!B29</f>
        <v>AEC 2 Cont,Grün</v>
      </c>
      <c r="C28" s="52" t="str">
        <f>[1]Generatoren!C29</f>
        <v>13.1</v>
      </c>
      <c r="D28" s="73">
        <f>[1]Generatoren!D29</f>
        <v>45588</v>
      </c>
      <c r="E28" s="55" t="str">
        <f>[1]Generatoren!J29</f>
        <v>Heizöl</v>
      </c>
      <c r="F28" s="74">
        <f>[1]Generatoren!K29</f>
        <v>13000</v>
      </c>
      <c r="G28" s="74">
        <f>[1]Generatoren!L29</f>
        <v>12500</v>
      </c>
      <c r="H28" s="74">
        <f>[1]Generatoren!M29</f>
        <v>500</v>
      </c>
      <c r="I28" s="74">
        <f>[1]Generatoren!N29</f>
        <v>11000</v>
      </c>
      <c r="J28" s="74">
        <f>[1]Generatoren!O29</f>
        <v>88</v>
      </c>
      <c r="K28" s="74">
        <f>[1]Generatoren!Q29</f>
        <v>875</v>
      </c>
      <c r="L28" s="75">
        <f>[1]Generatoren!T29</f>
        <v>640</v>
      </c>
      <c r="M28" s="75">
        <f>[1]Generatoren!U29</f>
        <v>200</v>
      </c>
      <c r="N28" s="75">
        <f>[1]Generatoren!W29</f>
        <v>31.25</v>
      </c>
      <c r="O28" s="75">
        <f>[1]Generatoren!P29</f>
        <v>209.67741935483872</v>
      </c>
      <c r="P28" s="50">
        <f>[1]Generatoren!R29</f>
        <v>185.48387096774192</v>
      </c>
      <c r="Q28" s="75">
        <f>[1]Generatoren!X29</f>
        <v>62</v>
      </c>
      <c r="R28" s="75">
        <f>[1]Generatoren!Y29</f>
        <v>4464</v>
      </c>
      <c r="S28" s="76">
        <f>[1]Generatoren!Z29</f>
        <v>5208</v>
      </c>
    </row>
    <row r="29" spans="1:19" x14ac:dyDescent="0.2">
      <c r="A29" s="46">
        <f>[1]Generatoren!A30</f>
        <v>6208</v>
      </c>
      <c r="B29" s="52" t="str">
        <f>[1]Generatoren!B30</f>
        <v>McCully Cont. Tel.</v>
      </c>
      <c r="C29" s="52" t="str">
        <f>[1]Generatoren!C30</f>
        <v>21.1</v>
      </c>
      <c r="D29" s="73">
        <f>[1]Generatoren!D30</f>
        <v>45566</v>
      </c>
      <c r="E29" s="55" t="str">
        <f>[1]Generatoren!J30</f>
        <v>Heizöl</v>
      </c>
      <c r="F29" s="74">
        <f>[1]Generatoren!K30</f>
        <v>900</v>
      </c>
      <c r="G29" s="74">
        <f>[1]Generatoren!L30</f>
        <v>700</v>
      </c>
      <c r="H29" s="74">
        <f>[1]Generatoren!M30</f>
        <v>200</v>
      </c>
      <c r="I29" s="74">
        <f>[1]Generatoren!N30</f>
        <v>560</v>
      </c>
      <c r="J29" s="74">
        <f>[1]Generatoren!O30</f>
        <v>80</v>
      </c>
      <c r="K29" s="74">
        <f>[1]Generatoren!Q30</f>
        <v>105</v>
      </c>
      <c r="L29" s="75">
        <f>[1]Generatoren!T30</f>
        <v>48</v>
      </c>
      <c r="M29" s="75">
        <f>[1]Generatoren!U30</f>
        <v>25</v>
      </c>
      <c r="N29" s="75">
        <f>[1]Generatoren!W30</f>
        <v>52.083333333333336</v>
      </c>
      <c r="O29" s="75">
        <f>[1]Generatoren!P30</f>
        <v>138.46153846153845</v>
      </c>
      <c r="P29" s="50">
        <f>[1]Generatoren!R30</f>
        <v>116.92307692307692</v>
      </c>
      <c r="Q29" s="75">
        <f>[1]Generatoren!X30</f>
        <v>6.5</v>
      </c>
      <c r="R29" s="75">
        <f>[1]Generatoren!Y30</f>
        <v>468</v>
      </c>
      <c r="S29" s="76">
        <f>[1]Generatoren!Z30</f>
        <v>546</v>
      </c>
    </row>
    <row r="30" spans="1:19" x14ac:dyDescent="0.2">
      <c r="A30" s="46">
        <f>[1]Generatoren!A31</f>
        <v>7203</v>
      </c>
      <c r="B30" s="52" t="str">
        <f>[1]Generatoren!B31</f>
        <v>McCully Wache</v>
      </c>
      <c r="C30" s="52" t="str">
        <f>[1]Generatoren!C31</f>
        <v>24.1</v>
      </c>
      <c r="D30" s="73">
        <f>[1]Generatoren!D31</f>
        <v>45566</v>
      </c>
      <c r="E30" s="55" t="str">
        <f>[1]Generatoren!J31</f>
        <v>Diesel</v>
      </c>
      <c r="F30" s="74">
        <f>[1]Generatoren!K31</f>
        <v>60</v>
      </c>
      <c r="G30" s="74">
        <f>[1]Generatoren!L31</f>
        <v>60</v>
      </c>
      <c r="H30" s="74" t="str">
        <f>[1]Generatoren!M31</f>
        <v>x</v>
      </c>
      <c r="I30" s="74">
        <f>[1]Generatoren!N31</f>
        <v>38.4</v>
      </c>
      <c r="J30" s="74">
        <f>[1]Generatoren!O31</f>
        <v>64</v>
      </c>
      <c r="K30" s="74">
        <f>[1]Generatoren!Q31</f>
        <v>18.600000000000001</v>
      </c>
      <c r="L30" s="75">
        <f>[1]Generatoren!T31</f>
        <v>32</v>
      </c>
      <c r="M30" s="75">
        <f>[1]Generatoren!U31</f>
        <v>15</v>
      </c>
      <c r="N30" s="75">
        <f>[1]Generatoren!W31</f>
        <v>46.875</v>
      </c>
      <c r="O30" s="75">
        <f>[1]Generatoren!P31</f>
        <v>15.384615384615383</v>
      </c>
      <c r="P30" s="50">
        <f>[1]Generatoren!R31</f>
        <v>9.8461538461538449</v>
      </c>
      <c r="Q30" s="75">
        <f>[1]Generatoren!X31</f>
        <v>3.9000000000000004</v>
      </c>
      <c r="R30" s="75">
        <f>[1]Generatoren!Y31</f>
        <v>280.8</v>
      </c>
      <c r="S30" s="76">
        <f>[1]Generatoren!Z31</f>
        <v>327.60000000000002</v>
      </c>
    </row>
    <row r="31" spans="1:19" x14ac:dyDescent="0.2">
      <c r="A31" s="46">
        <f>[1]Generatoren!A32</f>
        <v>7560</v>
      </c>
      <c r="B31" s="52" t="str">
        <f>[1]Generatoren!B32</f>
        <v>Kastel Annex Wache</v>
      </c>
      <c r="C31" s="52" t="str">
        <f>[1]Generatoren!C32</f>
        <v>x</v>
      </c>
      <c r="D31" s="73">
        <f>[1]Generatoren!D32</f>
        <v>45595</v>
      </c>
      <c r="E31" s="55" t="str">
        <f>[1]Generatoren!J32</f>
        <v>Heizöl</v>
      </c>
      <c r="F31" s="74">
        <f>[1]Generatoren!K32</f>
        <v>1500</v>
      </c>
      <c r="G31" s="74">
        <f>[1]Generatoren!L32</f>
        <v>1500</v>
      </c>
      <c r="H31" s="74" t="str">
        <f>[1]Generatoren!M32</f>
        <v>x</v>
      </c>
      <c r="I31" s="74">
        <f>[1]Generatoren!N32</f>
        <v>1425</v>
      </c>
      <c r="J31" s="74">
        <f>[1]Generatoren!O32</f>
        <v>95</v>
      </c>
      <c r="K31" s="74">
        <f>[1]Generatoren!Q32</f>
        <v>0</v>
      </c>
      <c r="L31" s="75">
        <f>[1]Generatoren!T32</f>
        <v>120</v>
      </c>
      <c r="M31" s="75">
        <f>[1]Generatoren!U32</f>
        <v>20</v>
      </c>
      <c r="N31" s="75">
        <f>[1]Generatoren!W32</f>
        <v>16.666666666666668</v>
      </c>
      <c r="O31" s="75">
        <f>[1]Generatoren!P32</f>
        <v>288.46153846153845</v>
      </c>
      <c r="P31" s="50">
        <f>[1]Generatoren!R32</f>
        <v>274.03846153846155</v>
      </c>
      <c r="Q31" s="75">
        <f>[1]Generatoren!X32</f>
        <v>5.2</v>
      </c>
      <c r="R31" s="75">
        <f>[1]Generatoren!Y32</f>
        <v>374.40000000000003</v>
      </c>
      <c r="S31" s="76">
        <f>[1]Generatoren!Z32</f>
        <v>436.80000000000007</v>
      </c>
    </row>
    <row r="32" spans="1:19" x14ac:dyDescent="0.2">
      <c r="A32" s="46">
        <f>[1]Generatoren!A33</f>
        <v>7762</v>
      </c>
      <c r="B32" s="52" t="str">
        <f>[1]Generatoren!B33</f>
        <v>Heinerberg Wache N</v>
      </c>
      <c r="C32" s="52" t="str">
        <f>[1]Generatoren!C33</f>
        <v>25.1</v>
      </c>
      <c r="D32" s="73">
        <f>[1]Generatoren!D33</f>
        <v>45586</v>
      </c>
      <c r="E32" s="55" t="str">
        <f>[1]Generatoren!J33</f>
        <v>Heizöl</v>
      </c>
      <c r="F32" s="74">
        <f>[1]Generatoren!K33</f>
        <v>500</v>
      </c>
      <c r="G32" s="74">
        <f>[1]Generatoren!L33</f>
        <v>500</v>
      </c>
      <c r="H32" s="74" t="str">
        <f>[1]Generatoren!M33</f>
        <v>x</v>
      </c>
      <c r="I32" s="74">
        <f>[1]Generatoren!N33</f>
        <v>300</v>
      </c>
      <c r="J32" s="74">
        <f>[1]Generatoren!O33</f>
        <v>60</v>
      </c>
      <c r="K32" s="74">
        <f>[1]Generatoren!Q33</f>
        <v>175</v>
      </c>
      <c r="L32" s="75">
        <f>[1]Generatoren!T33</f>
        <v>32</v>
      </c>
      <c r="M32" s="75">
        <f>[1]Generatoren!U33</f>
        <v>15</v>
      </c>
      <c r="N32" s="75">
        <f>[1]Generatoren!W33</f>
        <v>46.875</v>
      </c>
      <c r="O32" s="75">
        <f>[1]Generatoren!P33</f>
        <v>128.2051282051282</v>
      </c>
      <c r="P32" s="50">
        <f>[1]Generatoren!R33</f>
        <v>76.92307692307692</v>
      </c>
      <c r="Q32" s="75">
        <f>[1]Generatoren!X33</f>
        <v>3.9000000000000004</v>
      </c>
      <c r="R32" s="75">
        <f>[1]Generatoren!Y33</f>
        <v>280.8</v>
      </c>
      <c r="S32" s="76">
        <f>[1]Generatoren!Z33</f>
        <v>327.60000000000002</v>
      </c>
    </row>
    <row r="33" spans="1:19" x14ac:dyDescent="0.2">
      <c r="A33" s="46">
        <f>[1]Generatoren!A34</f>
        <v>7821</v>
      </c>
      <c r="B33" s="52" t="str">
        <f>[1]Generatoren!B34</f>
        <v>Heinerbg. Wache O</v>
      </c>
      <c r="C33" s="52" t="str">
        <f>[1]Generatoren!C34</f>
        <v>19.1</v>
      </c>
      <c r="D33" s="73">
        <f>[1]Generatoren!D34</f>
        <v>45587</v>
      </c>
      <c r="E33" s="55" t="str">
        <f>[1]Generatoren!J34</f>
        <v>Heizöl</v>
      </c>
      <c r="F33" s="74">
        <f>[1]Generatoren!K34</f>
        <v>500</v>
      </c>
      <c r="G33" s="74">
        <f>[1]Generatoren!L34</f>
        <v>500</v>
      </c>
      <c r="H33" s="74" t="str">
        <f>[1]Generatoren!M34</f>
        <v>x</v>
      </c>
      <c r="I33" s="74">
        <f>[1]Generatoren!N34</f>
        <v>400</v>
      </c>
      <c r="J33" s="74">
        <f>[1]Generatoren!O34</f>
        <v>80</v>
      </c>
      <c r="K33" s="74">
        <f>[1]Generatoren!Q34</f>
        <v>75</v>
      </c>
      <c r="L33" s="75">
        <f>[1]Generatoren!T34</f>
        <v>104</v>
      </c>
      <c r="M33" s="75">
        <f>[1]Generatoren!U34</f>
        <v>25</v>
      </c>
      <c r="N33" s="75">
        <f>[1]Generatoren!W34</f>
        <v>24.038461538461537</v>
      </c>
      <c r="O33" s="75">
        <f>[1]Generatoren!P34</f>
        <v>76.92307692307692</v>
      </c>
      <c r="P33" s="50">
        <f>[1]Generatoren!R34</f>
        <v>61.53846153846154</v>
      </c>
      <c r="Q33" s="75">
        <f>[1]Generatoren!X34</f>
        <v>6.5</v>
      </c>
      <c r="R33" s="75">
        <f>[1]Generatoren!Y34</f>
        <v>468</v>
      </c>
      <c r="S33" s="76">
        <f>[1]Generatoren!Z34</f>
        <v>546</v>
      </c>
    </row>
    <row r="34" spans="1:19" x14ac:dyDescent="0.2">
      <c r="A34" s="46">
        <f>[1]Generatoren!A35</f>
        <v>7850</v>
      </c>
      <c r="B34" s="52" t="str">
        <f>[1]Generatoren!B35</f>
        <v>Heinerberg PX</v>
      </c>
      <c r="C34" s="52" t="str">
        <f>[1]Generatoren!C35</f>
        <v>2.1</v>
      </c>
      <c r="D34" s="73">
        <f>[1]Generatoren!D35</f>
        <v>45587</v>
      </c>
      <c r="E34" s="55" t="str">
        <f>[1]Generatoren!J35</f>
        <v>SDiesel</v>
      </c>
      <c r="F34" s="74">
        <f>[1]Generatoren!K35</f>
        <v>3000</v>
      </c>
      <c r="G34" s="74">
        <f>[1]Generatoren!L35</f>
        <v>2000</v>
      </c>
      <c r="H34" s="74">
        <f>[1]Generatoren!M35</f>
        <v>1000</v>
      </c>
      <c r="I34" s="74">
        <f>[1]Generatoren!N35</f>
        <v>1880</v>
      </c>
      <c r="J34" s="74">
        <f>[1]Generatoren!O35</f>
        <v>94</v>
      </c>
      <c r="K34" s="74">
        <f>[1]Generatoren!Q35</f>
        <v>20</v>
      </c>
      <c r="L34" s="75">
        <f>[1]Generatoren!T35</f>
        <v>640</v>
      </c>
      <c r="M34" s="75">
        <f>[1]Generatoren!U35</f>
        <v>150</v>
      </c>
      <c r="N34" s="75">
        <f>[1]Generatoren!W35</f>
        <v>23.4375</v>
      </c>
      <c r="O34" s="75">
        <f>[1]Generatoren!P35</f>
        <v>64.516129032258064</v>
      </c>
      <c r="P34" s="50">
        <f>[1]Generatoren!R35</f>
        <v>61.935483870967744</v>
      </c>
      <c r="Q34" s="75">
        <f>[1]Generatoren!X35</f>
        <v>46.5</v>
      </c>
      <c r="R34" s="75">
        <f>[1]Generatoren!Y35</f>
        <v>3348</v>
      </c>
      <c r="S34" s="76">
        <f>[1]Generatoren!Z35</f>
        <v>3906</v>
      </c>
    </row>
    <row r="35" spans="1:19" x14ac:dyDescent="0.2">
      <c r="A35" s="46">
        <f>[1]Generatoren!A36</f>
        <v>7890</v>
      </c>
      <c r="B35" s="52" t="str">
        <f>[1]Generatoren!B36</f>
        <v>Heinerberg Hotel</v>
      </c>
      <c r="C35" s="52" t="str">
        <f>[1]Generatoren!C36</f>
        <v>14.1</v>
      </c>
      <c r="D35" s="73">
        <f>[1]Generatoren!D36</f>
        <v>45587</v>
      </c>
      <c r="E35" s="55" t="str">
        <f>[1]Generatoren!J36</f>
        <v>Heizöl</v>
      </c>
      <c r="F35" s="74">
        <f>[1]Generatoren!K36</f>
        <v>2250</v>
      </c>
      <c r="G35" s="74">
        <f>[1]Generatoren!L36</f>
        <v>2000</v>
      </c>
      <c r="H35" s="74">
        <f>[1]Generatoren!M36</f>
        <v>250</v>
      </c>
      <c r="I35" s="74">
        <f>[1]Generatoren!N36</f>
        <v>1900</v>
      </c>
      <c r="J35" s="74">
        <f>[1]Generatoren!O36</f>
        <v>95</v>
      </c>
      <c r="K35" s="74">
        <f>[1]Generatoren!Q36</f>
        <v>0</v>
      </c>
      <c r="L35" s="75">
        <f>[1]Generatoren!T36</f>
        <v>320</v>
      </c>
      <c r="M35" s="75">
        <f>[1]Generatoren!U36</f>
        <v>17</v>
      </c>
      <c r="N35" s="75">
        <f>[1]Generatoren!W36</f>
        <v>5.3125</v>
      </c>
      <c r="O35" s="75">
        <f>[1]Generatoren!P36</f>
        <v>330.88235294117646</v>
      </c>
      <c r="P35" s="50">
        <f>[1]Generatoren!R36</f>
        <v>316.17647058823525</v>
      </c>
      <c r="Q35" s="75">
        <f>[1]Generatoren!X36</f>
        <v>6.8000000000000007</v>
      </c>
      <c r="R35" s="75">
        <f>[1]Generatoren!Y36</f>
        <v>489.6</v>
      </c>
      <c r="S35" s="76">
        <f>[1]Generatoren!Z36</f>
        <v>571.20000000000005</v>
      </c>
    </row>
    <row r="36" spans="1:19" ht="13.5" thickBot="1" x14ac:dyDescent="0.25">
      <c r="A36" s="60"/>
      <c r="B36" s="61"/>
      <c r="C36" s="61"/>
      <c r="D36" s="77"/>
      <c r="E36" s="78"/>
      <c r="F36" s="78"/>
      <c r="G36" s="61"/>
      <c r="H36" s="78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80"/>
    </row>
  </sheetData>
  <mergeCells count="5">
    <mergeCell ref="A1:S1"/>
    <mergeCell ref="A2:B2"/>
    <mergeCell ref="E2:K2"/>
    <mergeCell ref="L2:N2"/>
    <mergeCell ref="O2:S2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EDB2-61BE-49A6-8CB3-66A8C70FDBA9}">
  <sheetPr>
    <pageSetUpPr fitToPage="1"/>
  </sheetPr>
  <dimension ref="A1:S101"/>
  <sheetViews>
    <sheetView zoomScale="85" zoomScaleNormal="85" workbookViewId="0">
      <selection activeCell="Q48" sqref="A1:Q48"/>
    </sheetView>
  </sheetViews>
  <sheetFormatPr defaultColWidth="11.42578125" defaultRowHeight="12.75" x14ac:dyDescent="0.2"/>
  <cols>
    <col min="1" max="1" width="6.85546875" style="47" bestFit="1" customWidth="1"/>
    <col min="2" max="2" width="12.7109375" style="97" customWidth="1"/>
    <col min="3" max="3" width="21.140625" style="52" customWidth="1"/>
    <col min="4" max="4" width="6.42578125" style="195" customWidth="1"/>
    <col min="5" max="5" width="13.85546875" style="120" customWidth="1"/>
    <col min="6" max="6" width="14" style="120" customWidth="1"/>
    <col min="7" max="7" width="25" style="52" customWidth="1"/>
    <col min="8" max="8" width="7" style="52" bestFit="1" customWidth="1"/>
    <col min="9" max="9" width="9.28515625" style="49" customWidth="1"/>
    <col min="10" max="10" width="8.140625" style="52" customWidth="1"/>
    <col min="11" max="11" width="11" style="52" customWidth="1"/>
    <col min="12" max="12" width="10.7109375" style="52" customWidth="1"/>
    <col min="13" max="13" width="9" style="52" customWidth="1"/>
    <col min="14" max="14" width="7.42578125" style="52" customWidth="1"/>
    <col min="15" max="15" width="7" style="52" customWidth="1"/>
    <col min="16" max="16" width="10.140625" style="52" customWidth="1"/>
    <col min="17" max="17" width="53.28515625" style="65" customWidth="1"/>
    <col min="18" max="18" width="50.42578125" style="52" customWidth="1"/>
    <col min="19" max="19" width="1.42578125" style="52" bestFit="1" customWidth="1"/>
    <col min="20" max="16384" width="11.42578125" style="52"/>
  </cols>
  <sheetData>
    <row r="1" spans="1:18" customFormat="1" ht="15" x14ac:dyDescent="0.25">
      <c r="A1" s="360" t="s">
        <v>496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</row>
    <row r="2" spans="1:18" s="44" customFormat="1" ht="24.75" customHeight="1" x14ac:dyDescent="0.2">
      <c r="A2" s="196" t="s">
        <v>497</v>
      </c>
      <c r="B2" s="96" t="s">
        <v>176</v>
      </c>
      <c r="C2" s="39" t="s">
        <v>4</v>
      </c>
      <c r="D2" s="95" t="s">
        <v>178</v>
      </c>
      <c r="E2" s="152" t="s">
        <v>179</v>
      </c>
      <c r="F2" s="121" t="s">
        <v>377</v>
      </c>
      <c r="G2" s="39" t="s">
        <v>376</v>
      </c>
      <c r="H2" s="39" t="s">
        <v>498</v>
      </c>
      <c r="I2" s="39" t="s">
        <v>499</v>
      </c>
      <c r="J2" s="39" t="s">
        <v>193</v>
      </c>
      <c r="K2" s="207" t="s">
        <v>500</v>
      </c>
      <c r="L2" s="207" t="s">
        <v>501</v>
      </c>
      <c r="M2" s="40" t="s">
        <v>196</v>
      </c>
      <c r="N2" s="41" t="s">
        <v>502</v>
      </c>
      <c r="O2" s="41" t="s">
        <v>198</v>
      </c>
      <c r="P2" s="208" t="s">
        <v>503</v>
      </c>
      <c r="Q2" s="42" t="s">
        <v>203</v>
      </c>
      <c r="R2" s="43"/>
    </row>
    <row r="3" spans="1:18" s="44" customFormat="1" ht="15" customHeight="1" x14ac:dyDescent="0.2">
      <c r="A3" s="197">
        <v>1060</v>
      </c>
      <c r="B3" s="99" t="s">
        <v>204</v>
      </c>
      <c r="C3" s="98" t="s">
        <v>205</v>
      </c>
      <c r="D3" s="102">
        <v>1</v>
      </c>
      <c r="E3" s="119" t="s">
        <v>206</v>
      </c>
      <c r="F3" s="119" t="s">
        <v>378</v>
      </c>
      <c r="G3" s="100" t="s">
        <v>207</v>
      </c>
      <c r="H3" s="101"/>
      <c r="I3" s="101" t="s">
        <v>504</v>
      </c>
      <c r="J3" s="102">
        <v>60</v>
      </c>
      <c r="K3" s="102">
        <v>48</v>
      </c>
      <c r="L3" s="102">
        <v>17</v>
      </c>
      <c r="M3" s="102">
        <f t="shared" ref="M3:M41" si="0">K3*0.6</f>
        <v>28.799999999999997</v>
      </c>
      <c r="N3" s="104">
        <f>L3/(K3/100)</f>
        <v>35.416666666666671</v>
      </c>
      <c r="O3" s="104">
        <f>0.31*L3</f>
        <v>5.27</v>
      </c>
      <c r="P3" s="104"/>
      <c r="Q3" s="113"/>
      <c r="R3" s="43"/>
    </row>
    <row r="4" spans="1:18" ht="15" customHeight="1" x14ac:dyDescent="0.2">
      <c r="A4" s="197">
        <v>7850</v>
      </c>
      <c r="B4" s="99" t="s">
        <v>212</v>
      </c>
      <c r="C4" s="98" t="s">
        <v>213</v>
      </c>
      <c r="D4" s="102">
        <v>2</v>
      </c>
      <c r="E4" s="119" t="s">
        <v>214</v>
      </c>
      <c r="F4" s="119" t="s">
        <v>378</v>
      </c>
      <c r="G4" s="98" t="s">
        <v>213</v>
      </c>
      <c r="H4" s="101">
        <v>2014</v>
      </c>
      <c r="I4" s="101" t="s">
        <v>505</v>
      </c>
      <c r="J4" s="102">
        <v>800</v>
      </c>
      <c r="K4" s="102">
        <f t="shared" ref="K4:K41" si="1">J4/100*80</f>
        <v>640</v>
      </c>
      <c r="L4" s="101">
        <v>150</v>
      </c>
      <c r="M4" s="102">
        <f t="shared" si="0"/>
        <v>384</v>
      </c>
      <c r="N4" s="104">
        <f>L4/(K4/100)</f>
        <v>23.4375</v>
      </c>
      <c r="O4" s="104">
        <f>0.31*L4</f>
        <v>46.5</v>
      </c>
      <c r="P4" s="104"/>
      <c r="Q4" s="114"/>
      <c r="R4" s="53"/>
    </row>
    <row r="5" spans="1:18" ht="15" customHeight="1" x14ac:dyDescent="0.2">
      <c r="A5" s="197">
        <v>3377</v>
      </c>
      <c r="B5" s="99" t="s">
        <v>204</v>
      </c>
      <c r="C5" s="98" t="s">
        <v>220</v>
      </c>
      <c r="D5" s="102">
        <v>3</v>
      </c>
      <c r="E5" s="119" t="s">
        <v>221</v>
      </c>
      <c r="F5" s="119" t="s">
        <v>378</v>
      </c>
      <c r="G5" s="100" t="s">
        <v>222</v>
      </c>
      <c r="H5" s="101"/>
      <c r="I5" s="101" t="s">
        <v>504</v>
      </c>
      <c r="J5" s="101">
        <v>1000</v>
      </c>
      <c r="K5" s="102">
        <f t="shared" si="1"/>
        <v>800</v>
      </c>
      <c r="L5" s="102">
        <v>59</v>
      </c>
      <c r="M5" s="102">
        <f t="shared" si="0"/>
        <v>480</v>
      </c>
      <c r="N5" s="104">
        <f>L5/(K5/100)</f>
        <v>7.375</v>
      </c>
      <c r="O5" s="104">
        <f>0.31*L5</f>
        <v>18.29</v>
      </c>
      <c r="P5" s="104"/>
      <c r="Q5" s="113"/>
      <c r="R5" s="54"/>
    </row>
    <row r="6" spans="1:18" ht="15" customHeight="1" x14ac:dyDescent="0.2">
      <c r="A6" s="197">
        <v>1757</v>
      </c>
      <c r="B6" s="99" t="s">
        <v>204</v>
      </c>
      <c r="C6" s="100" t="s">
        <v>226</v>
      </c>
      <c r="D6" s="102">
        <v>4</v>
      </c>
      <c r="E6" s="119"/>
      <c r="F6" s="119" t="s">
        <v>378</v>
      </c>
      <c r="G6" s="100" t="s">
        <v>227</v>
      </c>
      <c r="H6" s="101">
        <v>1998</v>
      </c>
      <c r="I6" s="101" t="s">
        <v>504</v>
      </c>
      <c r="J6" s="101">
        <v>500</v>
      </c>
      <c r="K6" s="102">
        <f t="shared" si="1"/>
        <v>400</v>
      </c>
      <c r="L6" s="104">
        <v>133</v>
      </c>
      <c r="M6" s="102">
        <f t="shared" si="0"/>
        <v>240</v>
      </c>
      <c r="N6" s="104">
        <f>L6/(K6/100)</f>
        <v>33.25</v>
      </c>
      <c r="O6" s="104">
        <f>0.28*L6</f>
        <v>37.24</v>
      </c>
      <c r="P6" s="104"/>
      <c r="Q6" s="113"/>
      <c r="R6" s="54"/>
    </row>
    <row r="7" spans="1:18" ht="15" customHeight="1" x14ac:dyDescent="0.2">
      <c r="A7" s="197">
        <v>7915</v>
      </c>
      <c r="B7" s="99" t="s">
        <v>212</v>
      </c>
      <c r="C7" s="98" t="s">
        <v>232</v>
      </c>
      <c r="D7" s="102">
        <v>5</v>
      </c>
      <c r="E7" s="119" t="s">
        <v>233</v>
      </c>
      <c r="F7" s="119" t="s">
        <v>378</v>
      </c>
      <c r="G7" s="99">
        <v>7915</v>
      </c>
      <c r="H7" s="98"/>
      <c r="I7" s="101"/>
      <c r="J7" s="101">
        <v>300</v>
      </c>
      <c r="K7" s="101">
        <f t="shared" si="1"/>
        <v>240</v>
      </c>
      <c r="L7" s="101"/>
      <c r="M7" s="101">
        <f t="shared" si="0"/>
        <v>144</v>
      </c>
      <c r="N7" s="101"/>
      <c r="O7" s="101"/>
      <c r="P7" s="101"/>
      <c r="Q7" s="114"/>
      <c r="R7" s="47"/>
    </row>
    <row r="8" spans="1:18" ht="15" customHeight="1" x14ac:dyDescent="0.2">
      <c r="A8" s="197">
        <v>7560</v>
      </c>
      <c r="B8" s="99" t="s">
        <v>506</v>
      </c>
      <c r="C8" s="98" t="s">
        <v>237</v>
      </c>
      <c r="D8" s="102">
        <v>6</v>
      </c>
      <c r="E8" s="119" t="s">
        <v>238</v>
      </c>
      <c r="F8" s="119" t="s">
        <v>378</v>
      </c>
      <c r="G8" s="98" t="s">
        <v>239</v>
      </c>
      <c r="H8" s="101">
        <v>2022</v>
      </c>
      <c r="I8" s="101" t="s">
        <v>504</v>
      </c>
      <c r="J8" s="101">
        <v>150</v>
      </c>
      <c r="K8" s="102">
        <f t="shared" si="1"/>
        <v>120</v>
      </c>
      <c r="L8" s="102">
        <v>20</v>
      </c>
      <c r="M8" s="102">
        <f t="shared" si="0"/>
        <v>72</v>
      </c>
      <c r="N8" s="104">
        <f>L8/(K8/100)</f>
        <v>16.666666666666668</v>
      </c>
      <c r="O8" s="104">
        <f>0.26*L8</f>
        <v>5.2</v>
      </c>
      <c r="P8" s="104"/>
      <c r="Q8" s="115"/>
    </row>
    <row r="9" spans="1:18" ht="15" customHeight="1" x14ac:dyDescent="0.2">
      <c r="A9" s="197">
        <v>1036</v>
      </c>
      <c r="B9" s="99" t="s">
        <v>204</v>
      </c>
      <c r="C9" s="98" t="s">
        <v>242</v>
      </c>
      <c r="D9" s="102">
        <v>7</v>
      </c>
      <c r="E9" s="119" t="s">
        <v>243</v>
      </c>
      <c r="F9" s="119" t="s">
        <v>378</v>
      </c>
      <c r="G9" s="100" t="s">
        <v>244</v>
      </c>
      <c r="H9" s="101">
        <v>2021</v>
      </c>
      <c r="I9" s="101" t="s">
        <v>504</v>
      </c>
      <c r="J9" s="102">
        <v>150</v>
      </c>
      <c r="K9" s="102">
        <f t="shared" si="1"/>
        <v>120</v>
      </c>
      <c r="L9" s="102"/>
      <c r="M9" s="102">
        <f t="shared" si="0"/>
        <v>72</v>
      </c>
      <c r="N9" s="104"/>
      <c r="O9" s="104"/>
      <c r="P9" s="104"/>
      <c r="Q9" s="116"/>
      <c r="R9" s="56"/>
    </row>
    <row r="10" spans="1:18" ht="15" customHeight="1" x14ac:dyDescent="0.2">
      <c r="A10" s="197">
        <v>1050</v>
      </c>
      <c r="B10" s="99" t="s">
        <v>204</v>
      </c>
      <c r="C10" s="98" t="s">
        <v>249</v>
      </c>
      <c r="D10" s="102">
        <v>8</v>
      </c>
      <c r="E10" s="119" t="s">
        <v>250</v>
      </c>
      <c r="F10" s="119" t="s">
        <v>378</v>
      </c>
      <c r="G10" s="100">
        <v>1050.1532</v>
      </c>
      <c r="H10" s="101">
        <v>1985</v>
      </c>
      <c r="I10" s="101" t="s">
        <v>504</v>
      </c>
      <c r="J10" s="102">
        <v>310</v>
      </c>
      <c r="K10" s="102">
        <f t="shared" si="1"/>
        <v>248</v>
      </c>
      <c r="L10" s="102">
        <v>35</v>
      </c>
      <c r="M10" s="102">
        <f t="shared" si="0"/>
        <v>148.79999999999998</v>
      </c>
      <c r="N10" s="104">
        <f t="shared" ref="N10:N23" si="2">L10/(K10/100)</f>
        <v>14.112903225806452</v>
      </c>
      <c r="O10" s="104">
        <f>0.31*L10</f>
        <v>10.85</v>
      </c>
      <c r="P10" s="104"/>
      <c r="Q10" s="113"/>
      <c r="R10" s="56"/>
    </row>
    <row r="11" spans="1:18" ht="15" customHeight="1" x14ac:dyDescent="0.2">
      <c r="A11" s="197">
        <v>1086</v>
      </c>
      <c r="B11" s="99" t="s">
        <v>204</v>
      </c>
      <c r="C11" s="98" t="s">
        <v>254</v>
      </c>
      <c r="D11" s="102">
        <v>9</v>
      </c>
      <c r="E11" s="119" t="s">
        <v>255</v>
      </c>
      <c r="F11" s="119" t="s">
        <v>378</v>
      </c>
      <c r="G11" s="100" t="s">
        <v>256</v>
      </c>
      <c r="H11" s="101">
        <v>1986</v>
      </c>
      <c r="I11" s="101" t="s">
        <v>504</v>
      </c>
      <c r="J11" s="102">
        <v>400</v>
      </c>
      <c r="K11" s="102">
        <f t="shared" si="1"/>
        <v>320</v>
      </c>
      <c r="L11" s="102">
        <v>60</v>
      </c>
      <c r="M11" s="102">
        <f t="shared" si="0"/>
        <v>192</v>
      </c>
      <c r="N11" s="104">
        <f t="shared" si="2"/>
        <v>18.75</v>
      </c>
      <c r="O11" s="104">
        <f>0.31*L11</f>
        <v>18.600000000000001</v>
      </c>
      <c r="P11" s="104"/>
      <c r="Q11" s="116"/>
      <c r="R11" s="56"/>
    </row>
    <row r="12" spans="1:18" x14ac:dyDescent="0.2">
      <c r="A12" s="197">
        <v>1059</v>
      </c>
      <c r="B12" s="99" t="s">
        <v>204</v>
      </c>
      <c r="C12" s="98" t="s">
        <v>261</v>
      </c>
      <c r="D12" s="102">
        <v>10</v>
      </c>
      <c r="E12" s="119" t="s">
        <v>262</v>
      </c>
      <c r="F12" s="119" t="s">
        <v>378</v>
      </c>
      <c r="G12" s="100" t="s">
        <v>263</v>
      </c>
      <c r="H12" s="101">
        <v>2024</v>
      </c>
      <c r="I12" s="101" t="s">
        <v>504</v>
      </c>
      <c r="J12" s="102">
        <v>40</v>
      </c>
      <c r="K12" s="102">
        <f t="shared" si="1"/>
        <v>32</v>
      </c>
      <c r="L12" s="102">
        <v>16</v>
      </c>
      <c r="M12" s="102">
        <f t="shared" si="0"/>
        <v>19.2</v>
      </c>
      <c r="N12" s="104">
        <f t="shared" si="2"/>
        <v>50</v>
      </c>
      <c r="O12" s="104">
        <f>0.31*L12</f>
        <v>4.96</v>
      </c>
      <c r="P12" s="104"/>
      <c r="Q12" s="113"/>
      <c r="R12" s="56"/>
    </row>
    <row r="13" spans="1:18" ht="15" customHeight="1" x14ac:dyDescent="0.2">
      <c r="A13" s="197">
        <v>1222</v>
      </c>
      <c r="B13" s="99" t="s">
        <v>204</v>
      </c>
      <c r="C13" s="98" t="s">
        <v>267</v>
      </c>
      <c r="D13" s="102">
        <v>11</v>
      </c>
      <c r="E13" s="119" t="s">
        <v>268</v>
      </c>
      <c r="F13" s="119" t="s">
        <v>378</v>
      </c>
      <c r="G13" s="98" t="s">
        <v>518</v>
      </c>
      <c r="H13" s="101"/>
      <c r="I13" s="101" t="s">
        <v>504</v>
      </c>
      <c r="J13" s="101">
        <v>96</v>
      </c>
      <c r="K13" s="102">
        <f t="shared" si="1"/>
        <v>76.8</v>
      </c>
      <c r="L13" s="101">
        <v>35</v>
      </c>
      <c r="M13" s="102">
        <f t="shared" si="0"/>
        <v>46.08</v>
      </c>
      <c r="N13" s="104">
        <f t="shared" si="2"/>
        <v>45.572916666666664</v>
      </c>
      <c r="O13" s="104">
        <f>0.26*L13</f>
        <v>9.1</v>
      </c>
      <c r="P13" s="104"/>
      <c r="Q13" s="116"/>
      <c r="R13" s="56"/>
    </row>
    <row r="14" spans="1:18" ht="15" customHeight="1" x14ac:dyDescent="0.2">
      <c r="A14" s="198">
        <v>1507</v>
      </c>
      <c r="B14" s="108" t="s">
        <v>204</v>
      </c>
      <c r="C14" s="107" t="s">
        <v>271</v>
      </c>
      <c r="D14" s="102">
        <v>12</v>
      </c>
      <c r="E14" s="119" t="s">
        <v>272</v>
      </c>
      <c r="F14" s="119" t="s">
        <v>378</v>
      </c>
      <c r="G14" s="109" t="s">
        <v>273</v>
      </c>
      <c r="H14" s="110">
        <v>2005</v>
      </c>
      <c r="I14" s="101" t="s">
        <v>504</v>
      </c>
      <c r="J14" s="101">
        <v>500</v>
      </c>
      <c r="K14" s="102">
        <f t="shared" si="1"/>
        <v>400</v>
      </c>
      <c r="L14" s="104">
        <v>150</v>
      </c>
      <c r="M14" s="102">
        <f t="shared" si="0"/>
        <v>240</v>
      </c>
      <c r="N14" s="104">
        <f t="shared" si="2"/>
        <v>37.5</v>
      </c>
      <c r="O14" s="104">
        <f>0.31*L14</f>
        <v>46.5</v>
      </c>
      <c r="P14" s="104"/>
      <c r="Q14" s="117"/>
      <c r="R14" s="56"/>
    </row>
    <row r="15" spans="1:18" ht="15" customHeight="1" x14ac:dyDescent="0.2">
      <c r="A15" s="197">
        <v>5315</v>
      </c>
      <c r="B15" s="99" t="s">
        <v>277</v>
      </c>
      <c r="C15" s="98" t="s">
        <v>278</v>
      </c>
      <c r="D15" s="102">
        <v>13</v>
      </c>
      <c r="E15" s="119" t="s">
        <v>279</v>
      </c>
      <c r="F15" s="119" t="s">
        <v>378</v>
      </c>
      <c r="G15" s="109" t="s">
        <v>277</v>
      </c>
      <c r="H15" s="110"/>
      <c r="I15" s="101" t="s">
        <v>504</v>
      </c>
      <c r="J15" s="101">
        <v>800</v>
      </c>
      <c r="K15" s="102">
        <f t="shared" si="1"/>
        <v>640</v>
      </c>
      <c r="L15" s="104">
        <v>200</v>
      </c>
      <c r="M15" s="102">
        <f t="shared" si="0"/>
        <v>384</v>
      </c>
      <c r="N15" s="104">
        <f t="shared" si="2"/>
        <v>31.25</v>
      </c>
      <c r="O15" s="104">
        <f>0.31*L15</f>
        <v>62</v>
      </c>
      <c r="P15" s="104"/>
      <c r="Q15" s="113"/>
      <c r="R15" s="54"/>
    </row>
    <row r="16" spans="1:18" x14ac:dyDescent="0.2">
      <c r="A16" s="197">
        <v>7898</v>
      </c>
      <c r="B16" s="100" t="s">
        <v>212</v>
      </c>
      <c r="C16" s="98" t="s">
        <v>283</v>
      </c>
      <c r="D16" s="102">
        <v>14</v>
      </c>
      <c r="E16" s="119" t="s">
        <v>284</v>
      </c>
      <c r="F16" s="119" t="s">
        <v>378</v>
      </c>
      <c r="G16" s="100" t="s">
        <v>285</v>
      </c>
      <c r="H16" s="101">
        <v>2008</v>
      </c>
      <c r="I16" s="101" t="s">
        <v>504</v>
      </c>
      <c r="J16" s="101">
        <v>400</v>
      </c>
      <c r="K16" s="102">
        <f t="shared" si="1"/>
        <v>320</v>
      </c>
      <c r="L16" s="102">
        <v>17</v>
      </c>
      <c r="M16" s="102">
        <f t="shared" si="0"/>
        <v>192</v>
      </c>
      <c r="N16" s="104">
        <f t="shared" si="2"/>
        <v>5.3125</v>
      </c>
      <c r="O16" s="104">
        <f>0.4*L16</f>
        <v>6.8000000000000007</v>
      </c>
      <c r="P16" s="104"/>
      <c r="Q16" s="115"/>
      <c r="R16" s="54"/>
    </row>
    <row r="17" spans="1:18" ht="15" customHeight="1" x14ac:dyDescent="0.2">
      <c r="A17" s="198">
        <v>3341</v>
      </c>
      <c r="B17" s="108" t="s">
        <v>204</v>
      </c>
      <c r="C17" s="98" t="s">
        <v>291</v>
      </c>
      <c r="D17" s="102">
        <v>15</v>
      </c>
      <c r="E17" s="119" t="s">
        <v>292</v>
      </c>
      <c r="F17" s="119" t="s">
        <v>378</v>
      </c>
      <c r="G17" s="109" t="s">
        <v>293</v>
      </c>
      <c r="H17" s="110">
        <v>2011</v>
      </c>
      <c r="I17" s="101" t="s">
        <v>504</v>
      </c>
      <c r="J17" s="101">
        <v>800</v>
      </c>
      <c r="K17" s="102">
        <f t="shared" si="1"/>
        <v>640</v>
      </c>
      <c r="L17" s="104">
        <v>210</v>
      </c>
      <c r="M17" s="102">
        <f t="shared" si="0"/>
        <v>384</v>
      </c>
      <c r="N17" s="104">
        <f t="shared" si="2"/>
        <v>32.8125</v>
      </c>
      <c r="O17" s="104">
        <f>0.31*L17</f>
        <v>65.099999999999994</v>
      </c>
      <c r="P17" s="104"/>
      <c r="Q17" s="113"/>
    </row>
    <row r="18" spans="1:18" ht="15" customHeight="1" x14ac:dyDescent="0.2">
      <c r="A18" s="197">
        <v>1569</v>
      </c>
      <c r="B18" s="99" t="s">
        <v>204</v>
      </c>
      <c r="C18" s="98" t="s">
        <v>297</v>
      </c>
      <c r="D18" s="102">
        <v>16</v>
      </c>
      <c r="E18" s="119" t="s">
        <v>298</v>
      </c>
      <c r="F18" s="119" t="s">
        <v>378</v>
      </c>
      <c r="G18" s="100" t="s">
        <v>299</v>
      </c>
      <c r="H18" s="101"/>
      <c r="I18" s="101" t="s">
        <v>504</v>
      </c>
      <c r="J18" s="102">
        <v>160</v>
      </c>
      <c r="K18" s="102">
        <f t="shared" si="1"/>
        <v>128</v>
      </c>
      <c r="L18" s="102">
        <v>17</v>
      </c>
      <c r="M18" s="102">
        <f t="shared" si="0"/>
        <v>76.8</v>
      </c>
      <c r="N18" s="104">
        <f t="shared" si="2"/>
        <v>13.28125</v>
      </c>
      <c r="O18" s="104">
        <f>0.28*L18</f>
        <v>4.7600000000000007</v>
      </c>
      <c r="P18" s="104"/>
      <c r="Q18" s="113"/>
      <c r="R18" s="56"/>
    </row>
    <row r="19" spans="1:18" s="57" customFormat="1" ht="15" customHeight="1" x14ac:dyDescent="0.2">
      <c r="A19" s="197">
        <v>1205</v>
      </c>
      <c r="B19" s="99" t="s">
        <v>204</v>
      </c>
      <c r="C19" s="98" t="s">
        <v>519</v>
      </c>
      <c r="D19" s="102">
        <v>17</v>
      </c>
      <c r="E19" s="119" t="s">
        <v>303</v>
      </c>
      <c r="F19" s="119" t="s">
        <v>378</v>
      </c>
      <c r="G19" s="100">
        <v>1205.1208999999999</v>
      </c>
      <c r="H19" s="101"/>
      <c r="I19" s="101" t="s">
        <v>504</v>
      </c>
      <c r="J19" s="101">
        <v>130</v>
      </c>
      <c r="K19" s="102">
        <f t="shared" si="1"/>
        <v>104</v>
      </c>
      <c r="L19" s="102">
        <v>28</v>
      </c>
      <c r="M19" s="102">
        <f t="shared" si="0"/>
        <v>62.4</v>
      </c>
      <c r="N19" s="104">
        <f t="shared" si="2"/>
        <v>26.923076923076923</v>
      </c>
      <c r="O19" s="104">
        <f>0.28*L19</f>
        <v>7.8400000000000007</v>
      </c>
      <c r="P19" s="104"/>
      <c r="Q19" s="114"/>
      <c r="R19" s="56"/>
    </row>
    <row r="20" spans="1:18" s="57" customFormat="1" x14ac:dyDescent="0.2">
      <c r="A20" s="197">
        <v>1027</v>
      </c>
      <c r="B20" s="100" t="s">
        <v>204</v>
      </c>
      <c r="C20" s="98" t="s">
        <v>305</v>
      </c>
      <c r="D20" s="102">
        <v>18</v>
      </c>
      <c r="E20" s="119" t="s">
        <v>306</v>
      </c>
      <c r="F20" s="119" t="s">
        <v>378</v>
      </c>
      <c r="G20" s="122">
        <v>100110021627</v>
      </c>
      <c r="H20" s="101"/>
      <c r="I20" s="101" t="s">
        <v>504</v>
      </c>
      <c r="J20" s="102">
        <v>105</v>
      </c>
      <c r="K20" s="102">
        <f t="shared" si="1"/>
        <v>84</v>
      </c>
      <c r="L20" s="102">
        <v>60</v>
      </c>
      <c r="M20" s="102">
        <f t="shared" si="0"/>
        <v>50.4</v>
      </c>
      <c r="N20" s="104">
        <f t="shared" si="2"/>
        <v>71.428571428571431</v>
      </c>
      <c r="O20" s="104">
        <f>0.26*L20</f>
        <v>15.600000000000001</v>
      </c>
      <c r="P20" s="104"/>
      <c r="Q20" s="116"/>
      <c r="R20" s="56"/>
    </row>
    <row r="21" spans="1:18" s="57" customFormat="1" ht="15" customHeight="1" x14ac:dyDescent="0.2">
      <c r="A21" s="197">
        <v>7821</v>
      </c>
      <c r="B21" s="99" t="s">
        <v>212</v>
      </c>
      <c r="C21" s="98" t="s">
        <v>237</v>
      </c>
      <c r="D21" s="102">
        <v>19</v>
      </c>
      <c r="E21" s="119" t="s">
        <v>221</v>
      </c>
      <c r="F21" s="119" t="s">
        <v>378</v>
      </c>
      <c r="G21" s="98" t="s">
        <v>309</v>
      </c>
      <c r="H21" s="101"/>
      <c r="I21" s="101" t="s">
        <v>504</v>
      </c>
      <c r="J21" s="101">
        <v>130</v>
      </c>
      <c r="K21" s="102">
        <f t="shared" si="1"/>
        <v>104</v>
      </c>
      <c r="L21" s="102">
        <v>25</v>
      </c>
      <c r="M21" s="102">
        <f t="shared" si="0"/>
        <v>62.4</v>
      </c>
      <c r="N21" s="104">
        <f t="shared" si="2"/>
        <v>24.038461538461537</v>
      </c>
      <c r="O21" s="104">
        <f>0.26*L21</f>
        <v>6.5</v>
      </c>
      <c r="P21" s="104"/>
      <c r="Q21" s="114"/>
      <c r="R21" s="47"/>
    </row>
    <row r="22" spans="1:18" s="57" customFormat="1" ht="15" customHeight="1" x14ac:dyDescent="0.2">
      <c r="A22" s="197">
        <v>1071</v>
      </c>
      <c r="B22" s="99" t="s">
        <v>204</v>
      </c>
      <c r="C22" s="98" t="s">
        <v>311</v>
      </c>
      <c r="D22" s="102">
        <v>20</v>
      </c>
      <c r="E22" s="119" t="s">
        <v>303</v>
      </c>
      <c r="F22" s="119" t="s">
        <v>378</v>
      </c>
      <c r="G22" s="100">
        <v>1571</v>
      </c>
      <c r="H22" s="101"/>
      <c r="I22" s="101" t="s">
        <v>504</v>
      </c>
      <c r="J22" s="101">
        <v>60</v>
      </c>
      <c r="K22" s="102">
        <f t="shared" si="1"/>
        <v>48</v>
      </c>
      <c r="L22" s="102">
        <v>16</v>
      </c>
      <c r="M22" s="102">
        <f t="shared" si="0"/>
        <v>28.799999999999997</v>
      </c>
      <c r="N22" s="104">
        <f t="shared" si="2"/>
        <v>33.333333333333336</v>
      </c>
      <c r="O22" s="104">
        <f>0.3*L22</f>
        <v>4.8</v>
      </c>
      <c r="P22" s="104"/>
      <c r="Q22" s="116"/>
      <c r="R22" s="56"/>
    </row>
    <row r="23" spans="1:18" ht="15" customHeight="1" x14ac:dyDescent="0.2">
      <c r="A23" s="197">
        <v>6280</v>
      </c>
      <c r="B23" s="99" t="s">
        <v>312</v>
      </c>
      <c r="C23" s="98" t="s">
        <v>313</v>
      </c>
      <c r="D23" s="102">
        <v>21</v>
      </c>
      <c r="E23" s="119" t="s">
        <v>314</v>
      </c>
      <c r="F23" s="119" t="s">
        <v>378</v>
      </c>
      <c r="G23" s="100" t="s">
        <v>315</v>
      </c>
      <c r="H23" s="101"/>
      <c r="I23" s="101" t="s">
        <v>504</v>
      </c>
      <c r="J23" s="102">
        <v>85</v>
      </c>
      <c r="K23" s="102">
        <f t="shared" si="1"/>
        <v>68</v>
      </c>
      <c r="L23" s="102">
        <v>25</v>
      </c>
      <c r="M23" s="102">
        <f t="shared" si="0"/>
        <v>40.799999999999997</v>
      </c>
      <c r="N23" s="104">
        <f t="shared" si="2"/>
        <v>36.764705882352942</v>
      </c>
      <c r="O23" s="104">
        <f>0.26*L23</f>
        <v>6.5</v>
      </c>
      <c r="P23" s="104"/>
      <c r="Q23" s="117"/>
      <c r="R23" s="56"/>
    </row>
    <row r="24" spans="1:18" ht="15" customHeight="1" x14ac:dyDescent="0.2">
      <c r="A24" s="197">
        <v>4062</v>
      </c>
      <c r="B24" s="99" t="s">
        <v>507</v>
      </c>
      <c r="C24" s="98" t="s">
        <v>516</v>
      </c>
      <c r="D24" s="102">
        <v>22</v>
      </c>
      <c r="E24" s="119" t="s">
        <v>320</v>
      </c>
      <c r="F24" s="119" t="s">
        <v>378</v>
      </c>
      <c r="G24" s="98" t="s">
        <v>517</v>
      </c>
      <c r="H24" s="98">
        <v>2024</v>
      </c>
      <c r="I24" s="101"/>
      <c r="J24" s="101">
        <v>73</v>
      </c>
      <c r="K24" s="102">
        <f t="shared" si="1"/>
        <v>58.4</v>
      </c>
      <c r="L24" s="101"/>
      <c r="M24" s="102">
        <f t="shared" si="0"/>
        <v>35.04</v>
      </c>
      <c r="N24" s="101"/>
      <c r="O24" s="101"/>
      <c r="P24" s="101"/>
      <c r="Q24" s="114"/>
      <c r="R24" s="56"/>
    </row>
    <row r="25" spans="1:18" x14ac:dyDescent="0.2">
      <c r="A25" s="197">
        <v>4508</v>
      </c>
      <c r="B25" s="100" t="s">
        <v>507</v>
      </c>
      <c r="C25" s="98" t="s">
        <v>237</v>
      </c>
      <c r="D25" s="102">
        <v>23</v>
      </c>
      <c r="E25" s="119" t="s">
        <v>324</v>
      </c>
      <c r="F25" s="119" t="s">
        <v>378</v>
      </c>
      <c r="G25" s="100" t="s">
        <v>325</v>
      </c>
      <c r="H25" s="101"/>
      <c r="I25" s="101" t="s">
        <v>504</v>
      </c>
      <c r="J25" s="101">
        <v>40</v>
      </c>
      <c r="K25" s="102">
        <f t="shared" si="1"/>
        <v>32</v>
      </c>
      <c r="L25" s="102">
        <v>20</v>
      </c>
      <c r="M25" s="102">
        <f t="shared" si="0"/>
        <v>19.2</v>
      </c>
      <c r="N25" s="104">
        <f>L25/(K25/100)</f>
        <v>62.5</v>
      </c>
      <c r="O25" s="104">
        <f>0.26*L25</f>
        <v>5.2</v>
      </c>
      <c r="P25" s="104"/>
      <c r="Q25" s="115"/>
      <c r="R25" s="58"/>
    </row>
    <row r="26" spans="1:18" x14ac:dyDescent="0.2">
      <c r="A26" s="197">
        <v>7203</v>
      </c>
      <c r="B26" s="100" t="s">
        <v>312</v>
      </c>
      <c r="C26" s="98" t="s">
        <v>237</v>
      </c>
      <c r="D26" s="102">
        <v>24</v>
      </c>
      <c r="E26" s="119"/>
      <c r="F26" s="119" t="s">
        <v>378</v>
      </c>
      <c r="G26" s="100" t="s">
        <v>325</v>
      </c>
      <c r="H26" s="101"/>
      <c r="I26" s="101" t="s">
        <v>505</v>
      </c>
      <c r="J26" s="101">
        <v>40</v>
      </c>
      <c r="K26" s="102">
        <f t="shared" si="1"/>
        <v>32</v>
      </c>
      <c r="L26" s="102">
        <v>15</v>
      </c>
      <c r="M26" s="102">
        <f t="shared" si="0"/>
        <v>19.2</v>
      </c>
      <c r="N26" s="104">
        <f>L26/(K26/100)</f>
        <v>46.875</v>
      </c>
      <c r="O26" s="104">
        <f>0.26*L26</f>
        <v>3.9000000000000004</v>
      </c>
      <c r="P26" s="104"/>
      <c r="Q26" s="115"/>
      <c r="R26" s="58"/>
    </row>
    <row r="27" spans="1:18" x14ac:dyDescent="0.2">
      <c r="A27" s="197">
        <v>7762</v>
      </c>
      <c r="B27" s="100" t="s">
        <v>212</v>
      </c>
      <c r="C27" s="98" t="s">
        <v>237</v>
      </c>
      <c r="D27" s="102">
        <v>25</v>
      </c>
      <c r="E27" s="119"/>
      <c r="F27" s="119" t="s">
        <v>378</v>
      </c>
      <c r="G27" s="100" t="s">
        <v>332</v>
      </c>
      <c r="H27" s="101"/>
      <c r="I27" s="101" t="s">
        <v>504</v>
      </c>
      <c r="J27" s="101">
        <v>40</v>
      </c>
      <c r="K27" s="102">
        <f t="shared" si="1"/>
        <v>32</v>
      </c>
      <c r="L27" s="102">
        <v>15</v>
      </c>
      <c r="M27" s="102">
        <f t="shared" si="0"/>
        <v>19.2</v>
      </c>
      <c r="N27" s="104">
        <f>L27/(K27/100)</f>
        <v>46.875</v>
      </c>
      <c r="O27" s="104">
        <f>0.26*L27</f>
        <v>3.9000000000000004</v>
      </c>
      <c r="P27" s="104"/>
      <c r="Q27" s="115"/>
      <c r="R27" s="56"/>
    </row>
    <row r="28" spans="1:18" ht="15" customHeight="1" x14ac:dyDescent="0.2">
      <c r="A28" s="197">
        <v>1070</v>
      </c>
      <c r="B28" s="99" t="s">
        <v>204</v>
      </c>
      <c r="C28" s="98" t="s">
        <v>335</v>
      </c>
      <c r="D28" s="102">
        <v>26</v>
      </c>
      <c r="E28" s="119" t="s">
        <v>303</v>
      </c>
      <c r="F28" s="119" t="s">
        <v>378</v>
      </c>
      <c r="G28" s="98" t="s">
        <v>336</v>
      </c>
      <c r="H28" s="101"/>
      <c r="I28" s="101" t="s">
        <v>504</v>
      </c>
      <c r="J28" s="102">
        <v>60</v>
      </c>
      <c r="K28" s="102">
        <f t="shared" si="1"/>
        <v>48</v>
      </c>
      <c r="L28" s="102">
        <v>16</v>
      </c>
      <c r="M28" s="102">
        <f t="shared" si="0"/>
        <v>28.799999999999997</v>
      </c>
      <c r="N28" s="104">
        <f>L28/(K28/100)</f>
        <v>33.333333333333336</v>
      </c>
      <c r="O28" s="104">
        <f>0.26*L28</f>
        <v>4.16</v>
      </c>
      <c r="P28" s="104"/>
      <c r="Q28" s="113"/>
      <c r="R28" s="56"/>
    </row>
    <row r="29" spans="1:18" s="59" customFormat="1" ht="15" customHeight="1" x14ac:dyDescent="0.2">
      <c r="A29" s="197">
        <v>4061</v>
      </c>
      <c r="B29" s="99" t="s">
        <v>507</v>
      </c>
      <c r="C29" s="98" t="s">
        <v>516</v>
      </c>
      <c r="D29" s="102">
        <v>27</v>
      </c>
      <c r="E29" s="119" t="s">
        <v>338</v>
      </c>
      <c r="F29" s="119" t="s">
        <v>378</v>
      </c>
      <c r="G29" s="100" t="s">
        <v>517</v>
      </c>
      <c r="H29" s="107">
        <v>2024</v>
      </c>
      <c r="I29" s="110"/>
      <c r="J29" s="107">
        <v>73</v>
      </c>
      <c r="K29" s="112">
        <f t="shared" si="1"/>
        <v>58.4</v>
      </c>
      <c r="L29" s="107"/>
      <c r="M29" s="112">
        <f t="shared" si="0"/>
        <v>35.04</v>
      </c>
      <c r="N29" s="107"/>
      <c r="O29" s="107"/>
      <c r="P29" s="107"/>
      <c r="Q29" s="118"/>
      <c r="R29" s="58"/>
    </row>
    <row r="30" spans="1:18" s="59" customFormat="1" ht="15" customHeight="1" x14ac:dyDescent="0.2">
      <c r="A30" s="197">
        <v>2604</v>
      </c>
      <c r="B30" s="99" t="s">
        <v>381</v>
      </c>
      <c r="C30" s="98" t="s">
        <v>391</v>
      </c>
      <c r="D30" s="102">
        <v>28</v>
      </c>
      <c r="E30" s="119" t="s">
        <v>387</v>
      </c>
      <c r="F30" s="119" t="s">
        <v>382</v>
      </c>
      <c r="G30" s="100"/>
      <c r="H30" s="107"/>
      <c r="I30" s="110"/>
      <c r="J30" s="107"/>
      <c r="K30" s="112"/>
      <c r="L30" s="107"/>
      <c r="M30" s="112"/>
      <c r="N30" s="107"/>
      <c r="O30" s="107"/>
      <c r="P30" s="107"/>
      <c r="Q30" s="118"/>
      <c r="R30" s="58"/>
    </row>
    <row r="31" spans="1:18" s="59" customFormat="1" ht="15" customHeight="1" x14ac:dyDescent="0.2">
      <c r="A31" s="197">
        <v>2604</v>
      </c>
      <c r="B31" s="99" t="s">
        <v>381</v>
      </c>
      <c r="C31" s="98" t="s">
        <v>391</v>
      </c>
      <c r="D31" s="102">
        <v>29</v>
      </c>
      <c r="E31" s="119" t="s">
        <v>388</v>
      </c>
      <c r="F31" s="119" t="s">
        <v>382</v>
      </c>
      <c r="G31" s="100"/>
      <c r="H31" s="107"/>
      <c r="I31" s="110"/>
      <c r="J31" s="107"/>
      <c r="K31" s="112"/>
      <c r="L31" s="107"/>
      <c r="M31" s="112"/>
      <c r="N31" s="107"/>
      <c r="O31" s="107"/>
      <c r="P31" s="107"/>
      <c r="Q31" s="118"/>
      <c r="R31" s="58"/>
    </row>
    <row r="32" spans="1:18" s="59" customFormat="1" ht="15" customHeight="1" x14ac:dyDescent="0.2">
      <c r="A32" s="197">
        <v>2604</v>
      </c>
      <c r="B32" s="99" t="s">
        <v>381</v>
      </c>
      <c r="C32" s="98" t="s">
        <v>391</v>
      </c>
      <c r="D32" s="102">
        <v>30</v>
      </c>
      <c r="E32" s="119" t="s">
        <v>389</v>
      </c>
      <c r="F32" s="119" t="s">
        <v>382</v>
      </c>
      <c r="G32" s="100"/>
      <c r="H32" s="107"/>
      <c r="I32" s="110"/>
      <c r="J32" s="107"/>
      <c r="K32" s="112"/>
      <c r="L32" s="107"/>
      <c r="M32" s="112"/>
      <c r="N32" s="107"/>
      <c r="O32" s="107"/>
      <c r="P32" s="107"/>
      <c r="Q32" s="118"/>
      <c r="R32" s="58"/>
    </row>
    <row r="33" spans="1:18" s="59" customFormat="1" ht="15" customHeight="1" x14ac:dyDescent="0.2">
      <c r="A33" s="197">
        <v>1761</v>
      </c>
      <c r="B33" s="99" t="s">
        <v>204</v>
      </c>
      <c r="C33" s="98" t="s">
        <v>494</v>
      </c>
      <c r="D33" s="102">
        <v>31</v>
      </c>
      <c r="E33" s="119"/>
      <c r="F33" s="119" t="s">
        <v>382</v>
      </c>
      <c r="G33" s="100"/>
      <c r="H33" s="107">
        <v>2025</v>
      </c>
      <c r="I33" s="110"/>
      <c r="J33" s="107" t="s">
        <v>492</v>
      </c>
      <c r="K33" s="112"/>
      <c r="L33" s="107"/>
      <c r="M33" s="112"/>
      <c r="N33" s="107"/>
      <c r="O33" s="107"/>
      <c r="P33" s="107"/>
      <c r="Q33" s="118"/>
      <c r="R33" s="58"/>
    </row>
    <row r="34" spans="1:18" ht="15" customHeight="1" x14ac:dyDescent="0.2">
      <c r="A34" s="199">
        <v>1024</v>
      </c>
      <c r="B34" s="123" t="s">
        <v>204</v>
      </c>
      <c r="C34" s="124" t="s">
        <v>339</v>
      </c>
      <c r="D34" s="191" t="s">
        <v>340</v>
      </c>
      <c r="E34" s="125" t="s">
        <v>341</v>
      </c>
      <c r="F34" s="125" t="s">
        <v>379</v>
      </c>
      <c r="G34" s="126">
        <v>1024</v>
      </c>
      <c r="H34" s="127">
        <v>2010</v>
      </c>
      <c r="I34" s="129" t="s">
        <v>504</v>
      </c>
      <c r="J34" s="130">
        <v>200</v>
      </c>
      <c r="K34" s="130">
        <f t="shared" si="1"/>
        <v>160</v>
      </c>
      <c r="L34" s="130">
        <v>70</v>
      </c>
      <c r="M34" s="130">
        <f t="shared" si="0"/>
        <v>96</v>
      </c>
      <c r="N34" s="132">
        <f t="shared" ref="N34:N41" si="3">L34/(K34/100)</f>
        <v>43.75</v>
      </c>
      <c r="O34" s="132">
        <f>0.28*L34</f>
        <v>19.600000000000001</v>
      </c>
      <c r="P34" s="132">
        <v>2023</v>
      </c>
      <c r="Q34" s="134"/>
    </row>
    <row r="35" spans="1:18" ht="15" customHeight="1" x14ac:dyDescent="0.2">
      <c r="A35" s="199">
        <v>1000</v>
      </c>
      <c r="B35" s="123" t="s">
        <v>204</v>
      </c>
      <c r="C35" s="124" t="s">
        <v>345</v>
      </c>
      <c r="D35" s="191" t="s">
        <v>340</v>
      </c>
      <c r="E35" s="125" t="s">
        <v>346</v>
      </c>
      <c r="F35" s="125" t="s">
        <v>379</v>
      </c>
      <c r="G35" s="128" t="s">
        <v>347</v>
      </c>
      <c r="H35" s="129">
        <v>2011</v>
      </c>
      <c r="I35" s="129" t="s">
        <v>504</v>
      </c>
      <c r="J35" s="130">
        <v>2500</v>
      </c>
      <c r="K35" s="130">
        <f t="shared" si="1"/>
        <v>2000</v>
      </c>
      <c r="L35" s="130">
        <v>400</v>
      </c>
      <c r="M35" s="130">
        <f t="shared" si="0"/>
        <v>1200</v>
      </c>
      <c r="N35" s="132">
        <f t="shared" si="3"/>
        <v>20</v>
      </c>
      <c r="O35" s="132">
        <f>0.31*L35</f>
        <v>124</v>
      </c>
      <c r="P35" s="136">
        <v>2022</v>
      </c>
      <c r="Q35" s="137"/>
    </row>
    <row r="36" spans="1:18" ht="15" customHeight="1" x14ac:dyDescent="0.2">
      <c r="A36" s="199">
        <v>1000</v>
      </c>
      <c r="B36" s="123" t="s">
        <v>204</v>
      </c>
      <c r="C36" s="124" t="s">
        <v>350</v>
      </c>
      <c r="D36" s="191" t="s">
        <v>340</v>
      </c>
      <c r="E36" s="125" t="s">
        <v>346</v>
      </c>
      <c r="F36" s="125" t="s">
        <v>379</v>
      </c>
      <c r="G36" s="128" t="s">
        <v>347</v>
      </c>
      <c r="H36" s="129">
        <v>2011</v>
      </c>
      <c r="I36" s="129" t="s">
        <v>504</v>
      </c>
      <c r="J36" s="130">
        <v>2500</v>
      </c>
      <c r="K36" s="130">
        <f t="shared" si="1"/>
        <v>2000</v>
      </c>
      <c r="L36" s="130">
        <v>400</v>
      </c>
      <c r="M36" s="130">
        <f t="shared" si="0"/>
        <v>1200</v>
      </c>
      <c r="N36" s="132">
        <f t="shared" si="3"/>
        <v>20</v>
      </c>
      <c r="O36" s="132">
        <f>0.31*L36</f>
        <v>124</v>
      </c>
      <c r="P36" s="136">
        <v>2022</v>
      </c>
      <c r="Q36" s="137"/>
    </row>
    <row r="37" spans="1:18" ht="15" customHeight="1" x14ac:dyDescent="0.2">
      <c r="A37" s="199">
        <v>1000</v>
      </c>
      <c r="B37" s="123" t="s">
        <v>204</v>
      </c>
      <c r="C37" s="124" t="s">
        <v>352</v>
      </c>
      <c r="D37" s="191" t="s">
        <v>340</v>
      </c>
      <c r="E37" s="125" t="s">
        <v>346</v>
      </c>
      <c r="F37" s="125" t="s">
        <v>379</v>
      </c>
      <c r="G37" s="128" t="s">
        <v>347</v>
      </c>
      <c r="H37" s="129">
        <v>2011</v>
      </c>
      <c r="I37" s="129" t="s">
        <v>504</v>
      </c>
      <c r="J37" s="130">
        <v>2500</v>
      </c>
      <c r="K37" s="130">
        <f t="shared" si="1"/>
        <v>2000</v>
      </c>
      <c r="L37" s="130">
        <v>400</v>
      </c>
      <c r="M37" s="130">
        <f t="shared" si="0"/>
        <v>1200</v>
      </c>
      <c r="N37" s="132">
        <f t="shared" si="3"/>
        <v>20</v>
      </c>
      <c r="O37" s="132">
        <f>0.31*L37</f>
        <v>124</v>
      </c>
      <c r="P37" s="132">
        <v>2022</v>
      </c>
      <c r="Q37" s="137"/>
      <c r="R37" s="47"/>
    </row>
    <row r="38" spans="1:18" ht="15" customHeight="1" x14ac:dyDescent="0.2">
      <c r="A38" s="199">
        <v>1183</v>
      </c>
      <c r="B38" s="123" t="s">
        <v>204</v>
      </c>
      <c r="C38" s="128" t="s">
        <v>354</v>
      </c>
      <c r="D38" s="191" t="s">
        <v>340</v>
      </c>
      <c r="E38" s="125"/>
      <c r="F38" s="125" t="s">
        <v>379</v>
      </c>
      <c r="G38" s="128">
        <v>1183</v>
      </c>
      <c r="H38" s="129"/>
      <c r="I38" s="129" t="s">
        <v>504</v>
      </c>
      <c r="J38" s="129">
        <v>40</v>
      </c>
      <c r="K38" s="130">
        <f t="shared" si="1"/>
        <v>32</v>
      </c>
      <c r="L38" s="130">
        <v>10</v>
      </c>
      <c r="M38" s="130">
        <f t="shared" si="0"/>
        <v>19.2</v>
      </c>
      <c r="N38" s="132">
        <f t="shared" si="3"/>
        <v>31.25</v>
      </c>
      <c r="O38" s="132">
        <f>0.26*L38</f>
        <v>2.6</v>
      </c>
      <c r="P38" s="132"/>
      <c r="Q38" s="139"/>
    </row>
    <row r="39" spans="1:18" ht="15" customHeight="1" x14ac:dyDescent="0.2">
      <c r="A39" s="199">
        <v>1186</v>
      </c>
      <c r="B39" s="123" t="s">
        <v>204</v>
      </c>
      <c r="C39" s="128" t="s">
        <v>354</v>
      </c>
      <c r="D39" s="191" t="s">
        <v>340</v>
      </c>
      <c r="E39" s="125"/>
      <c r="F39" s="125" t="s">
        <v>379</v>
      </c>
      <c r="G39" s="128">
        <v>1186</v>
      </c>
      <c r="H39" s="129"/>
      <c r="I39" s="129" t="s">
        <v>504</v>
      </c>
      <c r="J39" s="129">
        <v>40</v>
      </c>
      <c r="K39" s="130">
        <f t="shared" si="1"/>
        <v>32</v>
      </c>
      <c r="L39" s="130">
        <v>10</v>
      </c>
      <c r="M39" s="130">
        <f t="shared" si="0"/>
        <v>19.2</v>
      </c>
      <c r="N39" s="132">
        <f t="shared" si="3"/>
        <v>31.25</v>
      </c>
      <c r="O39" s="132">
        <f>0.26*L39</f>
        <v>2.6</v>
      </c>
      <c r="P39" s="132"/>
      <c r="Q39" s="140"/>
      <c r="R39" s="47"/>
    </row>
    <row r="40" spans="1:18" ht="15" customHeight="1" x14ac:dyDescent="0.2">
      <c r="A40" s="200">
        <v>1191</v>
      </c>
      <c r="B40" s="141" t="s">
        <v>204</v>
      </c>
      <c r="C40" s="142" t="s">
        <v>354</v>
      </c>
      <c r="D40" s="192" t="s">
        <v>340</v>
      </c>
      <c r="E40" s="143"/>
      <c r="F40" s="125" t="s">
        <v>379</v>
      </c>
      <c r="G40" s="142">
        <v>1191</v>
      </c>
      <c r="H40" s="144"/>
      <c r="I40" s="144" t="s">
        <v>504</v>
      </c>
      <c r="J40" s="144">
        <v>40</v>
      </c>
      <c r="K40" s="145">
        <f t="shared" si="1"/>
        <v>32</v>
      </c>
      <c r="L40" s="145">
        <v>10</v>
      </c>
      <c r="M40" s="145">
        <f t="shared" si="0"/>
        <v>19.2</v>
      </c>
      <c r="N40" s="148">
        <f t="shared" si="3"/>
        <v>31.25</v>
      </c>
      <c r="O40" s="148">
        <f>0.26*L40</f>
        <v>2.6</v>
      </c>
      <c r="P40" s="148">
        <v>2082015</v>
      </c>
      <c r="Q40" s="150"/>
      <c r="R40" s="47"/>
    </row>
    <row r="41" spans="1:18" ht="15" customHeight="1" x14ac:dyDescent="0.2">
      <c r="A41" s="199">
        <v>1500</v>
      </c>
      <c r="B41" s="123" t="s">
        <v>204</v>
      </c>
      <c r="C41" s="124" t="s">
        <v>357</v>
      </c>
      <c r="D41" s="191" t="s">
        <v>340</v>
      </c>
      <c r="E41" s="125" t="s">
        <v>358</v>
      </c>
      <c r="F41" s="125" t="s">
        <v>379</v>
      </c>
      <c r="G41" s="128" t="s">
        <v>359</v>
      </c>
      <c r="H41" s="129">
        <v>2013</v>
      </c>
      <c r="I41" s="129" t="s">
        <v>504</v>
      </c>
      <c r="J41" s="130">
        <v>1856</v>
      </c>
      <c r="K41" s="130">
        <f t="shared" si="1"/>
        <v>1484.8</v>
      </c>
      <c r="L41" s="130">
        <v>385</v>
      </c>
      <c r="M41" s="130">
        <f t="shared" si="0"/>
        <v>890.88</v>
      </c>
      <c r="N41" s="132">
        <f t="shared" si="3"/>
        <v>25.929418103448278</v>
      </c>
      <c r="O41" s="132">
        <f>0.31*L41</f>
        <v>119.35</v>
      </c>
      <c r="P41" s="132">
        <v>2022</v>
      </c>
      <c r="Q41" s="140"/>
      <c r="R41" s="47"/>
    </row>
    <row r="42" spans="1:18" x14ac:dyDescent="0.2">
      <c r="A42" s="201">
        <v>77695</v>
      </c>
      <c r="B42" s="153" t="s">
        <v>212</v>
      </c>
      <c r="C42" s="154" t="s">
        <v>363</v>
      </c>
      <c r="D42" s="193" t="s">
        <v>340</v>
      </c>
      <c r="E42" s="155"/>
      <c r="F42" s="156" t="s">
        <v>380</v>
      </c>
      <c r="G42" s="154"/>
      <c r="H42" s="157"/>
      <c r="I42" s="157"/>
      <c r="J42" s="157"/>
      <c r="K42" s="158"/>
      <c r="L42" s="158"/>
      <c r="M42" s="158"/>
      <c r="N42" s="161"/>
      <c r="O42" s="161"/>
      <c r="P42" s="161"/>
      <c r="Q42" s="163"/>
      <c r="R42" s="47"/>
    </row>
    <row r="43" spans="1:18" x14ac:dyDescent="0.2">
      <c r="A43" s="202">
        <v>4367</v>
      </c>
      <c r="B43" s="164" t="s">
        <v>390</v>
      </c>
      <c r="C43" s="165">
        <v>4367</v>
      </c>
      <c r="D43" s="194" t="s">
        <v>340</v>
      </c>
      <c r="E43" s="155" t="s">
        <v>392</v>
      </c>
      <c r="F43" s="155" t="s">
        <v>393</v>
      </c>
      <c r="G43" s="165" t="s">
        <v>390</v>
      </c>
      <c r="H43" s="166"/>
      <c r="I43" s="166"/>
      <c r="J43" s="166"/>
      <c r="K43" s="167"/>
      <c r="L43" s="167"/>
      <c r="M43" s="167"/>
      <c r="N43" s="170"/>
      <c r="O43" s="170"/>
      <c r="P43" s="170"/>
      <c r="Q43" s="172"/>
      <c r="R43" s="47"/>
    </row>
    <row r="44" spans="1:18" x14ac:dyDescent="0.2">
      <c r="A44" s="202">
        <v>4367</v>
      </c>
      <c r="B44" s="164" t="s">
        <v>390</v>
      </c>
      <c r="C44" s="165">
        <v>4367</v>
      </c>
      <c r="D44" s="194" t="s">
        <v>340</v>
      </c>
      <c r="E44" s="155" t="s">
        <v>397</v>
      </c>
      <c r="F44" s="155" t="s">
        <v>393</v>
      </c>
      <c r="G44" s="165" t="s">
        <v>390</v>
      </c>
      <c r="H44" s="166"/>
      <c r="I44" s="166"/>
      <c r="J44" s="166"/>
      <c r="K44" s="167"/>
      <c r="L44" s="167"/>
      <c r="M44" s="167"/>
      <c r="N44" s="170"/>
      <c r="O44" s="170"/>
      <c r="P44" s="170"/>
      <c r="Q44" s="172"/>
      <c r="R44" s="47"/>
    </row>
    <row r="45" spans="1:18" x14ac:dyDescent="0.2">
      <c r="A45" s="202">
        <v>4367</v>
      </c>
      <c r="B45" s="164" t="s">
        <v>390</v>
      </c>
      <c r="C45" s="165">
        <v>4367</v>
      </c>
      <c r="D45" s="194" t="s">
        <v>340</v>
      </c>
      <c r="E45" s="155" t="s">
        <v>398</v>
      </c>
      <c r="F45" s="155" t="s">
        <v>393</v>
      </c>
      <c r="G45" s="165" t="s">
        <v>390</v>
      </c>
      <c r="H45" s="166"/>
      <c r="I45" s="166"/>
      <c r="J45" s="166"/>
      <c r="K45" s="167"/>
      <c r="L45" s="167"/>
      <c r="M45" s="167"/>
      <c r="N45" s="170"/>
      <c r="O45" s="170"/>
      <c r="P45" s="170"/>
      <c r="Q45" s="172"/>
      <c r="R45" s="47"/>
    </row>
    <row r="46" spans="1:18" x14ac:dyDescent="0.2">
      <c r="A46" s="202">
        <v>4367</v>
      </c>
      <c r="B46" s="164" t="s">
        <v>390</v>
      </c>
      <c r="C46" s="165">
        <v>4367</v>
      </c>
      <c r="D46" s="194" t="s">
        <v>340</v>
      </c>
      <c r="E46" s="155" t="s">
        <v>399</v>
      </c>
      <c r="F46" s="155" t="s">
        <v>393</v>
      </c>
      <c r="G46" s="165" t="s">
        <v>390</v>
      </c>
      <c r="H46" s="166"/>
      <c r="I46" s="166"/>
      <c r="J46" s="166"/>
      <c r="K46" s="167"/>
      <c r="L46" s="167"/>
      <c r="M46" s="167"/>
      <c r="N46" s="170"/>
      <c r="O46" s="170"/>
      <c r="P46" s="170"/>
      <c r="Q46" s="172"/>
      <c r="R46" s="47"/>
    </row>
    <row r="47" spans="1:18" x14ac:dyDescent="0.2">
      <c r="A47" s="202">
        <v>4367</v>
      </c>
      <c r="B47" s="164" t="s">
        <v>390</v>
      </c>
      <c r="C47" s="165" t="s">
        <v>404</v>
      </c>
      <c r="D47" s="194" t="s">
        <v>340</v>
      </c>
      <c r="E47" s="155" t="s">
        <v>405</v>
      </c>
      <c r="F47" s="155" t="s">
        <v>393</v>
      </c>
      <c r="G47" s="165" t="s">
        <v>390</v>
      </c>
      <c r="H47" s="166"/>
      <c r="I47" s="166"/>
      <c r="J47" s="166"/>
      <c r="K47" s="167"/>
      <c r="L47" s="167"/>
      <c r="M47" s="167"/>
      <c r="N47" s="170"/>
      <c r="O47" s="170"/>
      <c r="P47" s="170"/>
      <c r="Q47" s="172"/>
      <c r="R47" s="47"/>
    </row>
    <row r="48" spans="1:18" x14ac:dyDescent="0.2">
      <c r="A48" s="202">
        <v>4367</v>
      </c>
      <c r="B48" s="164" t="s">
        <v>390</v>
      </c>
      <c r="C48" s="165" t="s">
        <v>404</v>
      </c>
      <c r="D48" s="194" t="s">
        <v>340</v>
      </c>
      <c r="E48" s="155" t="s">
        <v>406</v>
      </c>
      <c r="F48" s="155" t="s">
        <v>393</v>
      </c>
      <c r="G48" s="165" t="s">
        <v>390</v>
      </c>
      <c r="H48" s="166"/>
      <c r="I48" s="166"/>
      <c r="J48" s="166"/>
      <c r="K48" s="167"/>
      <c r="L48" s="167"/>
      <c r="M48" s="167"/>
      <c r="N48" s="170"/>
      <c r="O48" s="170"/>
      <c r="P48" s="170"/>
      <c r="Q48" s="172"/>
      <c r="R48" s="47"/>
    </row>
    <row r="49" spans="1:19" x14ac:dyDescent="0.2">
      <c r="Q49" s="64"/>
      <c r="R49" s="47"/>
    </row>
    <row r="50" spans="1:19" x14ac:dyDescent="0.2">
      <c r="Q50" s="64"/>
      <c r="R50" s="47"/>
    </row>
    <row r="51" spans="1:19" x14ac:dyDescent="0.2">
      <c r="Q51" s="64"/>
      <c r="R51" s="47"/>
    </row>
    <row r="52" spans="1:19" x14ac:dyDescent="0.2">
      <c r="Q52" s="64"/>
      <c r="R52" s="47"/>
    </row>
    <row r="53" spans="1:19" x14ac:dyDescent="0.2">
      <c r="A53" s="363" t="s">
        <v>515</v>
      </c>
      <c r="B53" s="363"/>
      <c r="C53" s="363"/>
      <c r="D53" s="363"/>
      <c r="E53" s="363"/>
      <c r="F53" s="363"/>
      <c r="G53" s="363"/>
      <c r="H53" s="363"/>
      <c r="I53" s="363"/>
      <c r="Q53" s="64"/>
      <c r="R53" s="47"/>
    </row>
    <row r="54" spans="1:19" x14ac:dyDescent="0.2">
      <c r="A54" s="364"/>
      <c r="B54" s="364"/>
      <c r="C54" s="364"/>
      <c r="D54" s="364"/>
      <c r="E54" s="364"/>
      <c r="F54" s="364"/>
      <c r="G54" s="364"/>
      <c r="H54" s="364"/>
      <c r="I54" s="364"/>
      <c r="Q54" s="64"/>
      <c r="R54" s="47"/>
    </row>
    <row r="55" spans="1:19" ht="30" x14ac:dyDescent="0.25">
      <c r="A55" s="209" t="s">
        <v>497</v>
      </c>
      <c r="B55" s="210" t="s">
        <v>176</v>
      </c>
      <c r="C55" s="211" t="s">
        <v>4</v>
      </c>
      <c r="D55" s="212" t="s">
        <v>178</v>
      </c>
      <c r="E55" s="213" t="s">
        <v>179</v>
      </c>
      <c r="F55" s="214" t="s">
        <v>377</v>
      </c>
      <c r="G55" s="211" t="s">
        <v>376</v>
      </c>
      <c r="H55" s="361" t="s">
        <v>508</v>
      </c>
      <c r="I55" s="362"/>
      <c r="Q55" s="64"/>
      <c r="R55" s="47"/>
    </row>
    <row r="56" spans="1:19" ht="24" customHeight="1" x14ac:dyDescent="0.2">
      <c r="A56" s="221">
        <v>1060</v>
      </c>
      <c r="B56" s="215" t="s">
        <v>204</v>
      </c>
      <c r="C56" s="222" t="s">
        <v>205</v>
      </c>
      <c r="D56" s="223">
        <v>1</v>
      </c>
      <c r="E56" s="224" t="s">
        <v>206</v>
      </c>
      <c r="F56" s="224" t="s">
        <v>378</v>
      </c>
      <c r="G56" s="215" t="s">
        <v>513</v>
      </c>
      <c r="H56" s="358"/>
      <c r="I56" s="359"/>
      <c r="Q56" s="64"/>
      <c r="R56" s="47"/>
    </row>
    <row r="57" spans="1:19" ht="24" customHeight="1" x14ac:dyDescent="0.2">
      <c r="A57" s="221">
        <v>7850</v>
      </c>
      <c r="B57" s="215" t="s">
        <v>212</v>
      </c>
      <c r="C57" s="222" t="s">
        <v>213</v>
      </c>
      <c r="D57" s="223">
        <v>2</v>
      </c>
      <c r="E57" s="224" t="s">
        <v>214</v>
      </c>
      <c r="F57" s="224" t="s">
        <v>378</v>
      </c>
      <c r="G57" s="222" t="s">
        <v>213</v>
      </c>
      <c r="H57" s="358"/>
      <c r="I57" s="359"/>
      <c r="Q57" s="64"/>
      <c r="R57" s="47"/>
    </row>
    <row r="58" spans="1:19" ht="24" customHeight="1" x14ac:dyDescent="0.2">
      <c r="A58" s="221">
        <v>3377</v>
      </c>
      <c r="B58" s="215" t="s">
        <v>204</v>
      </c>
      <c r="C58" s="222" t="s">
        <v>220</v>
      </c>
      <c r="D58" s="223">
        <v>3</v>
      </c>
      <c r="E58" s="224" t="s">
        <v>221</v>
      </c>
      <c r="F58" s="224" t="s">
        <v>378</v>
      </c>
      <c r="G58" s="215" t="s">
        <v>222</v>
      </c>
      <c r="H58" s="358"/>
      <c r="I58" s="359"/>
      <c r="Q58" s="64"/>
      <c r="R58" s="47"/>
    </row>
    <row r="59" spans="1:19" ht="24" customHeight="1" x14ac:dyDescent="0.2">
      <c r="A59" s="221">
        <v>1757</v>
      </c>
      <c r="B59" s="215" t="s">
        <v>204</v>
      </c>
      <c r="C59" s="215" t="s">
        <v>226</v>
      </c>
      <c r="D59" s="223">
        <v>4</v>
      </c>
      <c r="E59" s="224"/>
      <c r="F59" s="224" t="s">
        <v>378</v>
      </c>
      <c r="G59" s="215" t="s">
        <v>227</v>
      </c>
      <c r="H59" s="358"/>
      <c r="I59" s="359"/>
      <c r="Q59" s="64"/>
      <c r="R59" s="47"/>
      <c r="S59" s="52" t="s">
        <v>364</v>
      </c>
    </row>
    <row r="60" spans="1:19" ht="24" customHeight="1" x14ac:dyDescent="0.2">
      <c r="A60" s="221">
        <v>7915</v>
      </c>
      <c r="B60" s="215" t="s">
        <v>212</v>
      </c>
      <c r="C60" s="222" t="s">
        <v>232</v>
      </c>
      <c r="D60" s="223">
        <v>5</v>
      </c>
      <c r="E60" s="224" t="s">
        <v>233</v>
      </c>
      <c r="F60" s="224" t="s">
        <v>378</v>
      </c>
      <c r="G60" s="215">
        <v>7915</v>
      </c>
      <c r="H60" s="358"/>
      <c r="I60" s="359"/>
    </row>
    <row r="61" spans="1:19" ht="24" customHeight="1" x14ac:dyDescent="0.2">
      <c r="A61" s="221">
        <v>7560</v>
      </c>
      <c r="B61" s="215" t="s">
        <v>506</v>
      </c>
      <c r="C61" s="222" t="s">
        <v>237</v>
      </c>
      <c r="D61" s="223">
        <v>6</v>
      </c>
      <c r="E61" s="224" t="s">
        <v>238</v>
      </c>
      <c r="F61" s="224" t="s">
        <v>378</v>
      </c>
      <c r="G61" s="222" t="s">
        <v>512</v>
      </c>
      <c r="H61" s="358"/>
      <c r="I61" s="359"/>
    </row>
    <row r="62" spans="1:19" ht="24" customHeight="1" x14ac:dyDescent="0.2">
      <c r="A62" s="221">
        <v>1036</v>
      </c>
      <c r="B62" s="215" t="s">
        <v>204</v>
      </c>
      <c r="C62" s="222" t="s">
        <v>242</v>
      </c>
      <c r="D62" s="223">
        <v>7</v>
      </c>
      <c r="E62" s="224" t="s">
        <v>243</v>
      </c>
      <c r="F62" s="224" t="s">
        <v>378</v>
      </c>
      <c r="G62" s="215" t="s">
        <v>244</v>
      </c>
      <c r="H62" s="358"/>
      <c r="I62" s="359"/>
    </row>
    <row r="63" spans="1:19" ht="24" customHeight="1" x14ac:dyDescent="0.2">
      <c r="A63" s="221">
        <v>1050</v>
      </c>
      <c r="B63" s="215" t="s">
        <v>204</v>
      </c>
      <c r="C63" s="222" t="s">
        <v>249</v>
      </c>
      <c r="D63" s="223">
        <v>8</v>
      </c>
      <c r="E63" s="224" t="s">
        <v>250</v>
      </c>
      <c r="F63" s="224" t="s">
        <v>378</v>
      </c>
      <c r="G63" s="215">
        <v>1050.1532</v>
      </c>
      <c r="H63" s="358"/>
      <c r="I63" s="359"/>
    </row>
    <row r="64" spans="1:19" ht="24" customHeight="1" x14ac:dyDescent="0.2">
      <c r="A64" s="221">
        <v>1086</v>
      </c>
      <c r="B64" s="215" t="s">
        <v>204</v>
      </c>
      <c r="C64" s="222" t="s">
        <v>254</v>
      </c>
      <c r="D64" s="223">
        <v>9</v>
      </c>
      <c r="E64" s="224" t="s">
        <v>255</v>
      </c>
      <c r="F64" s="224" t="s">
        <v>378</v>
      </c>
      <c r="G64" s="215" t="s">
        <v>256</v>
      </c>
      <c r="H64" s="358"/>
      <c r="I64" s="359"/>
    </row>
    <row r="65" spans="1:9" ht="24" customHeight="1" x14ac:dyDescent="0.2">
      <c r="A65" s="221">
        <v>1059</v>
      </c>
      <c r="B65" s="215" t="s">
        <v>204</v>
      </c>
      <c r="C65" s="222" t="s">
        <v>261</v>
      </c>
      <c r="D65" s="223">
        <v>10</v>
      </c>
      <c r="E65" s="224" t="s">
        <v>262</v>
      </c>
      <c r="F65" s="224" t="s">
        <v>378</v>
      </c>
      <c r="G65" s="215" t="s">
        <v>263</v>
      </c>
      <c r="H65" s="358"/>
      <c r="I65" s="359"/>
    </row>
    <row r="66" spans="1:9" ht="24" customHeight="1" x14ac:dyDescent="0.2">
      <c r="A66" s="221">
        <v>1222</v>
      </c>
      <c r="B66" s="215" t="s">
        <v>204</v>
      </c>
      <c r="C66" s="222" t="s">
        <v>267</v>
      </c>
      <c r="D66" s="223">
        <v>11</v>
      </c>
      <c r="E66" s="224" t="s">
        <v>268</v>
      </c>
      <c r="F66" s="224" t="s">
        <v>378</v>
      </c>
      <c r="G66" s="222" t="s">
        <v>518</v>
      </c>
      <c r="H66" s="358"/>
      <c r="I66" s="359"/>
    </row>
    <row r="67" spans="1:9" ht="24" customHeight="1" x14ac:dyDescent="0.2">
      <c r="A67" s="225">
        <v>1507</v>
      </c>
      <c r="B67" s="216" t="s">
        <v>204</v>
      </c>
      <c r="C67" s="226" t="s">
        <v>271</v>
      </c>
      <c r="D67" s="223">
        <v>12</v>
      </c>
      <c r="E67" s="224" t="s">
        <v>272</v>
      </c>
      <c r="F67" s="224" t="s">
        <v>378</v>
      </c>
      <c r="G67" s="216" t="s">
        <v>273</v>
      </c>
      <c r="H67" s="358"/>
      <c r="I67" s="359"/>
    </row>
    <row r="68" spans="1:9" ht="24" customHeight="1" x14ac:dyDescent="0.2">
      <c r="A68" s="221">
        <v>5315</v>
      </c>
      <c r="B68" s="215" t="s">
        <v>277</v>
      </c>
      <c r="C68" s="222" t="s">
        <v>278</v>
      </c>
      <c r="D68" s="223">
        <v>13</v>
      </c>
      <c r="E68" s="224" t="s">
        <v>279</v>
      </c>
      <c r="F68" s="224" t="s">
        <v>378</v>
      </c>
      <c r="G68" s="216" t="s">
        <v>277</v>
      </c>
      <c r="H68" s="358"/>
      <c r="I68" s="359"/>
    </row>
    <row r="69" spans="1:9" ht="24" customHeight="1" x14ac:dyDescent="0.2">
      <c r="A69" s="221">
        <v>7898</v>
      </c>
      <c r="B69" s="215" t="s">
        <v>212</v>
      </c>
      <c r="C69" s="222" t="s">
        <v>283</v>
      </c>
      <c r="D69" s="223">
        <v>14</v>
      </c>
      <c r="E69" s="224" t="s">
        <v>284</v>
      </c>
      <c r="F69" s="224" t="s">
        <v>378</v>
      </c>
      <c r="G69" s="215" t="s">
        <v>285</v>
      </c>
      <c r="H69" s="358"/>
      <c r="I69" s="359"/>
    </row>
    <row r="70" spans="1:9" ht="24" customHeight="1" x14ac:dyDescent="0.2">
      <c r="A70" s="225">
        <v>3341</v>
      </c>
      <c r="B70" s="216" t="s">
        <v>204</v>
      </c>
      <c r="C70" s="222" t="s">
        <v>291</v>
      </c>
      <c r="D70" s="223">
        <v>15</v>
      </c>
      <c r="E70" s="224" t="s">
        <v>292</v>
      </c>
      <c r="F70" s="224" t="s">
        <v>378</v>
      </c>
      <c r="G70" s="216" t="s">
        <v>293</v>
      </c>
      <c r="H70" s="358"/>
      <c r="I70" s="359"/>
    </row>
    <row r="71" spans="1:9" ht="24" customHeight="1" x14ac:dyDescent="0.2">
      <c r="A71" s="221">
        <v>1569</v>
      </c>
      <c r="B71" s="215" t="s">
        <v>204</v>
      </c>
      <c r="C71" s="222" t="s">
        <v>297</v>
      </c>
      <c r="D71" s="223">
        <v>16</v>
      </c>
      <c r="E71" s="224" t="s">
        <v>298</v>
      </c>
      <c r="F71" s="224" t="s">
        <v>378</v>
      </c>
      <c r="G71" s="215" t="s">
        <v>299</v>
      </c>
      <c r="H71" s="358"/>
      <c r="I71" s="359"/>
    </row>
    <row r="72" spans="1:9" ht="24" customHeight="1" x14ac:dyDescent="0.2">
      <c r="A72" s="221">
        <v>1205</v>
      </c>
      <c r="B72" s="215" t="s">
        <v>204</v>
      </c>
      <c r="C72" s="222" t="s">
        <v>519</v>
      </c>
      <c r="D72" s="223">
        <v>17</v>
      </c>
      <c r="E72" s="224" t="s">
        <v>303</v>
      </c>
      <c r="F72" s="224" t="s">
        <v>378</v>
      </c>
      <c r="G72" s="215">
        <v>1205.1208999999999</v>
      </c>
      <c r="H72" s="358"/>
      <c r="I72" s="359"/>
    </row>
    <row r="73" spans="1:9" ht="24" customHeight="1" x14ac:dyDescent="0.2">
      <c r="A73" s="221">
        <v>1027</v>
      </c>
      <c r="B73" s="215" t="s">
        <v>204</v>
      </c>
      <c r="C73" s="222" t="s">
        <v>305</v>
      </c>
      <c r="D73" s="223">
        <v>18</v>
      </c>
      <c r="E73" s="224" t="s">
        <v>306</v>
      </c>
      <c r="F73" s="224" t="s">
        <v>378</v>
      </c>
      <c r="G73" s="227">
        <v>100110021627</v>
      </c>
      <c r="H73" s="358"/>
      <c r="I73" s="359"/>
    </row>
    <row r="74" spans="1:9" ht="24" customHeight="1" x14ac:dyDescent="0.2">
      <c r="A74" s="221">
        <v>7821</v>
      </c>
      <c r="B74" s="215" t="s">
        <v>212</v>
      </c>
      <c r="C74" s="222" t="s">
        <v>237</v>
      </c>
      <c r="D74" s="223">
        <v>19</v>
      </c>
      <c r="E74" s="224" t="s">
        <v>221</v>
      </c>
      <c r="F74" s="224" t="s">
        <v>378</v>
      </c>
      <c r="G74" s="222" t="s">
        <v>511</v>
      </c>
      <c r="H74" s="358"/>
      <c r="I74" s="359"/>
    </row>
    <row r="75" spans="1:9" ht="24" customHeight="1" x14ac:dyDescent="0.2">
      <c r="A75" s="221">
        <v>1071</v>
      </c>
      <c r="B75" s="215" t="s">
        <v>204</v>
      </c>
      <c r="C75" s="222" t="s">
        <v>311</v>
      </c>
      <c r="D75" s="223">
        <v>20</v>
      </c>
      <c r="E75" s="224" t="s">
        <v>303</v>
      </c>
      <c r="F75" s="224" t="s">
        <v>378</v>
      </c>
      <c r="G75" s="215">
        <v>1571</v>
      </c>
      <c r="H75" s="358"/>
      <c r="I75" s="359"/>
    </row>
    <row r="76" spans="1:9" ht="24" customHeight="1" x14ac:dyDescent="0.2">
      <c r="A76" s="221">
        <v>6280</v>
      </c>
      <c r="B76" s="215" t="s">
        <v>312</v>
      </c>
      <c r="C76" s="222" t="s">
        <v>313</v>
      </c>
      <c r="D76" s="223">
        <v>21</v>
      </c>
      <c r="E76" s="224" t="s">
        <v>314</v>
      </c>
      <c r="F76" s="224" t="s">
        <v>378</v>
      </c>
      <c r="G76" s="215" t="s">
        <v>510</v>
      </c>
      <c r="H76" s="358"/>
      <c r="I76" s="359"/>
    </row>
    <row r="77" spans="1:9" ht="24" customHeight="1" x14ac:dyDescent="0.2">
      <c r="A77" s="221">
        <v>4062</v>
      </c>
      <c r="B77" s="215" t="s">
        <v>507</v>
      </c>
      <c r="C77" s="222" t="s">
        <v>516</v>
      </c>
      <c r="D77" s="223">
        <v>22</v>
      </c>
      <c r="E77" s="224" t="s">
        <v>320</v>
      </c>
      <c r="F77" s="224" t="s">
        <v>378</v>
      </c>
      <c r="G77" s="222" t="s">
        <v>517</v>
      </c>
      <c r="H77" s="358"/>
      <c r="I77" s="359"/>
    </row>
    <row r="78" spans="1:9" ht="24" customHeight="1" x14ac:dyDescent="0.2">
      <c r="A78" s="221">
        <v>4508</v>
      </c>
      <c r="B78" s="215" t="s">
        <v>507</v>
      </c>
      <c r="C78" s="222" t="s">
        <v>237</v>
      </c>
      <c r="D78" s="223">
        <v>23</v>
      </c>
      <c r="E78" s="224" t="s">
        <v>324</v>
      </c>
      <c r="F78" s="224" t="s">
        <v>378</v>
      </c>
      <c r="G78" s="215" t="s">
        <v>509</v>
      </c>
      <c r="H78" s="358"/>
      <c r="I78" s="359"/>
    </row>
    <row r="79" spans="1:9" ht="24" customHeight="1" x14ac:dyDescent="0.2">
      <c r="A79" s="221">
        <v>7203</v>
      </c>
      <c r="B79" s="215" t="s">
        <v>312</v>
      </c>
      <c r="C79" s="222" t="s">
        <v>237</v>
      </c>
      <c r="D79" s="223">
        <v>24</v>
      </c>
      <c r="E79" s="224"/>
      <c r="F79" s="224" t="s">
        <v>378</v>
      </c>
      <c r="G79" s="215" t="s">
        <v>509</v>
      </c>
      <c r="H79" s="358"/>
      <c r="I79" s="359"/>
    </row>
    <row r="80" spans="1:9" ht="24" customHeight="1" x14ac:dyDescent="0.2">
      <c r="A80" s="221">
        <v>7762</v>
      </c>
      <c r="B80" s="215" t="s">
        <v>212</v>
      </c>
      <c r="C80" s="222" t="s">
        <v>237</v>
      </c>
      <c r="D80" s="223">
        <v>25</v>
      </c>
      <c r="E80" s="224"/>
      <c r="F80" s="224" t="s">
        <v>378</v>
      </c>
      <c r="G80" s="215" t="s">
        <v>509</v>
      </c>
      <c r="H80" s="358"/>
      <c r="I80" s="359"/>
    </row>
    <row r="81" spans="1:9" ht="24" customHeight="1" x14ac:dyDescent="0.2">
      <c r="A81" s="221">
        <v>1070</v>
      </c>
      <c r="B81" s="215" t="s">
        <v>204</v>
      </c>
      <c r="C81" s="222" t="s">
        <v>335</v>
      </c>
      <c r="D81" s="223">
        <v>26</v>
      </c>
      <c r="E81" s="224" t="s">
        <v>303</v>
      </c>
      <c r="F81" s="224" t="s">
        <v>378</v>
      </c>
      <c r="G81" s="222"/>
      <c r="H81" s="358"/>
      <c r="I81" s="359"/>
    </row>
    <row r="82" spans="1:9" ht="24" customHeight="1" x14ac:dyDescent="0.2">
      <c r="A82" s="221">
        <v>4061</v>
      </c>
      <c r="B82" s="215" t="s">
        <v>507</v>
      </c>
      <c r="C82" s="222" t="s">
        <v>516</v>
      </c>
      <c r="D82" s="223">
        <v>27</v>
      </c>
      <c r="E82" s="224" t="s">
        <v>338</v>
      </c>
      <c r="F82" s="224" t="s">
        <v>378</v>
      </c>
      <c r="G82" s="215" t="s">
        <v>517</v>
      </c>
      <c r="H82" s="358"/>
      <c r="I82" s="359"/>
    </row>
    <row r="83" spans="1:9" ht="24" customHeight="1" x14ac:dyDescent="0.2">
      <c r="A83" s="221">
        <v>2604</v>
      </c>
      <c r="B83" s="215" t="s">
        <v>381</v>
      </c>
      <c r="C83" s="222" t="s">
        <v>391</v>
      </c>
      <c r="D83" s="223">
        <v>28</v>
      </c>
      <c r="E83" s="224" t="s">
        <v>387</v>
      </c>
      <c r="F83" s="224" t="s">
        <v>382</v>
      </c>
      <c r="G83" s="215"/>
      <c r="H83" s="358"/>
      <c r="I83" s="359"/>
    </row>
    <row r="84" spans="1:9" ht="24" customHeight="1" x14ac:dyDescent="0.2">
      <c r="A84" s="221">
        <v>2604</v>
      </c>
      <c r="B84" s="215" t="s">
        <v>381</v>
      </c>
      <c r="C84" s="222" t="s">
        <v>391</v>
      </c>
      <c r="D84" s="223">
        <v>29</v>
      </c>
      <c r="E84" s="224" t="s">
        <v>388</v>
      </c>
      <c r="F84" s="224" t="s">
        <v>382</v>
      </c>
      <c r="G84" s="215"/>
      <c r="H84" s="358"/>
      <c r="I84" s="359"/>
    </row>
    <row r="85" spans="1:9" ht="24" customHeight="1" x14ac:dyDescent="0.2">
      <c r="A85" s="221">
        <v>2604</v>
      </c>
      <c r="B85" s="215" t="s">
        <v>381</v>
      </c>
      <c r="C85" s="222" t="s">
        <v>391</v>
      </c>
      <c r="D85" s="223">
        <v>30</v>
      </c>
      <c r="E85" s="224" t="s">
        <v>389</v>
      </c>
      <c r="F85" s="224" t="s">
        <v>382</v>
      </c>
      <c r="G85" s="215"/>
      <c r="H85" s="358"/>
      <c r="I85" s="359"/>
    </row>
    <row r="86" spans="1:9" ht="24" customHeight="1" x14ac:dyDescent="0.2">
      <c r="A86" s="221">
        <v>1761</v>
      </c>
      <c r="B86" s="215" t="s">
        <v>204</v>
      </c>
      <c r="C86" s="222" t="s">
        <v>494</v>
      </c>
      <c r="D86" s="223">
        <v>31</v>
      </c>
      <c r="E86" s="224"/>
      <c r="F86" s="224" t="s">
        <v>382</v>
      </c>
      <c r="G86" s="215"/>
      <c r="H86" s="358"/>
      <c r="I86" s="359"/>
    </row>
    <row r="87" spans="1:9" ht="24" customHeight="1" x14ac:dyDescent="0.2">
      <c r="A87" s="228">
        <v>1024</v>
      </c>
      <c r="B87" s="217" t="s">
        <v>204</v>
      </c>
      <c r="C87" s="229" t="s">
        <v>514</v>
      </c>
      <c r="D87" s="230" t="s">
        <v>340</v>
      </c>
      <c r="E87" s="231" t="s">
        <v>341</v>
      </c>
      <c r="F87" s="231" t="s">
        <v>379</v>
      </c>
      <c r="G87" s="232">
        <v>1024</v>
      </c>
      <c r="H87" s="358"/>
      <c r="I87" s="359"/>
    </row>
    <row r="88" spans="1:9" ht="24" customHeight="1" x14ac:dyDescent="0.2">
      <c r="A88" s="228">
        <v>1000</v>
      </c>
      <c r="B88" s="217" t="s">
        <v>204</v>
      </c>
      <c r="C88" s="229" t="s">
        <v>345</v>
      </c>
      <c r="D88" s="230" t="s">
        <v>340</v>
      </c>
      <c r="E88" s="231" t="s">
        <v>346</v>
      </c>
      <c r="F88" s="231" t="s">
        <v>379</v>
      </c>
      <c r="G88" s="217" t="s">
        <v>347</v>
      </c>
      <c r="H88" s="358"/>
      <c r="I88" s="359"/>
    </row>
    <row r="89" spans="1:9" ht="24" customHeight="1" x14ac:dyDescent="0.2">
      <c r="A89" s="228">
        <v>1000</v>
      </c>
      <c r="B89" s="217" t="s">
        <v>204</v>
      </c>
      <c r="C89" s="229" t="s">
        <v>350</v>
      </c>
      <c r="D89" s="230" t="s">
        <v>340</v>
      </c>
      <c r="E89" s="231" t="s">
        <v>346</v>
      </c>
      <c r="F89" s="231" t="s">
        <v>379</v>
      </c>
      <c r="G89" s="217" t="s">
        <v>347</v>
      </c>
      <c r="H89" s="358"/>
      <c r="I89" s="359"/>
    </row>
    <row r="90" spans="1:9" ht="24" customHeight="1" x14ac:dyDescent="0.2">
      <c r="A90" s="228">
        <v>1000</v>
      </c>
      <c r="B90" s="217" t="s">
        <v>204</v>
      </c>
      <c r="C90" s="229" t="s">
        <v>352</v>
      </c>
      <c r="D90" s="230" t="s">
        <v>340</v>
      </c>
      <c r="E90" s="231" t="s">
        <v>346</v>
      </c>
      <c r="F90" s="231" t="s">
        <v>379</v>
      </c>
      <c r="G90" s="217" t="s">
        <v>347</v>
      </c>
      <c r="H90" s="358"/>
      <c r="I90" s="359"/>
    </row>
    <row r="91" spans="1:9" ht="24" customHeight="1" x14ac:dyDescent="0.2">
      <c r="A91" s="228">
        <v>1183</v>
      </c>
      <c r="B91" s="217" t="s">
        <v>204</v>
      </c>
      <c r="C91" s="217" t="s">
        <v>354</v>
      </c>
      <c r="D91" s="230" t="s">
        <v>340</v>
      </c>
      <c r="E91" s="231"/>
      <c r="F91" s="231" t="s">
        <v>379</v>
      </c>
      <c r="G91" s="217">
        <v>1183</v>
      </c>
      <c r="H91" s="358"/>
      <c r="I91" s="359"/>
    </row>
    <row r="92" spans="1:9" ht="24" customHeight="1" x14ac:dyDescent="0.2">
      <c r="A92" s="228">
        <v>1186</v>
      </c>
      <c r="B92" s="217" t="s">
        <v>204</v>
      </c>
      <c r="C92" s="217" t="s">
        <v>354</v>
      </c>
      <c r="D92" s="230" t="s">
        <v>340</v>
      </c>
      <c r="E92" s="231"/>
      <c r="F92" s="231" t="s">
        <v>379</v>
      </c>
      <c r="G92" s="217">
        <v>1186</v>
      </c>
      <c r="H92" s="358"/>
      <c r="I92" s="359"/>
    </row>
    <row r="93" spans="1:9" ht="24" customHeight="1" x14ac:dyDescent="0.2">
      <c r="A93" s="233">
        <v>1191</v>
      </c>
      <c r="B93" s="218" t="s">
        <v>204</v>
      </c>
      <c r="C93" s="218" t="s">
        <v>354</v>
      </c>
      <c r="D93" s="234" t="s">
        <v>340</v>
      </c>
      <c r="E93" s="235"/>
      <c r="F93" s="231" t="s">
        <v>379</v>
      </c>
      <c r="G93" s="218">
        <v>1191</v>
      </c>
      <c r="H93" s="358"/>
      <c r="I93" s="359"/>
    </row>
    <row r="94" spans="1:9" ht="24" customHeight="1" x14ac:dyDescent="0.2">
      <c r="A94" s="228">
        <v>1500</v>
      </c>
      <c r="B94" s="217" t="s">
        <v>204</v>
      </c>
      <c r="C94" s="229" t="s">
        <v>357</v>
      </c>
      <c r="D94" s="230" t="s">
        <v>340</v>
      </c>
      <c r="E94" s="231" t="s">
        <v>358</v>
      </c>
      <c r="F94" s="231" t="s">
        <v>379</v>
      </c>
      <c r="G94" s="217" t="s">
        <v>359</v>
      </c>
      <c r="H94" s="358"/>
      <c r="I94" s="359"/>
    </row>
    <row r="95" spans="1:9" ht="24" customHeight="1" x14ac:dyDescent="0.2">
      <c r="A95" s="236">
        <v>77695</v>
      </c>
      <c r="B95" s="219" t="s">
        <v>212</v>
      </c>
      <c r="C95" s="219" t="s">
        <v>363</v>
      </c>
      <c r="D95" s="237" t="s">
        <v>340</v>
      </c>
      <c r="E95" s="238"/>
      <c r="F95" s="239" t="s">
        <v>380</v>
      </c>
      <c r="G95" s="219"/>
      <c r="H95" s="358"/>
      <c r="I95" s="359"/>
    </row>
    <row r="96" spans="1:9" ht="24" customHeight="1" x14ac:dyDescent="0.2">
      <c r="A96" s="240">
        <v>4367</v>
      </c>
      <c r="B96" s="220" t="s">
        <v>390</v>
      </c>
      <c r="C96" s="220">
        <v>4367</v>
      </c>
      <c r="D96" s="241" t="s">
        <v>340</v>
      </c>
      <c r="E96" s="238" t="s">
        <v>392</v>
      </c>
      <c r="F96" s="238" t="s">
        <v>393</v>
      </c>
      <c r="G96" s="220" t="s">
        <v>390</v>
      </c>
      <c r="H96" s="358"/>
      <c r="I96" s="359"/>
    </row>
    <row r="97" spans="1:9" ht="24" customHeight="1" x14ac:dyDescent="0.2">
      <c r="A97" s="240">
        <v>4367</v>
      </c>
      <c r="B97" s="220" t="s">
        <v>390</v>
      </c>
      <c r="C97" s="220">
        <v>4367</v>
      </c>
      <c r="D97" s="241" t="s">
        <v>340</v>
      </c>
      <c r="E97" s="238" t="s">
        <v>397</v>
      </c>
      <c r="F97" s="238" t="s">
        <v>393</v>
      </c>
      <c r="G97" s="220" t="s">
        <v>390</v>
      </c>
      <c r="H97" s="358"/>
      <c r="I97" s="359"/>
    </row>
    <row r="98" spans="1:9" ht="24" customHeight="1" x14ac:dyDescent="0.2">
      <c r="A98" s="240">
        <v>4367</v>
      </c>
      <c r="B98" s="220" t="s">
        <v>390</v>
      </c>
      <c r="C98" s="220">
        <v>4367</v>
      </c>
      <c r="D98" s="241" t="s">
        <v>340</v>
      </c>
      <c r="E98" s="238" t="s">
        <v>398</v>
      </c>
      <c r="F98" s="238" t="s">
        <v>393</v>
      </c>
      <c r="G98" s="220" t="s">
        <v>390</v>
      </c>
      <c r="H98" s="358"/>
      <c r="I98" s="359"/>
    </row>
    <row r="99" spans="1:9" ht="24" customHeight="1" x14ac:dyDescent="0.2">
      <c r="A99" s="240">
        <v>4367</v>
      </c>
      <c r="B99" s="220" t="s">
        <v>390</v>
      </c>
      <c r="C99" s="220">
        <v>4367</v>
      </c>
      <c r="D99" s="241" t="s">
        <v>340</v>
      </c>
      <c r="E99" s="238" t="s">
        <v>399</v>
      </c>
      <c r="F99" s="238" t="s">
        <v>393</v>
      </c>
      <c r="G99" s="220" t="s">
        <v>390</v>
      </c>
      <c r="H99" s="358"/>
      <c r="I99" s="359"/>
    </row>
    <row r="100" spans="1:9" ht="24" customHeight="1" x14ac:dyDescent="0.2">
      <c r="A100" s="240">
        <v>4367</v>
      </c>
      <c r="B100" s="220" t="s">
        <v>390</v>
      </c>
      <c r="C100" s="220" t="s">
        <v>404</v>
      </c>
      <c r="D100" s="241" t="s">
        <v>340</v>
      </c>
      <c r="E100" s="238" t="s">
        <v>405</v>
      </c>
      <c r="F100" s="238" t="s">
        <v>393</v>
      </c>
      <c r="G100" s="220" t="s">
        <v>390</v>
      </c>
      <c r="H100" s="358"/>
      <c r="I100" s="359"/>
    </row>
    <row r="101" spans="1:9" ht="24" customHeight="1" x14ac:dyDescent="0.2">
      <c r="A101" s="240">
        <v>4367</v>
      </c>
      <c r="B101" s="220" t="s">
        <v>390</v>
      </c>
      <c r="C101" s="220" t="s">
        <v>404</v>
      </c>
      <c r="D101" s="241" t="s">
        <v>340</v>
      </c>
      <c r="E101" s="238" t="s">
        <v>406</v>
      </c>
      <c r="F101" s="238" t="s">
        <v>393</v>
      </c>
      <c r="G101" s="220" t="s">
        <v>390</v>
      </c>
      <c r="H101" s="356"/>
      <c r="I101" s="357"/>
    </row>
  </sheetData>
  <autoFilter ref="A2:Q48" xr:uid="{E9014FD3-92DA-4FB1-8FEE-53AC9CE37D57}">
    <sortState xmlns:xlrd2="http://schemas.microsoft.com/office/spreadsheetml/2017/richdata2" ref="A3:Q41">
      <sortCondition ref="D2:D25"/>
    </sortState>
  </autoFilter>
  <mergeCells count="49">
    <mergeCell ref="H65:I65"/>
    <mergeCell ref="A1:Q1"/>
    <mergeCell ref="H55:I55"/>
    <mergeCell ref="H56:I56"/>
    <mergeCell ref="H57:I57"/>
    <mergeCell ref="H58:I58"/>
    <mergeCell ref="H59:I59"/>
    <mergeCell ref="A53:I54"/>
    <mergeCell ref="H60:I60"/>
    <mergeCell ref="H61:I61"/>
    <mergeCell ref="H62:I62"/>
    <mergeCell ref="H63:I63"/>
    <mergeCell ref="H64:I64"/>
    <mergeCell ref="H77:I77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89:I89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101:I101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</mergeCells>
  <printOptions horizontalCentered="1" gridLines="1"/>
  <pageMargins left="0.7" right="0.7" top="0.75" bottom="0.75" header="0.3" footer="0.3"/>
  <pageSetup paperSize="8" scale="3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CB8F0CC9D2F14FA57443DE8DDA6811" ma:contentTypeVersion="17" ma:contentTypeDescription="Create a new document." ma:contentTypeScope="" ma:versionID="087a27bb5f4ccb8f1f9faac57b1a98d1">
  <xsd:schema xmlns:xsd="http://www.w3.org/2001/XMLSchema" xmlns:xs="http://www.w3.org/2001/XMLSchema" xmlns:p="http://schemas.microsoft.com/office/2006/metadata/properties" xmlns:ns1="http://schemas.microsoft.com/sharepoint/v3" xmlns:ns2="02993ccd-aee6-4d55-b2a2-f8cccb7f2190" xmlns:ns3="15cf5089-f08c-4319-b7b1-80b27826459e" targetNamespace="http://schemas.microsoft.com/office/2006/metadata/properties" ma:root="true" ma:fieldsID="e8329cfe40925f0408a01dfd0b3c850d" ns1:_="" ns2:_="" ns3:_="">
    <xsd:import namespace="http://schemas.microsoft.com/sharepoint/v3"/>
    <xsd:import namespace="02993ccd-aee6-4d55-b2a2-f8cccb7f2190"/>
    <xsd:import namespace="15cf5089-f08c-4319-b7b1-80b2782645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Note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93ccd-aee6-4d55-b2a2-f8cccb7f21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2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f5089-f08c-4319-b7b1-80b2782645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2993ccd-aee6-4d55-b2a2-f8cccb7f2190">
      <Terms xmlns="http://schemas.microsoft.com/office/infopath/2007/PartnerControls"/>
    </lcf76f155ced4ddcb4097134ff3c332f>
    <_ip_UnifiedCompliancePolicyProperties xmlns="http://schemas.microsoft.com/sharepoint/v3" xsi:nil="true"/>
    <Notes xmlns="02993ccd-aee6-4d55-b2a2-f8cccb7f2190" xsi:nil="true"/>
  </documentManagement>
</p:properties>
</file>

<file path=customXml/itemProps1.xml><?xml version="1.0" encoding="utf-8"?>
<ds:datastoreItem xmlns:ds="http://schemas.openxmlformats.org/officeDocument/2006/customXml" ds:itemID="{36416F82-B269-43DC-874A-2AD388CF0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993ccd-aee6-4d55-b2a2-f8cccb7f2190"/>
    <ds:schemaRef ds:uri="15cf5089-f08c-4319-b7b1-80b2782645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A5A1CB-0BBA-4136-A429-E37F358532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00DA4-C152-4A9C-8428-7E92107802CB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15cf5089-f08c-4319-b7b1-80b27826459e"/>
    <ds:schemaRef ds:uri="02993ccd-aee6-4d55-b2a2-f8cccb7f2190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EPS Inventory</vt:lpstr>
      <vt:lpstr>Generatoren</vt:lpstr>
      <vt:lpstr>Leistung Last</vt:lpstr>
      <vt:lpstr>Tanks Verbrauch</vt:lpstr>
      <vt:lpstr>BlackBuilding</vt:lpstr>
      <vt:lpstr>BlackBuilding!Print_Titles</vt:lpstr>
      <vt:lpstr>'EPS Inventory'!Print_Titles</vt:lpstr>
      <vt:lpstr>Generatoren!Print_Titles</vt:lpstr>
    </vt:vector>
  </TitlesOfParts>
  <Manager/>
  <Company>U.S.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Demirbas, Aziz Mr LN USA USAREUR</dc:creator>
  <cp:keywords/>
  <dc:description/>
  <cp:lastModifiedBy>Demirbas, Aziz LN USARMY IMCOM EUROPE (DEU)</cp:lastModifiedBy>
  <cp:revision/>
  <cp:lastPrinted>2025-10-22T06:48:22Z</cp:lastPrinted>
  <dcterms:created xsi:type="dcterms:W3CDTF">2011-12-06T14:45:38Z</dcterms:created>
  <dcterms:modified xsi:type="dcterms:W3CDTF">2026-04-16T13:21:03Z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0x01010087CB8F0CC9D2F14FA57443DE8DDA6811</vt:lpwstr>
  </property>
  <property fmtid="{D5CDD505-2E9C-101B-9397-08002B2CF9AE}" pid="3" name="MediaServiceImageTags">
    <vt:lpwstr/>
  </property>
</Properties>
</file>