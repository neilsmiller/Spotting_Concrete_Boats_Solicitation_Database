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armyeitaas-my.sharepoint-mil.us/personal/christopher_a_richie_civ_army_mil/Documents/Desktop/1- Reviews - Working/25-R-A003 IIIAC MHE MATOC/Reviews/"/>
    </mc:Choice>
  </mc:AlternateContent>
  <xr:revisionPtr revIDLastSave="19" documentId="8_{DC07FDBF-3887-423C-8F2B-B37A2E82606A}" xr6:coauthVersionLast="47" xr6:coauthVersionMax="47" xr10:uidLastSave="{C44494BF-0715-466D-AB9D-AE42F3346E13}"/>
  <bookViews>
    <workbookView xWindow="28680" yWindow="-90" windowWidth="29040" windowHeight="15690" firstSheet="1" activeTab="1" xr2:uid="{00000000-000D-0000-FFFF-FFFF00000000}"/>
  </bookViews>
  <sheets>
    <sheet name="NO INPUT-VIRKON-HAZMAT Rollup" sheetId="2" state="hidden" r:id="rId1"/>
    <sheet name="Notional Task Order Details" sheetId="9"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9" l="1"/>
  <c r="B4" i="2"/>
  <c r="B5" i="2"/>
  <c r="B6" i="2" l="1"/>
  <c r="C4" i="2" l="1"/>
  <c r="C5" i="2"/>
  <c r="D5" i="2" s="1"/>
  <c r="D4" i="2" l="1"/>
  <c r="C6" i="2"/>
  <c r="E5" i="2"/>
  <c r="E4" i="2" l="1"/>
  <c r="E6" i="2" s="1"/>
  <c r="D6" i="2"/>
</calcChain>
</file>

<file path=xl/sharedStrings.xml><?xml version="1.0" encoding="utf-8"?>
<sst xmlns="http://schemas.openxmlformats.org/spreadsheetml/2006/main" count="87" uniqueCount="76">
  <si>
    <t>UNIT</t>
  </si>
  <si>
    <t>TOTAL VIRKON-S REQUIREMENT CALCULATIONS</t>
  </si>
  <si>
    <t>Piece Count</t>
  </si>
  <si>
    <t>Gallons of 1% Solution</t>
  </si>
  <si>
    <t>Pounds of Virkon-S Powder</t>
  </si>
  <si>
    <t>GRAND TOTALS:</t>
  </si>
  <si>
    <r>
      <t>Equipment Surface Area FT</t>
    </r>
    <r>
      <rPr>
        <b/>
        <vertAlign val="superscript"/>
        <sz val="11"/>
        <color theme="1"/>
        <rFont val="Calibri"/>
        <family val="2"/>
        <scheme val="minor"/>
      </rPr>
      <t>2</t>
    </r>
  </si>
  <si>
    <t>Rolling Stock</t>
  </si>
  <si>
    <t>Containers &amp; Like</t>
  </si>
  <si>
    <t>Notional Task Order Details</t>
  </si>
  <si>
    <t>Period of Performance:</t>
  </si>
  <si>
    <t>Location(s):</t>
  </si>
  <si>
    <t>Chemical Solution:</t>
  </si>
  <si>
    <t>Start:</t>
  </si>
  <si>
    <t>End:</t>
  </si>
  <si>
    <t>#1</t>
  </si>
  <si>
    <t>Location #1</t>
  </si>
  <si>
    <t>SCA Wage Determination:</t>
  </si>
  <si>
    <t>Location #2</t>
  </si>
  <si>
    <t>Base</t>
  </si>
  <si>
    <t>Location#3</t>
  </si>
  <si>
    <t>Overall Task Order Price:</t>
  </si>
  <si>
    <t>Virkon-S,  1%</t>
  </si>
  <si>
    <t>Virkon-S, 1%</t>
  </si>
  <si>
    <t>Work Hours:</t>
  </si>
  <si>
    <t>0700</t>
  </si>
  <si>
    <t xml:space="preserve">Chris Richie, 520-944-0622, christopher.a.richie.civ@army.mil </t>
  </si>
  <si>
    <t>Points of Contact</t>
  </si>
  <si>
    <t>Contracting Officer</t>
  </si>
  <si>
    <t>Contract Specilaist</t>
  </si>
  <si>
    <t>Contracting Officer's Representative (COR)</t>
  </si>
  <si>
    <t>None</t>
  </si>
  <si>
    <t>Environmental Sensitivities / Requirements</t>
  </si>
  <si>
    <t xml:space="preserve">Building 89240, New Railhead Road &amp; Tank Destroyer Blvd Fort Hood Texas </t>
  </si>
  <si>
    <t>2015-5237 rev30</t>
  </si>
  <si>
    <t>FT. Hood (Bell County)</t>
  </si>
  <si>
    <t>Base 0001</t>
  </si>
  <si>
    <t>Shannon Campbell, 520-944-0970, shannon.s.campbell.civ@army.mil</t>
  </si>
  <si>
    <t xml:space="preserve">Quanity </t>
  </si>
  <si>
    <t xml:space="preserve">Unit </t>
  </si>
  <si>
    <t xml:space="preserve">Unit Price </t>
  </si>
  <si>
    <t>Amount</t>
  </si>
  <si>
    <t>Supplies/Services</t>
  </si>
  <si>
    <t>Item</t>
  </si>
  <si>
    <t>0001AA</t>
  </si>
  <si>
    <t>0001AB</t>
  </si>
  <si>
    <t>0001AC</t>
  </si>
  <si>
    <t>0001AD</t>
  </si>
  <si>
    <t>0001AE</t>
  </si>
  <si>
    <t>0001AF</t>
  </si>
  <si>
    <t>0001AG</t>
  </si>
  <si>
    <t>0001AH</t>
  </si>
  <si>
    <t>Maj Alexander Lovely alexander.j.lovely.mil@army.mil</t>
  </si>
  <si>
    <t xml:space="preserve">OY1 </t>
  </si>
  <si>
    <t>OY 2</t>
  </si>
  <si>
    <t>OY3</t>
  </si>
  <si>
    <t>OY4</t>
  </si>
  <si>
    <t xml:space="preserve">Total </t>
  </si>
  <si>
    <t>Grand Total</t>
  </si>
  <si>
    <t>Material handling Equipment (MHE) with Operators</t>
  </si>
  <si>
    <t>0001AJ</t>
  </si>
  <si>
    <t>0002</t>
  </si>
  <si>
    <t>Minumum Guarentee</t>
  </si>
  <si>
    <t>EA</t>
  </si>
  <si>
    <t>0003</t>
  </si>
  <si>
    <t>Service Contract Reporting (SCR)</t>
  </si>
  <si>
    <t>Job</t>
  </si>
  <si>
    <r>
      <t xml:space="preserve">Forklift, 15K Lb. lifting capacity, with Operator. The contractor shall provide outdoor 36k diesel forklifts.. The forklifts will be delivered by the vendor vicinity to locations as outlined in the subsequent Task Order Performance Work Statements.  </t>
    </r>
    <r>
      <rPr>
        <b/>
        <sz val="11"/>
        <color rgb="FFFF0000"/>
        <rFont val="Calibri"/>
        <family val="2"/>
        <scheme val="minor"/>
      </rPr>
      <t>QTY 5 EA; 10 days.</t>
    </r>
  </si>
  <si>
    <r>
      <t xml:space="preserve">Forklift, 30K Lb. </t>
    </r>
    <r>
      <rPr>
        <b/>
        <sz val="11"/>
        <rFont val="Calibri"/>
        <family val="2"/>
        <scheme val="minor"/>
      </rPr>
      <t>l</t>
    </r>
    <r>
      <rPr>
        <sz val="11"/>
        <rFont val="Calibri"/>
        <family val="2"/>
        <scheme val="minor"/>
      </rPr>
      <t>if</t>
    </r>
    <r>
      <rPr>
        <sz val="11"/>
        <color theme="1"/>
        <rFont val="Calibri"/>
        <family val="2"/>
        <scheme val="minor"/>
      </rPr>
      <t xml:space="preserve">ting capacity, with Operator. The contractor shall provide outdoor 36k diesel forklifts (Preferred Fork size 7.5 FT long. /8 in wide. 
/Spread 7.5 FT). The forklifts will be delivered by the vendor vicinity to locations as outlined in the subsequent Task Order Performance Work Statements (PWS).  </t>
    </r>
    <r>
      <rPr>
        <b/>
        <sz val="11"/>
        <color rgb="FFFF0000"/>
        <rFont val="Calibri"/>
        <family val="2"/>
        <scheme val="minor"/>
      </rPr>
      <t>QTY 5 EA; 10 days.</t>
    </r>
  </si>
  <si>
    <r>
      <t xml:space="preserve">Forklift, 36K Lb. lifting capacity, with Operator. The contractor shall provide outdoor 36k diesel forklifts (Fork size 7.5 FT long. /8 in wide. /Spread 7.5 FT). The forklifts will be delivered by the vendor vicinity to locations as outlined in the subsequent Task Order Performance Work Statements (PWS).  </t>
    </r>
    <r>
      <rPr>
        <b/>
        <sz val="11"/>
        <color rgb="FFFF0000"/>
        <rFont val="Calibri"/>
        <family val="2"/>
        <scheme val="minor"/>
      </rPr>
      <t>QTY 5 EA.; 10 days.</t>
    </r>
  </si>
  <si>
    <r>
      <t xml:space="preserve">Light Tractor &amp; Removeable Gooseneck (RGN) Trailer (60K Lbs.) with Operator. Services include the Tractor, Light RGN Trailer, capable of hauling 60K, operator(s), and all required permits. IAW Attachment-1, Performance Work Statement.  </t>
    </r>
    <r>
      <rPr>
        <b/>
        <sz val="11"/>
        <color rgb="FFFF0000"/>
        <rFont val="Calibri"/>
        <family val="2"/>
        <scheme val="minor"/>
      </rPr>
      <t>QTY 1 EA; 10 days.</t>
    </r>
  </si>
  <si>
    <r>
      <t xml:space="preserve">Heavy Tractor &amp; Removeable Gooseneck (RGN) Trailer (150K Lbs.)  with Operator. Services include the Tractor, Heavy RGN Trailer, capable of hauling 60K, operator(s), and all required permits. IAW Attachment-1, Performance Work Statement.  </t>
    </r>
    <r>
      <rPr>
        <b/>
        <sz val="11"/>
        <color rgb="FFFF0000"/>
        <rFont val="Calibri"/>
        <family val="2"/>
        <scheme val="minor"/>
      </rPr>
      <t>QTY 2 EA; 10 days.</t>
    </r>
  </si>
  <si>
    <r>
      <t xml:space="preserve">Tractor &amp; Flatbed Trailer with Operator. Services include the Tractor, Flatbed Trailer and all required permits. IAW Attachment-1, Performance Work Statement. </t>
    </r>
    <r>
      <rPr>
        <b/>
        <sz val="11"/>
        <color rgb="FFFF0000"/>
        <rFont val="Calibri"/>
        <family val="2"/>
        <scheme val="minor"/>
      </rPr>
      <t xml:space="preserve"> QTY 7 EA; 10 days.</t>
    </r>
  </si>
  <si>
    <r>
      <t xml:space="preserve">Rough Terrain Cargo Handler (RTCH) or equivalent. Services nclude the RTCH (or equivalent) and all required permits. IAW Attachment-1, Performance Work Statement.  </t>
    </r>
    <r>
      <rPr>
        <b/>
        <sz val="11"/>
        <color rgb="FFFF0000"/>
        <rFont val="Calibri"/>
        <family val="2"/>
        <scheme val="minor"/>
      </rPr>
      <t>QTY 1 EA; 10 days.</t>
    </r>
  </si>
  <si>
    <r>
      <t xml:space="preserve">180-Ton Heavy Crane Services include crane operator, spotting crew, Spreader bar and all required permits IAW Attachment-1, Performance Work Statement. </t>
    </r>
    <r>
      <rPr>
        <b/>
        <sz val="11"/>
        <color rgb="FFFF0000"/>
        <rFont val="Calibri"/>
        <family val="2"/>
        <scheme val="minor"/>
      </rPr>
      <t>QTY 1 EA; 10 days</t>
    </r>
    <r>
      <rPr>
        <sz val="11"/>
        <color theme="1"/>
        <rFont val="Calibri"/>
        <family val="2"/>
        <scheme val="minor"/>
      </rPr>
      <t>.</t>
    </r>
  </si>
  <si>
    <r>
      <t xml:space="preserve">300-Ton Heavy Crane. Services include crane operator, spotting crew, Spreader bar and all required permits IAW Attachment-1, Performance Work Statement.  </t>
    </r>
    <r>
      <rPr>
        <b/>
        <sz val="11"/>
        <color rgb="FFFF0000"/>
        <rFont val="Calibri"/>
        <family val="2"/>
        <scheme val="minor"/>
      </rPr>
      <t>QTY 1 EA; 10 days.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</si>
</sst>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409]d\-mmm\-yyyy;@"/>
    <numFmt numFmtId="165" formatCode="&quot;$&quot;#,##0.00"/>
  </numFmts>
  <fonts count="6" x14ac:knownFonts="1">
    <font>
      <sz val="11"/>
      <color theme="1"/>
      <name val="Calibri"/>
      <family val="2"/>
      <scheme val="minor"/>
    </font>
    <font>
      <b/>
      <sz val="11"/>
      <color theme="1"/>
      <name val="Calibri"/>
      <family val="2"/>
      <scheme val="minor"/>
    </font>
    <font>
      <b/>
      <vertAlign val="superscript"/>
      <sz val="11"/>
      <color theme="1"/>
      <name val="Calibri"/>
      <family val="2"/>
      <scheme val="minor"/>
    </font>
    <font>
      <b/>
      <sz val="11"/>
      <color rgb="FFFF0000"/>
      <name val="Calibri"/>
      <family val="2"/>
      <scheme val="minor"/>
    </font>
    <font>
      <b/>
      <sz val="11"/>
      <name val="Calibri"/>
      <family val="2"/>
      <scheme val="minor"/>
    </font>
    <font>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00B0F0"/>
        <bgColor indexed="64"/>
      </patternFill>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78">
    <xf numFmtId="0" fontId="0" fillId="0" borderId="0" xfId="0"/>
    <xf numFmtId="0" fontId="0" fillId="0" borderId="0" xfId="0" applyAlignment="1">
      <alignment horizontal="center" vertical="center"/>
    </xf>
    <xf numFmtId="4" fontId="0" fillId="0" borderId="0" xfId="0" applyNumberFormat="1" applyAlignment="1">
      <alignment horizontal="center" vertical="center"/>
    </xf>
    <xf numFmtId="0" fontId="1" fillId="0" borderId="0" xfId="0" applyFont="1"/>
    <xf numFmtId="0" fontId="1" fillId="0" borderId="0" xfId="0" applyFont="1" applyAlignment="1">
      <alignment horizontal="center" vertical="center"/>
    </xf>
    <xf numFmtId="4" fontId="1" fillId="0" borderId="0" xfId="0" applyNumberFormat="1" applyFont="1" applyAlignment="1">
      <alignment horizontal="center" vertical="center"/>
    </xf>
    <xf numFmtId="0" fontId="1" fillId="0" borderId="0" xfId="0" applyFont="1" applyAlignment="1">
      <alignment horizontal="left"/>
    </xf>
    <xf numFmtId="15" fontId="0" fillId="0" borderId="0" xfId="0" applyNumberFormat="1"/>
    <xf numFmtId="0" fontId="1" fillId="0" borderId="4" xfId="0" applyFont="1" applyBorder="1" applyAlignment="1">
      <alignment horizontal="left"/>
    </xf>
    <xf numFmtId="0" fontId="1" fillId="0" borderId="4" xfId="0" applyFont="1" applyBorder="1" applyAlignment="1">
      <alignment horizontal="center" vertical="center"/>
    </xf>
    <xf numFmtId="4" fontId="1" fillId="0" borderId="4" xfId="0" applyNumberFormat="1" applyFont="1" applyBorder="1" applyAlignment="1">
      <alignment horizontal="center" vertical="center"/>
    </xf>
    <xf numFmtId="0" fontId="1" fillId="2" borderId="4" xfId="0" applyFont="1" applyFill="1" applyBorder="1" applyAlignment="1">
      <alignment horizontal="left"/>
    </xf>
    <xf numFmtId="0" fontId="1" fillId="2" borderId="4" xfId="0" applyFont="1" applyFill="1" applyBorder="1" applyAlignment="1">
      <alignment horizontal="center" vertical="center"/>
    </xf>
    <xf numFmtId="4" fontId="1" fillId="2" borderId="4" xfId="0" applyNumberFormat="1" applyFont="1" applyFill="1" applyBorder="1" applyAlignment="1">
      <alignment horizontal="center" vertical="center"/>
    </xf>
    <xf numFmtId="0" fontId="1" fillId="4" borderId="4" xfId="0" applyFont="1" applyFill="1" applyBorder="1"/>
    <xf numFmtId="4" fontId="1" fillId="4" borderId="4" xfId="0" applyNumberFormat="1" applyFont="1" applyFill="1" applyBorder="1"/>
    <xf numFmtId="164" fontId="0" fillId="0" borderId="4" xfId="0" applyNumberFormat="1" applyBorder="1"/>
    <xf numFmtId="164" fontId="0" fillId="0" borderId="8" xfId="0" applyNumberFormat="1" applyBorder="1"/>
    <xf numFmtId="0" fontId="1" fillId="4" borderId="4" xfId="0" applyFont="1" applyFill="1" applyBorder="1" applyAlignment="1">
      <alignment horizontal="center"/>
    </xf>
    <xf numFmtId="0" fontId="1" fillId="4" borderId="4" xfId="0" applyFont="1" applyFill="1" applyBorder="1" applyAlignment="1">
      <alignment horizontal="center" wrapText="1"/>
    </xf>
    <xf numFmtId="0" fontId="0" fillId="0" borderId="0" xfId="0" applyAlignment="1">
      <alignment horizontal="center" wrapText="1"/>
    </xf>
    <xf numFmtId="164" fontId="0" fillId="2" borderId="4" xfId="0" applyNumberFormat="1" applyFill="1" applyBorder="1"/>
    <xf numFmtId="0" fontId="0" fillId="0" borderId="4" xfId="0" applyBorder="1" applyAlignment="1">
      <alignment horizontal="left"/>
    </xf>
    <xf numFmtId="0" fontId="0" fillId="0" borderId="4" xfId="0" applyBorder="1" applyAlignment="1">
      <alignment horizontal="left" wrapText="1"/>
    </xf>
    <xf numFmtId="8" fontId="0" fillId="0" borderId="4" xfId="0" applyNumberFormat="1" applyBorder="1" applyAlignment="1">
      <alignment horizontal="left"/>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2" borderId="9" xfId="0" applyFont="1" applyFill="1" applyBorder="1" applyAlignment="1">
      <alignment horizontal="left"/>
    </xf>
    <xf numFmtId="0" fontId="1" fillId="2" borderId="10" xfId="0" applyFont="1" applyFill="1" applyBorder="1" applyAlignment="1">
      <alignment horizontal="left"/>
    </xf>
    <xf numFmtId="0" fontId="1" fillId="2" borderId="11" xfId="0" applyFont="1" applyFill="1" applyBorder="1" applyAlignment="1">
      <alignment horizontal="left"/>
    </xf>
    <xf numFmtId="0" fontId="0" fillId="2" borderId="4" xfId="0" applyFill="1" applyBorder="1" applyAlignment="1">
      <alignment horizontal="left"/>
    </xf>
    <xf numFmtId="0" fontId="0" fillId="2" borderId="8" xfId="0" applyFill="1" applyBorder="1" applyAlignment="1">
      <alignment horizontal="left"/>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0" fillId="0" borderId="0" xfId="0" applyBorder="1"/>
    <xf numFmtId="0" fontId="0" fillId="0" borderId="12" xfId="0"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1" fillId="4" borderId="12" xfId="0" applyFont="1" applyFill="1" applyBorder="1" applyAlignment="1">
      <alignment horizontal="left"/>
    </xf>
    <xf numFmtId="0" fontId="1" fillId="4" borderId="8" xfId="0" applyFont="1" applyFill="1" applyBorder="1" applyAlignment="1">
      <alignment horizontal="center" wrapText="1"/>
    </xf>
    <xf numFmtId="0" fontId="1" fillId="0" borderId="12" xfId="0" applyFont="1" applyBorder="1" applyAlignment="1">
      <alignment horizontal="right"/>
    </xf>
    <xf numFmtId="0" fontId="1" fillId="2" borderId="12" xfId="0" applyFont="1" applyFill="1" applyBorder="1" applyAlignment="1">
      <alignment horizontal="left"/>
    </xf>
    <xf numFmtId="164" fontId="0" fillId="2" borderId="8" xfId="0" applyNumberFormat="1" applyFill="1" applyBorder="1"/>
    <xf numFmtId="0" fontId="1" fillId="2" borderId="12" xfId="0" applyFont="1" applyFill="1" applyBorder="1" applyAlignment="1">
      <alignment horizontal="right"/>
    </xf>
    <xf numFmtId="0" fontId="1" fillId="2" borderId="12" xfId="0" applyFont="1" applyFill="1" applyBorder="1" applyAlignment="1">
      <alignment horizontal="right" wrapText="1"/>
    </xf>
    <xf numFmtId="0" fontId="1" fillId="4" borderId="12" xfId="0" applyFont="1" applyFill="1" applyBorder="1" applyAlignment="1">
      <alignment horizontal="left"/>
    </xf>
    <xf numFmtId="0" fontId="1" fillId="4" borderId="4" xfId="0" applyFont="1" applyFill="1" applyBorder="1" applyAlignment="1">
      <alignment horizontal="left"/>
    </xf>
    <xf numFmtId="0" fontId="1" fillId="4" borderId="8" xfId="0" applyFont="1" applyFill="1" applyBorder="1" applyAlignment="1">
      <alignment horizontal="left"/>
    </xf>
    <xf numFmtId="0" fontId="0" fillId="0" borderId="4" xfId="0" applyBorder="1" applyAlignment="1">
      <alignment horizontal="left"/>
    </xf>
    <xf numFmtId="0" fontId="0" fillId="0" borderId="8" xfId="0" applyBorder="1" applyAlignment="1">
      <alignment horizontal="left"/>
    </xf>
    <xf numFmtId="0" fontId="0" fillId="0" borderId="12" xfId="0" applyBorder="1" applyAlignment="1">
      <alignment horizontal="right"/>
    </xf>
    <xf numFmtId="0" fontId="0" fillId="0" borderId="8" xfId="0" applyBorder="1" applyAlignment="1">
      <alignment horizontal="left"/>
    </xf>
    <xf numFmtId="0" fontId="0" fillId="0" borderId="12" xfId="0" applyBorder="1"/>
    <xf numFmtId="4" fontId="0" fillId="0" borderId="8" xfId="0" applyNumberFormat="1" applyBorder="1" applyAlignment="1">
      <alignment horizontal="left"/>
    </xf>
    <xf numFmtId="0" fontId="1" fillId="0" borderId="12" xfId="0" applyFont="1" applyBorder="1"/>
    <xf numFmtId="8" fontId="0" fillId="0" borderId="8" xfId="0" applyNumberFormat="1" applyBorder="1" applyAlignment="1">
      <alignment horizontal="left"/>
    </xf>
    <xf numFmtId="0" fontId="1" fillId="2" borderId="12" xfId="0" applyFont="1" applyFill="1" applyBorder="1" applyAlignment="1">
      <alignment horizontal="left"/>
    </xf>
    <xf numFmtId="0" fontId="1" fillId="2" borderId="4" xfId="0" applyFont="1" applyFill="1" applyBorder="1" applyAlignment="1">
      <alignment horizontal="left"/>
    </xf>
    <xf numFmtId="0" fontId="1" fillId="2" borderId="8" xfId="0" applyFont="1" applyFill="1" applyBorder="1" applyAlignment="1">
      <alignment horizontal="left"/>
    </xf>
    <xf numFmtId="0" fontId="0" fillId="2" borderId="12" xfId="0" applyFill="1" applyBorder="1"/>
    <xf numFmtId="0" fontId="0" fillId="2" borderId="4" xfId="0" applyFill="1" applyBorder="1" applyAlignment="1">
      <alignment horizontal="center"/>
    </xf>
    <xf numFmtId="0" fontId="0" fillId="2" borderId="8" xfId="0" applyFill="1" applyBorder="1" applyAlignment="1">
      <alignment horizontal="center"/>
    </xf>
    <xf numFmtId="0" fontId="1" fillId="4" borderId="12" xfId="0" applyFont="1" applyFill="1" applyBorder="1"/>
    <xf numFmtId="165" fontId="0" fillId="4" borderId="4" xfId="0" applyNumberFormat="1" applyFill="1" applyBorder="1" applyAlignment="1">
      <alignment horizontal="left"/>
    </xf>
    <xf numFmtId="165" fontId="0" fillId="4" borderId="8" xfId="0" applyNumberFormat="1" applyFill="1" applyBorder="1" applyAlignment="1">
      <alignment horizontal="left"/>
    </xf>
    <xf numFmtId="0" fontId="0" fillId="0" borderId="13" xfId="0" applyBorder="1"/>
    <xf numFmtId="0" fontId="0" fillId="0" borderId="14" xfId="0" applyBorder="1" applyAlignment="1">
      <alignment horizontal="center"/>
    </xf>
    <xf numFmtId="0" fontId="0" fillId="0" borderId="15" xfId="0" applyBorder="1" applyAlignment="1">
      <alignment horizontal="center"/>
    </xf>
    <xf numFmtId="49" fontId="1" fillId="0" borderId="12" xfId="0" applyNumberFormat="1" applyFont="1" applyBorder="1" applyAlignment="1">
      <alignment horizontal="left"/>
    </xf>
    <xf numFmtId="165" fontId="0" fillId="0" borderId="4" xfId="0" applyNumberFormat="1" applyBorder="1" applyAlignment="1">
      <alignment horizontal="left"/>
    </xf>
    <xf numFmtId="165" fontId="0" fillId="0" borderId="8" xfId="0" applyNumberFormat="1" applyBorder="1" applyAlignment="1">
      <alignment horizontal="left"/>
    </xf>
    <xf numFmtId="0" fontId="1" fillId="0" borderId="12" xfId="0" applyFont="1" applyFill="1" applyBorder="1" applyAlignment="1">
      <alignment horizontal="right"/>
    </xf>
    <xf numFmtId="49" fontId="0" fillId="0" borderId="4" xfId="0" applyNumberFormat="1" applyFill="1" applyBorder="1" applyAlignment="1">
      <alignment horizontal="left"/>
    </xf>
    <xf numFmtId="49" fontId="0" fillId="0" borderId="8" xfId="0" applyNumberFormat="1" applyFill="1" applyBorder="1" applyAlignment="1">
      <alignment horizontal="left"/>
    </xf>
    <xf numFmtId="0" fontId="0" fillId="0" borderId="4" xfId="0" applyFill="1" applyBorder="1" applyAlignment="1">
      <alignment horizontal="left"/>
    </xf>
    <xf numFmtId="0" fontId="0" fillId="0" borderId="8"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1"/>
  <sheetViews>
    <sheetView zoomScaleNormal="100" workbookViewId="0">
      <selection activeCell="D27" sqref="D27"/>
    </sheetView>
  </sheetViews>
  <sheetFormatPr defaultRowHeight="15" x14ac:dyDescent="0.25"/>
  <cols>
    <col min="1" max="1" width="18.42578125" customWidth="1"/>
    <col min="2" max="2" width="11.5703125" style="1" bestFit="1" customWidth="1"/>
    <col min="3" max="3" width="26" style="2" bestFit="1" customWidth="1"/>
    <col min="4" max="4" width="21" style="2" bestFit="1" customWidth="1"/>
    <col min="5" max="5" width="25.7109375" style="2" bestFit="1" customWidth="1"/>
    <col min="13" max="13" width="10.140625" bestFit="1" customWidth="1"/>
  </cols>
  <sheetData>
    <row r="1" spans="1:13" ht="15.75" thickBot="1" x14ac:dyDescent="0.3">
      <c r="A1" s="25" t="s">
        <v>1</v>
      </c>
      <c r="B1" s="26"/>
      <c r="C1" s="26"/>
      <c r="D1" s="26"/>
      <c r="E1" s="27"/>
    </row>
    <row r="3" spans="1:13" s="1" customFormat="1" ht="17.25" x14ac:dyDescent="0.25">
      <c r="A3" s="14" t="s">
        <v>0</v>
      </c>
      <c r="B3" s="14" t="s">
        <v>2</v>
      </c>
      <c r="C3" s="15" t="s">
        <v>6</v>
      </c>
      <c r="D3" s="15" t="s">
        <v>3</v>
      </c>
      <c r="E3" s="15" t="s">
        <v>4</v>
      </c>
    </row>
    <row r="4" spans="1:13" s="1" customFormat="1" x14ac:dyDescent="0.25">
      <c r="A4" s="8" t="s">
        <v>7</v>
      </c>
      <c r="B4" s="9" t="e">
        <f>SUM(#REF!)</f>
        <v>#REF!</v>
      </c>
      <c r="C4" s="10" t="e">
        <f>SUM(#REF!)</f>
        <v>#REF!</v>
      </c>
      <c r="D4" s="10" t="e">
        <f>C4/135</f>
        <v>#REF!</v>
      </c>
      <c r="E4" s="10" t="e">
        <f>D4*0.08125</f>
        <v>#REF!</v>
      </c>
      <c r="F4" s="3"/>
    </row>
    <row r="5" spans="1:13" s="1" customFormat="1" x14ac:dyDescent="0.25">
      <c r="A5" s="8" t="s">
        <v>8</v>
      </c>
      <c r="B5" s="9" t="e">
        <f>SUM(#REF!)</f>
        <v>#REF!</v>
      </c>
      <c r="C5" s="10" t="e">
        <f>SUM(#REF!)</f>
        <v>#REF!</v>
      </c>
      <c r="D5" s="10" t="e">
        <f>C5/135</f>
        <v>#REF!</v>
      </c>
      <c r="E5" s="10" t="e">
        <f>D5*0.08125</f>
        <v>#REF!</v>
      </c>
      <c r="F5" s="3"/>
    </row>
    <row r="6" spans="1:13" s="3" customFormat="1" x14ac:dyDescent="0.25">
      <c r="A6" s="11" t="s">
        <v>5</v>
      </c>
      <c r="B6" s="12" t="e">
        <f>B5+B4</f>
        <v>#REF!</v>
      </c>
      <c r="C6" s="13" t="e">
        <f t="shared" ref="C6:E6" si="0">C5+C4</f>
        <v>#REF!</v>
      </c>
      <c r="D6" s="13" t="e">
        <f t="shared" si="0"/>
        <v>#REF!</v>
      </c>
      <c r="E6" s="13" t="e">
        <f t="shared" si="0"/>
        <v>#REF!</v>
      </c>
    </row>
    <row r="7" spans="1:13" s="3" customFormat="1" x14ac:dyDescent="0.25">
      <c r="A7" s="6"/>
      <c r="B7" s="4"/>
      <c r="C7" s="5"/>
      <c r="D7" s="5"/>
      <c r="E7" s="5"/>
    </row>
    <row r="8" spans="1:13" s="3" customFormat="1" x14ac:dyDescent="0.25">
      <c r="A8" s="6"/>
      <c r="B8" s="4"/>
      <c r="C8" s="5"/>
      <c r="D8" s="5"/>
      <c r="E8" s="5"/>
    </row>
    <row r="9" spans="1:13" x14ac:dyDescent="0.25">
      <c r="M9" s="7"/>
    </row>
    <row r="11" spans="1:13" x14ac:dyDescent="0.25">
      <c r="M11" s="7"/>
    </row>
  </sheetData>
  <mergeCells count="1">
    <mergeCell ref="A1:E1"/>
  </mergeCells>
  <printOptions horizontalCentered="1"/>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36FF-1708-419D-B53C-CB9A4424B446}">
  <dimension ref="A1:J64"/>
  <sheetViews>
    <sheetView tabSelected="1" zoomScaleNormal="100" workbookViewId="0">
      <selection activeCell="B19" sqref="B19"/>
    </sheetView>
  </sheetViews>
  <sheetFormatPr defaultRowHeight="15" x14ac:dyDescent="0.25"/>
  <cols>
    <col min="1" max="1" width="25.140625" customWidth="1"/>
    <col min="2" max="2" width="40.140625" style="36" customWidth="1"/>
    <col min="3" max="3" width="14.7109375" customWidth="1"/>
    <col min="4" max="4" width="13.42578125" bestFit="1" customWidth="1"/>
    <col min="5" max="5" width="13" customWidth="1"/>
    <col min="6" max="6" width="16.140625" customWidth="1"/>
    <col min="7" max="7" width="0.140625" customWidth="1"/>
  </cols>
  <sheetData>
    <row r="1" spans="1:10" x14ac:dyDescent="0.25">
      <c r="A1" s="33" t="s">
        <v>9</v>
      </c>
      <c r="B1" s="34"/>
      <c r="C1" s="34"/>
      <c r="D1" s="34"/>
      <c r="E1" s="34"/>
      <c r="F1" s="35"/>
      <c r="G1" s="3"/>
      <c r="H1" s="3"/>
      <c r="I1" s="3"/>
      <c r="J1" s="3"/>
    </row>
    <row r="2" spans="1:10" x14ac:dyDescent="0.25">
      <c r="A2" s="37"/>
      <c r="B2" s="38"/>
      <c r="C2" s="38"/>
      <c r="D2" s="38"/>
      <c r="E2" s="38"/>
      <c r="F2" s="39"/>
    </row>
    <row r="3" spans="1:10" x14ac:dyDescent="0.25">
      <c r="A3" s="40" t="s">
        <v>10</v>
      </c>
      <c r="B3" s="18" t="s">
        <v>19</v>
      </c>
      <c r="C3" s="19" t="s">
        <v>53</v>
      </c>
      <c r="D3" s="19" t="s">
        <v>54</v>
      </c>
      <c r="E3" s="19" t="s">
        <v>55</v>
      </c>
      <c r="F3" s="41" t="s">
        <v>56</v>
      </c>
      <c r="H3" s="20"/>
    </row>
    <row r="4" spans="1:10" x14ac:dyDescent="0.25">
      <c r="A4" s="42" t="s">
        <v>13</v>
      </c>
      <c r="B4" s="16">
        <v>46162</v>
      </c>
      <c r="C4" s="16"/>
      <c r="D4" s="16"/>
      <c r="E4" s="16"/>
      <c r="F4" s="17"/>
    </row>
    <row r="5" spans="1:10" x14ac:dyDescent="0.25">
      <c r="A5" s="42" t="s">
        <v>14</v>
      </c>
      <c r="B5" s="16">
        <v>46171</v>
      </c>
      <c r="C5" s="16"/>
      <c r="D5" s="16"/>
      <c r="E5" s="16"/>
      <c r="F5" s="17"/>
    </row>
    <row r="6" spans="1:10" x14ac:dyDescent="0.25">
      <c r="A6" s="43" t="s">
        <v>27</v>
      </c>
      <c r="B6" s="21"/>
      <c r="C6" s="21"/>
      <c r="D6" s="21"/>
      <c r="E6" s="21"/>
      <c r="F6" s="44"/>
    </row>
    <row r="7" spans="1:10" x14ac:dyDescent="0.25">
      <c r="A7" s="45" t="s">
        <v>28</v>
      </c>
      <c r="B7" s="31" t="s">
        <v>26</v>
      </c>
      <c r="C7" s="31"/>
      <c r="D7" s="31"/>
      <c r="E7" s="31"/>
      <c r="F7" s="32"/>
    </row>
    <row r="8" spans="1:10" x14ac:dyDescent="0.25">
      <c r="A8" s="45" t="s">
        <v>29</v>
      </c>
      <c r="B8" s="31" t="s">
        <v>37</v>
      </c>
      <c r="C8" s="31"/>
      <c r="D8" s="31"/>
      <c r="E8" s="31"/>
      <c r="F8" s="32"/>
    </row>
    <row r="9" spans="1:10" ht="30" x14ac:dyDescent="0.25">
      <c r="A9" s="46" t="s">
        <v>30</v>
      </c>
      <c r="B9" s="31" t="s">
        <v>52</v>
      </c>
      <c r="C9" s="31"/>
      <c r="D9" s="31"/>
      <c r="E9" s="31"/>
      <c r="F9" s="32"/>
    </row>
    <row r="10" spans="1:10" x14ac:dyDescent="0.25">
      <c r="A10" s="47" t="s">
        <v>11</v>
      </c>
      <c r="B10" s="48"/>
      <c r="C10" s="48"/>
      <c r="D10" s="48"/>
      <c r="E10" s="48"/>
      <c r="F10" s="49"/>
    </row>
    <row r="11" spans="1:10" x14ac:dyDescent="0.25">
      <c r="A11" s="42" t="s">
        <v>15</v>
      </c>
      <c r="B11" s="50" t="s">
        <v>33</v>
      </c>
      <c r="C11" s="50"/>
      <c r="D11" s="50"/>
      <c r="E11" s="50"/>
      <c r="F11" s="51"/>
    </row>
    <row r="12" spans="1:10" x14ac:dyDescent="0.25">
      <c r="A12" s="42"/>
      <c r="B12" s="50"/>
      <c r="C12" s="50"/>
      <c r="D12" s="50"/>
      <c r="E12" s="50"/>
      <c r="F12" s="51"/>
    </row>
    <row r="13" spans="1:10" x14ac:dyDescent="0.25">
      <c r="A13" s="52"/>
      <c r="B13" s="50"/>
      <c r="C13" s="50"/>
      <c r="D13" s="50"/>
      <c r="E13" s="50"/>
      <c r="F13" s="51"/>
    </row>
    <row r="14" spans="1:10" x14ac:dyDescent="0.25">
      <c r="A14" s="40" t="s">
        <v>43</v>
      </c>
      <c r="B14" s="18" t="s">
        <v>42</v>
      </c>
      <c r="C14" s="19" t="s">
        <v>38</v>
      </c>
      <c r="D14" s="19" t="s">
        <v>39</v>
      </c>
      <c r="E14" s="19" t="s">
        <v>40</v>
      </c>
      <c r="F14" s="41" t="s">
        <v>41</v>
      </c>
      <c r="H14" s="20"/>
    </row>
    <row r="15" spans="1:10" ht="30" x14ac:dyDescent="0.25">
      <c r="A15" s="42" t="s">
        <v>36</v>
      </c>
      <c r="B15" s="23" t="s">
        <v>59</v>
      </c>
      <c r="C15" s="22"/>
      <c r="D15" s="22"/>
      <c r="E15" s="22"/>
      <c r="F15" s="53"/>
    </row>
    <row r="16" spans="1:10" ht="75" x14ac:dyDescent="0.25">
      <c r="A16" s="56" t="s">
        <v>44</v>
      </c>
      <c r="B16" s="23" t="s">
        <v>74</v>
      </c>
      <c r="C16" s="22">
        <v>1</v>
      </c>
      <c r="D16" s="22" t="s">
        <v>66</v>
      </c>
      <c r="E16" s="24"/>
      <c r="F16" s="55"/>
    </row>
    <row r="17" spans="1:6" ht="75" x14ac:dyDescent="0.25">
      <c r="A17" s="56" t="s">
        <v>45</v>
      </c>
      <c r="B17" s="23" t="s">
        <v>75</v>
      </c>
      <c r="C17" s="22">
        <v>1</v>
      </c>
      <c r="D17" s="22" t="s">
        <v>66</v>
      </c>
      <c r="E17" s="24"/>
      <c r="F17" s="53"/>
    </row>
    <row r="18" spans="1:6" ht="105" x14ac:dyDescent="0.25">
      <c r="A18" s="56" t="s">
        <v>46</v>
      </c>
      <c r="B18" s="23" t="s">
        <v>67</v>
      </c>
      <c r="C18" s="22">
        <v>1</v>
      </c>
      <c r="D18" s="22" t="s">
        <v>66</v>
      </c>
      <c r="E18" s="24"/>
      <c r="F18" s="57"/>
    </row>
    <row r="19" spans="1:6" ht="135" x14ac:dyDescent="0.25">
      <c r="A19" s="56" t="s">
        <v>47</v>
      </c>
      <c r="B19" s="23" t="s">
        <v>68</v>
      </c>
      <c r="C19" s="22">
        <v>1</v>
      </c>
      <c r="D19" s="22" t="s">
        <v>66</v>
      </c>
      <c r="E19" s="24"/>
      <c r="F19" s="57"/>
    </row>
    <row r="20" spans="1:6" ht="120" x14ac:dyDescent="0.25">
      <c r="A20" s="56" t="s">
        <v>48</v>
      </c>
      <c r="B20" s="23" t="s">
        <v>69</v>
      </c>
      <c r="C20" s="22">
        <v>1</v>
      </c>
      <c r="D20" s="22" t="s">
        <v>66</v>
      </c>
      <c r="E20" s="24"/>
      <c r="F20" s="57"/>
    </row>
    <row r="21" spans="1:6" ht="105" x14ac:dyDescent="0.25">
      <c r="A21" s="56" t="s">
        <v>49</v>
      </c>
      <c r="B21" s="23" t="s">
        <v>70</v>
      </c>
      <c r="C21" s="22">
        <v>1</v>
      </c>
      <c r="D21" s="22" t="s">
        <v>66</v>
      </c>
      <c r="E21" s="22"/>
      <c r="F21" s="53"/>
    </row>
    <row r="22" spans="1:6" ht="105" x14ac:dyDescent="0.25">
      <c r="A22" s="56" t="s">
        <v>50</v>
      </c>
      <c r="B22" s="23" t="s">
        <v>71</v>
      </c>
      <c r="C22" s="22">
        <v>1</v>
      </c>
      <c r="D22" s="22" t="s">
        <v>66</v>
      </c>
      <c r="E22" s="24"/>
      <c r="F22" s="57"/>
    </row>
    <row r="23" spans="1:6" ht="75" x14ac:dyDescent="0.25">
      <c r="A23" s="56" t="s">
        <v>51</v>
      </c>
      <c r="B23" s="23" t="s">
        <v>72</v>
      </c>
      <c r="C23" s="22">
        <v>1</v>
      </c>
      <c r="D23" s="22" t="s">
        <v>66</v>
      </c>
      <c r="E23" s="24"/>
      <c r="F23" s="57"/>
    </row>
    <row r="24" spans="1:6" ht="75" x14ac:dyDescent="0.25">
      <c r="A24" s="56" t="s">
        <v>60</v>
      </c>
      <c r="B24" s="23" t="s">
        <v>73</v>
      </c>
      <c r="C24" s="22">
        <v>1</v>
      </c>
      <c r="D24" s="22" t="s">
        <v>66</v>
      </c>
      <c r="E24" s="22"/>
      <c r="F24" s="53"/>
    </row>
    <row r="25" spans="1:6" hidden="1" x14ac:dyDescent="0.25">
      <c r="A25" s="56"/>
      <c r="B25" s="22"/>
      <c r="C25" s="22"/>
      <c r="D25" s="22"/>
      <c r="E25" s="22"/>
      <c r="F25" s="53"/>
    </row>
    <row r="26" spans="1:6" hidden="1" x14ac:dyDescent="0.25">
      <c r="A26" s="42"/>
      <c r="B26" s="22"/>
      <c r="C26" s="22"/>
      <c r="D26" s="22"/>
      <c r="E26" s="22"/>
      <c r="F26" s="53"/>
    </row>
    <row r="27" spans="1:6" hidden="1" x14ac:dyDescent="0.25">
      <c r="A27" s="42"/>
      <c r="B27" s="22"/>
      <c r="C27" s="22"/>
      <c r="D27" s="22"/>
      <c r="E27" s="22"/>
      <c r="F27" s="53"/>
    </row>
    <row r="28" spans="1:6" hidden="1" x14ac:dyDescent="0.25">
      <c r="A28" s="42"/>
      <c r="B28" s="22"/>
      <c r="C28" s="22"/>
      <c r="D28" s="22"/>
      <c r="E28" s="22"/>
      <c r="F28" s="53"/>
    </row>
    <row r="29" spans="1:6" hidden="1" x14ac:dyDescent="0.25">
      <c r="A29" s="42"/>
      <c r="B29" s="22"/>
      <c r="C29" s="22"/>
      <c r="D29" s="22"/>
      <c r="E29" s="22"/>
      <c r="F29" s="53"/>
    </row>
    <row r="30" spans="1:6" hidden="1" x14ac:dyDescent="0.25">
      <c r="A30" s="42"/>
      <c r="B30" s="22"/>
      <c r="C30" s="22"/>
      <c r="D30" s="22"/>
      <c r="E30" s="22"/>
      <c r="F30" s="53"/>
    </row>
    <row r="31" spans="1:6" hidden="1" x14ac:dyDescent="0.25">
      <c r="A31" s="42"/>
      <c r="B31" s="22"/>
      <c r="C31" s="22"/>
      <c r="D31" s="22"/>
      <c r="E31" s="22"/>
      <c r="F31" s="53"/>
    </row>
    <row r="32" spans="1:6" hidden="1" x14ac:dyDescent="0.25">
      <c r="A32" s="42"/>
      <c r="B32" s="22"/>
      <c r="C32" s="22"/>
      <c r="D32" s="22"/>
      <c r="E32" s="22"/>
      <c r="F32" s="53"/>
    </row>
    <row r="33" spans="1:6" hidden="1" x14ac:dyDescent="0.25">
      <c r="A33" s="42"/>
      <c r="B33" s="22"/>
      <c r="C33" s="22"/>
      <c r="D33" s="22"/>
      <c r="E33" s="22"/>
      <c r="F33" s="53"/>
    </row>
    <row r="34" spans="1:6" hidden="1" x14ac:dyDescent="0.25">
      <c r="A34" s="42"/>
      <c r="B34" s="22"/>
      <c r="C34" s="22"/>
      <c r="D34" s="22"/>
      <c r="E34" s="22"/>
      <c r="F34" s="53"/>
    </row>
    <row r="35" spans="1:6" x14ac:dyDescent="0.25">
      <c r="A35" s="70" t="s">
        <v>61</v>
      </c>
      <c r="B35" s="22" t="s">
        <v>62</v>
      </c>
      <c r="C35" s="22">
        <v>1</v>
      </c>
      <c r="D35" s="22" t="s">
        <v>63</v>
      </c>
      <c r="E35" s="71">
        <v>500</v>
      </c>
      <c r="F35" s="72">
        <v>500</v>
      </c>
    </row>
    <row r="36" spans="1:6" x14ac:dyDescent="0.25">
      <c r="A36" s="70" t="s">
        <v>64</v>
      </c>
      <c r="B36" s="22" t="s">
        <v>65</v>
      </c>
      <c r="C36" s="22">
        <v>1</v>
      </c>
      <c r="D36" s="22" t="s">
        <v>63</v>
      </c>
      <c r="E36" s="71"/>
      <c r="F36" s="72"/>
    </row>
    <row r="37" spans="1:6" hidden="1" x14ac:dyDescent="0.25">
      <c r="A37" s="42"/>
      <c r="B37" s="22"/>
      <c r="C37" s="22"/>
      <c r="D37" s="22"/>
      <c r="E37" s="22"/>
      <c r="F37" s="53"/>
    </row>
    <row r="38" spans="1:6" x14ac:dyDescent="0.25">
      <c r="A38" s="54"/>
      <c r="B38" s="22"/>
      <c r="C38" s="22"/>
      <c r="D38" s="22"/>
      <c r="E38" s="22"/>
      <c r="F38" s="53"/>
    </row>
    <row r="39" spans="1:6" x14ac:dyDescent="0.25">
      <c r="A39" s="56" t="s">
        <v>58</v>
      </c>
      <c r="B39" s="22"/>
      <c r="C39" s="22"/>
      <c r="D39" s="22"/>
      <c r="E39" s="22" t="s">
        <v>57</v>
      </c>
      <c r="F39" s="55">
        <f>SUM(F16:F24)</f>
        <v>0</v>
      </c>
    </row>
    <row r="40" spans="1:6" x14ac:dyDescent="0.25">
      <c r="A40" s="56"/>
      <c r="B40" s="22"/>
      <c r="C40" s="22"/>
      <c r="D40" s="22"/>
      <c r="E40" s="22"/>
      <c r="F40" s="55"/>
    </row>
    <row r="41" spans="1:6" x14ac:dyDescent="0.25">
      <c r="A41" s="58" t="s">
        <v>24</v>
      </c>
      <c r="B41" s="59"/>
      <c r="C41" s="59"/>
      <c r="D41" s="59"/>
      <c r="E41" s="59"/>
      <c r="F41" s="60"/>
    </row>
    <row r="42" spans="1:6" x14ac:dyDescent="0.25">
      <c r="A42" s="73" t="s">
        <v>13</v>
      </c>
      <c r="B42" s="74" t="s">
        <v>25</v>
      </c>
      <c r="C42" s="74"/>
      <c r="D42" s="74"/>
      <c r="E42" s="74"/>
      <c r="F42" s="75"/>
    </row>
    <row r="43" spans="1:6" ht="14.25" customHeight="1" x14ac:dyDescent="0.25">
      <c r="A43" s="73" t="s">
        <v>14</v>
      </c>
      <c r="B43" s="76">
        <v>1700</v>
      </c>
      <c r="C43" s="76"/>
      <c r="D43" s="76"/>
      <c r="E43" s="76"/>
      <c r="F43" s="77"/>
    </row>
    <row r="44" spans="1:6" hidden="1" x14ac:dyDescent="0.25">
      <c r="A44" s="47" t="s">
        <v>12</v>
      </c>
      <c r="B44" s="48"/>
      <c r="C44" s="48"/>
      <c r="D44" s="48"/>
      <c r="E44" s="48"/>
      <c r="F44" s="49"/>
    </row>
    <row r="45" spans="1:6" hidden="1" x14ac:dyDescent="0.25">
      <c r="A45" s="42" t="s">
        <v>16</v>
      </c>
      <c r="B45" s="31" t="s">
        <v>22</v>
      </c>
      <c r="C45" s="31"/>
      <c r="D45" s="31"/>
      <c r="E45" s="31"/>
      <c r="F45" s="32"/>
    </row>
    <row r="46" spans="1:6" hidden="1" x14ac:dyDescent="0.25">
      <c r="A46" s="42"/>
      <c r="B46" s="38"/>
      <c r="C46" s="38"/>
      <c r="D46" s="38"/>
      <c r="E46" s="38"/>
      <c r="F46" s="39"/>
    </row>
    <row r="47" spans="1:6" hidden="1" x14ac:dyDescent="0.25">
      <c r="A47" s="42" t="s">
        <v>18</v>
      </c>
      <c r="B47" s="31" t="s">
        <v>23</v>
      </c>
      <c r="C47" s="31"/>
      <c r="D47" s="31"/>
      <c r="E47" s="31"/>
      <c r="F47" s="32"/>
    </row>
    <row r="48" spans="1:6" hidden="1" x14ac:dyDescent="0.25">
      <c r="A48" s="42"/>
      <c r="B48" s="38"/>
      <c r="C48" s="38"/>
      <c r="D48" s="38"/>
      <c r="E48" s="38"/>
      <c r="F48" s="39"/>
    </row>
    <row r="49" spans="1:6" hidden="1" x14ac:dyDescent="0.25">
      <c r="A49" s="42" t="s">
        <v>20</v>
      </c>
      <c r="B49" s="50"/>
      <c r="C49" s="50"/>
      <c r="D49" s="50"/>
      <c r="E49" s="50"/>
      <c r="F49" s="51"/>
    </row>
    <row r="50" spans="1:6" hidden="1" x14ac:dyDescent="0.25">
      <c r="A50" s="42"/>
      <c r="B50" s="38"/>
      <c r="C50" s="38"/>
      <c r="D50" s="38"/>
      <c r="E50" s="38"/>
      <c r="F50" s="39"/>
    </row>
    <row r="51" spans="1:6" x14ac:dyDescent="0.25">
      <c r="A51" s="47" t="s">
        <v>17</v>
      </c>
      <c r="B51" s="48"/>
      <c r="C51" s="48"/>
      <c r="D51" s="48"/>
      <c r="E51" s="48"/>
      <c r="F51" s="49"/>
    </row>
    <row r="52" spans="1:6" x14ac:dyDescent="0.25">
      <c r="A52" s="42" t="s">
        <v>35</v>
      </c>
      <c r="B52" s="50" t="s">
        <v>34</v>
      </c>
      <c r="C52" s="50"/>
      <c r="D52" s="50"/>
      <c r="E52" s="50"/>
      <c r="F52" s="51"/>
    </row>
    <row r="53" spans="1:6" x14ac:dyDescent="0.25">
      <c r="A53" s="54"/>
      <c r="B53" s="38"/>
      <c r="C53" s="38"/>
      <c r="D53" s="38"/>
      <c r="E53" s="38"/>
      <c r="F53" s="39"/>
    </row>
    <row r="54" spans="1:6" x14ac:dyDescent="0.25">
      <c r="A54" s="28" t="s">
        <v>32</v>
      </c>
      <c r="B54" s="29"/>
      <c r="C54" s="29"/>
      <c r="D54" s="29"/>
      <c r="E54" s="29"/>
      <c r="F54" s="30"/>
    </row>
    <row r="55" spans="1:6" x14ac:dyDescent="0.25">
      <c r="A55" s="61"/>
      <c r="B55" s="62" t="s">
        <v>31</v>
      </c>
      <c r="C55" s="62"/>
      <c r="D55" s="62"/>
      <c r="E55" s="62"/>
      <c r="F55" s="63"/>
    </row>
    <row r="56" spans="1:6" x14ac:dyDescent="0.25">
      <c r="A56" s="64" t="s">
        <v>21</v>
      </c>
      <c r="B56" s="65"/>
      <c r="C56" s="65"/>
      <c r="D56" s="65"/>
      <c r="E56" s="65"/>
      <c r="F56" s="66"/>
    </row>
    <row r="57" spans="1:6" x14ac:dyDescent="0.25">
      <c r="A57" s="54"/>
      <c r="B57" s="38"/>
      <c r="C57" s="38"/>
      <c r="D57" s="38"/>
      <c r="E57" s="38"/>
      <c r="F57" s="39"/>
    </row>
    <row r="58" spans="1:6" x14ac:dyDescent="0.25">
      <c r="A58" s="54"/>
      <c r="B58" s="38"/>
      <c r="C58" s="38"/>
      <c r="D58" s="38"/>
      <c r="E58" s="38"/>
      <c r="F58" s="39"/>
    </row>
    <row r="59" spans="1:6" x14ac:dyDescent="0.25">
      <c r="A59" s="54"/>
      <c r="B59" s="38"/>
      <c r="C59" s="38"/>
      <c r="D59" s="38"/>
      <c r="E59" s="38"/>
      <c r="F59" s="39"/>
    </row>
    <row r="60" spans="1:6" x14ac:dyDescent="0.25">
      <c r="A60" s="54"/>
      <c r="B60" s="38"/>
      <c r="C60" s="38"/>
      <c r="D60" s="38"/>
      <c r="E60" s="38"/>
      <c r="F60" s="39"/>
    </row>
    <row r="61" spans="1:6" x14ac:dyDescent="0.25">
      <c r="A61" s="54"/>
      <c r="B61" s="38"/>
      <c r="C61" s="38"/>
      <c r="D61" s="38"/>
      <c r="E61" s="38"/>
      <c r="F61" s="39"/>
    </row>
    <row r="62" spans="1:6" x14ac:dyDescent="0.25">
      <c r="A62" s="54"/>
      <c r="B62" s="38"/>
      <c r="C62" s="38"/>
      <c r="D62" s="38"/>
      <c r="E62" s="38"/>
      <c r="F62" s="39"/>
    </row>
    <row r="63" spans="1:6" x14ac:dyDescent="0.25">
      <c r="A63" s="54"/>
      <c r="B63" s="38"/>
      <c r="C63" s="38"/>
      <c r="D63" s="38"/>
      <c r="E63" s="38"/>
      <c r="F63" s="39"/>
    </row>
    <row r="64" spans="1:6" ht="15.75" thickBot="1" x14ac:dyDescent="0.3">
      <c r="A64" s="67"/>
      <c r="B64" s="68"/>
      <c r="C64" s="68"/>
      <c r="D64" s="68"/>
      <c r="E64" s="68"/>
      <c r="F64" s="69"/>
    </row>
  </sheetData>
  <mergeCells count="33">
    <mergeCell ref="A44:F44"/>
    <mergeCell ref="A51:F51"/>
    <mergeCell ref="B61:F61"/>
    <mergeCell ref="B53:F53"/>
    <mergeCell ref="B55:F55"/>
    <mergeCell ref="B48:F48"/>
    <mergeCell ref="B46:F46"/>
    <mergeCell ref="B47:F47"/>
    <mergeCell ref="B50:F50"/>
    <mergeCell ref="B52:F52"/>
    <mergeCell ref="B49:F49"/>
    <mergeCell ref="B45:F45"/>
    <mergeCell ref="A54:F54"/>
    <mergeCell ref="B62:F62"/>
    <mergeCell ref="B63:F63"/>
    <mergeCell ref="B64:F64"/>
    <mergeCell ref="B56:F56"/>
    <mergeCell ref="B57:F57"/>
    <mergeCell ref="B58:F58"/>
    <mergeCell ref="B59:F59"/>
    <mergeCell ref="B60:F60"/>
    <mergeCell ref="A1:F1"/>
    <mergeCell ref="B13:F13"/>
    <mergeCell ref="B7:F7"/>
    <mergeCell ref="A2:F2"/>
    <mergeCell ref="B12:F12"/>
    <mergeCell ref="B11:F11"/>
    <mergeCell ref="A10:F10"/>
    <mergeCell ref="A41:F41"/>
    <mergeCell ref="B42:F42"/>
    <mergeCell ref="B43:F43"/>
    <mergeCell ref="B8:F8"/>
    <mergeCell ref="B9:F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2C57B9F531E341A04BD8E0FB6651C0" ma:contentTypeVersion="18" ma:contentTypeDescription="Create a new document." ma:contentTypeScope="" ma:versionID="529c0e7609e9e878e6f314686504a52d">
  <xsd:schema xmlns:xsd="http://www.w3.org/2001/XMLSchema" xmlns:xs="http://www.w3.org/2001/XMLSchema" xmlns:p="http://schemas.microsoft.com/office/2006/metadata/properties" xmlns:ns1="http://schemas.microsoft.com/sharepoint/v3" xmlns:ns3="296fbc98-96d0-4558-b982-bc016e09e364" xmlns:ns4="1c54c8bb-a765-4e62-a2c5-20f0942bfd1c" targetNamespace="http://schemas.microsoft.com/office/2006/metadata/properties" ma:root="true" ma:fieldsID="6cc992310c08f2dd00b8d3c1a90bf602" ns1:_="" ns3:_="" ns4:_="">
    <xsd:import namespace="http://schemas.microsoft.com/sharepoint/v3"/>
    <xsd:import namespace="296fbc98-96d0-4558-b982-bc016e09e364"/>
    <xsd:import namespace="1c54c8bb-a765-4e62-a2c5-20f0942bfd1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4:SharedWithUsers" minOccurs="0"/>
                <xsd:element ref="ns4:SharedWithDetails" minOccurs="0"/>
                <xsd:element ref="ns4:SharingHintHash" minOccurs="0"/>
                <xsd:element ref="ns3:MediaServiceLocation" minOccurs="0"/>
                <xsd:element ref="ns3:_activity" minOccurs="0"/>
                <xsd:element ref="ns3:MediaServiceObjectDetectorVersions" minOccurs="0"/>
                <xsd:element ref="ns1:_ip_UnifiedCompliancePolicyProperties" minOccurs="0"/>
                <xsd:element ref="ns1:_ip_UnifiedCompliancePolicyUIActio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6fbc98-96d0-4558-b982-bc016e09e3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4c8bb-a765-4e62-a2c5-20f0942bfd1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296fbc98-96d0-4558-b982-bc016e09e364"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971526-D619-436C-8819-409C2DF0A7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6fbc98-96d0-4558-b982-bc016e09e364"/>
    <ds:schemaRef ds:uri="1c54c8bb-a765-4e62-a2c5-20f0942bfd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29F3DA-C113-4314-B139-6EB0C6C74381}">
  <ds:schemaRefs>
    <ds:schemaRef ds:uri="http://purl.org/dc/terms/"/>
    <ds:schemaRef ds:uri="http://schemas.microsoft.com/sharepoint/v3"/>
    <ds:schemaRef ds:uri="http://schemas.microsoft.com/office/2006/metadata/properties"/>
    <ds:schemaRef ds:uri="296fbc98-96d0-4558-b982-bc016e09e364"/>
    <ds:schemaRef ds:uri="http://purl.org/dc/elements/1.1/"/>
    <ds:schemaRef ds:uri="http://schemas.microsoft.com/office/2006/documentManagement/types"/>
    <ds:schemaRef ds:uri="1c54c8bb-a765-4e62-a2c5-20f0942bfd1c"/>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E8DA3122-E336-496B-A28A-BCDDDFA82995}">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 INPUT-VIRKON-HAZMAT Rollup</vt:lpstr>
      <vt:lpstr>Notional Task Order Details</vt:lpstr>
    </vt:vector>
  </TitlesOfParts>
  <Company>US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Harlan, Michael J</dc:creator>
  <cp:lastModifiedBy>Richie, Christopher A (Chris) CIV USARMY ACC MICC (USA</cp:lastModifiedBy>
  <cp:lastPrinted>2022-08-05T18:05:51Z</cp:lastPrinted>
  <dcterms:created xsi:type="dcterms:W3CDTF">2021-02-26T14:04:54Z</dcterms:created>
  <dcterms:modified xsi:type="dcterms:W3CDTF">2026-05-07T18:18:44Z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0x010100B22C57B9F531E341A04BD8E0FB6651C0</vt:lpwstr>
  </property>
</Properties>
</file>