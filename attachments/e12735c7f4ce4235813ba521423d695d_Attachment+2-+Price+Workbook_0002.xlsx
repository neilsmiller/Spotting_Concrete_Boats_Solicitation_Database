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usdagcc-my.sharepoint.com/personal/christopher_bany_usda_gov/Documents/Desktop/WorkLoad/FY26/Audit Review Guide/Amendment 0002/"/>
    </mc:Choice>
  </mc:AlternateContent>
  <xr:revisionPtr revIDLastSave="44" documentId="8_{489E5541-6C74-4AE6-B761-1461F89C6FC1}" xr6:coauthVersionLast="47" xr6:coauthVersionMax="47" xr10:uidLastSave="{54872BC0-7AEA-477F-B4B8-368602DADFE9}"/>
  <bookViews>
    <workbookView xWindow="-108" yWindow="-108" windowWidth="23256" windowHeight="12456" xr2:uid="{BC88FC86-332E-4052-B49F-75B2264ED755}"/>
  </bookViews>
  <sheets>
    <sheet name="TEP" sheetId="4" r:id="rId1"/>
    <sheet name="Base" sheetId="1" r:id="rId2"/>
    <sheet name="OP 1" sheetId="5" r:id="rId3"/>
    <sheet name="OP 2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3" i="1"/>
  <c r="C4" i="6" l="1"/>
  <c r="E3" i="6"/>
  <c r="C4" i="5"/>
  <c r="E3" i="5"/>
  <c r="E4" i="6" l="1"/>
  <c r="C6" i="4" s="1"/>
  <c r="E4" i="5"/>
  <c r="C5" i="4" s="1"/>
  <c r="E4" i="1" l="1"/>
  <c r="C4" i="4" s="1"/>
  <c r="C7" i="4" l="1"/>
  <c r="C8" i="4" s="1"/>
</calcChain>
</file>

<file path=xl/sharedStrings.xml><?xml version="1.0" encoding="utf-8"?>
<sst xmlns="http://schemas.openxmlformats.org/spreadsheetml/2006/main" count="25" uniqueCount="18">
  <si>
    <t>Period</t>
  </si>
  <si>
    <t>Totals</t>
  </si>
  <si>
    <t>Base Period</t>
  </si>
  <si>
    <t>Six Month Extension - FAR Clause 52.217-8</t>
  </si>
  <si>
    <t>Total Evaluated Price (TEP)</t>
  </si>
  <si>
    <t>Total</t>
  </si>
  <si>
    <t xml:space="preserve">Firm-Fixed Price Total </t>
  </si>
  <si>
    <t>Option Period 1</t>
  </si>
  <si>
    <t>Option Period 2</t>
  </si>
  <si>
    <t>Base Period- 8 months</t>
  </si>
  <si>
    <t>Option Period 1 -8 months</t>
  </si>
  <si>
    <t>Option Period 2- 8 months</t>
  </si>
  <si>
    <t>Months</t>
  </si>
  <si>
    <t xml:space="preserve">Total </t>
  </si>
  <si>
    <t>Firm-Fixed Price per Month</t>
  </si>
  <si>
    <t>CLIN 1001: Option for SFH  audit guide, development, and piloting</t>
  </si>
  <si>
    <t>CLIN 0001: Base for RBCS audit guide, development, and
piloting</t>
  </si>
  <si>
    <t>CLIN 2001:  Option for MFH  audit guide, development, and piloting.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</si>
</sst>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.00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2"/>
      <color rgb="FF33333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name val="Aptos Display"/>
      <family val="2"/>
      <scheme val="major"/>
    </font>
    <font>
      <sz val="12"/>
      <color indexed="8"/>
      <name val="Calibri"/>
      <family val="2"/>
    </font>
    <font>
      <sz val="12"/>
      <color indexed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b/>
      <sz val="20"/>
      <color rgb="FF305396"/>
      <name val="Calibri"/>
      <family val="2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8" fillId="0" borderId="0" applyFill="0" applyProtection="0"/>
    <xf numFmtId="9" fontId="1" fillId="0" borderId="0" applyFont="0" applyFill="0" applyBorder="0" applyAlignment="0" applyProtection="0"/>
    <xf numFmtId="0" fontId="13" fillId="0" borderId="0">
      <alignment horizontal="right" vertical="center"/>
    </xf>
  </cellStyleXfs>
  <cellXfs count="29">
    <xf numFmtId="0" fontId="0" fillId="0" borderId="0" xfId="0"/>
    <xf numFmtId="0" fontId="3" fillId="0" borderId="0" xfId="0" applyFont="1" applyAlignment="1">
      <alignment vertical="top"/>
    </xf>
    <xf numFmtId="0" fontId="4" fillId="2" borderId="1" xfId="2" applyFont="1" applyFill="1" applyBorder="1" applyAlignment="1">
      <alignment horizontal="left" vertical="center"/>
    </xf>
    <xf numFmtId="8" fontId="6" fillId="0" borderId="1" xfId="2" applyNumberFormat="1" applyFont="1" applyBorder="1"/>
    <xf numFmtId="0" fontId="7" fillId="4" borderId="1" xfId="0" applyFont="1" applyFill="1" applyBorder="1" applyAlignment="1">
      <alignment horizontal="left" vertical="top"/>
    </xf>
    <xf numFmtId="7" fontId="7" fillId="4" borderId="1" xfId="0" applyNumberFormat="1" applyFont="1" applyFill="1" applyBorder="1" applyAlignment="1">
      <alignment vertical="top"/>
    </xf>
    <xf numFmtId="7" fontId="3" fillId="0" borderId="0" xfId="0" applyNumberFormat="1" applyFont="1" applyAlignment="1">
      <alignment vertical="top"/>
    </xf>
    <xf numFmtId="165" fontId="5" fillId="4" borderId="1" xfId="2" applyNumberFormat="1" applyFont="1" applyFill="1" applyBorder="1" applyAlignment="1">
      <alignment horizontal="right"/>
    </xf>
    <xf numFmtId="1" fontId="0" fillId="0" borderId="0" xfId="0" applyNumberFormat="1"/>
    <xf numFmtId="1" fontId="7" fillId="4" borderId="1" xfId="1" applyNumberFormat="1" applyFont="1" applyFill="1" applyBorder="1" applyAlignment="1">
      <alignment horizontal="center" vertical="top"/>
    </xf>
    <xf numFmtId="37" fontId="0" fillId="0" borderId="0" xfId="0" applyNumberFormat="1"/>
    <xf numFmtId="0" fontId="9" fillId="0" borderId="0" xfId="4" applyFont="1" applyFill="1" applyProtection="1"/>
    <xf numFmtId="0" fontId="10" fillId="6" borderId="0" xfId="4" applyFont="1" applyFill="1" applyAlignment="1">
      <alignment horizontal="center" vertical="center" wrapText="1"/>
    </xf>
    <xf numFmtId="0" fontId="11" fillId="0" borderId="1" xfId="4" applyFont="1" applyFill="1" applyBorder="1" applyProtection="1"/>
    <xf numFmtId="8" fontId="11" fillId="0" borderId="1" xfId="4" applyNumberFormat="1" applyFont="1" applyFill="1" applyBorder="1" applyProtection="1"/>
    <xf numFmtId="9" fontId="9" fillId="0" borderId="0" xfId="5" applyFont="1" applyFill="1" applyBorder="1" applyProtection="1"/>
    <xf numFmtId="0" fontId="12" fillId="5" borderId="1" xfId="4" applyFont="1" applyFill="1" applyBorder="1" applyProtection="1"/>
    <xf numFmtId="0" fontId="9" fillId="5" borderId="0" xfId="4" applyFont="1" applyFill="1" applyProtection="1"/>
    <xf numFmtId="0" fontId="10" fillId="7" borderId="1" xfId="4" applyFont="1" applyFill="1" applyBorder="1" applyAlignment="1">
      <alignment horizontal="center" vertical="center" wrapText="1"/>
    </xf>
    <xf numFmtId="165" fontId="5" fillId="3" borderId="1" xfId="2" applyNumberFormat="1" applyFont="1" applyFill="1" applyBorder="1" applyAlignment="1" applyProtection="1">
      <alignment horizontal="right"/>
      <protection locked="0"/>
    </xf>
    <xf numFmtId="166" fontId="14" fillId="0" borderId="1" xfId="6" applyNumberFormat="1" applyFont="1" applyBorder="1">
      <alignment horizontal="right" vertical="center"/>
    </xf>
    <xf numFmtId="1" fontId="7" fillId="4" borderId="1" xfId="1" applyNumberFormat="1" applyFont="1" applyFill="1" applyBorder="1" applyAlignment="1" applyProtection="1">
      <alignment horizontal="center" vertical="top"/>
    </xf>
    <xf numFmtId="0" fontId="4" fillId="2" borderId="1" xfId="2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center"/>
      <protection locked="0"/>
    </xf>
    <xf numFmtId="0" fontId="4" fillId="2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 applyProtection="1">
      <alignment horizontal="left" wrapText="1" indent="1"/>
      <protection locked="0"/>
    </xf>
    <xf numFmtId="44" fontId="5" fillId="6" borderId="1" xfId="2" applyNumberFormat="1" applyFont="1" applyFill="1" applyBorder="1" applyAlignment="1" applyProtection="1">
      <alignment horizontal="left" indent="1"/>
      <protection locked="0"/>
    </xf>
    <xf numFmtId="0" fontId="2" fillId="0" borderId="1" xfId="0" applyFont="1" applyBorder="1" applyAlignment="1">
      <alignment horizontal="center" vertical="center" wrapText="1"/>
    </xf>
  </cellXfs>
  <cellStyles count="7">
    <cellStyle name="Comma" xfId="1" builtinId="3"/>
    <cellStyle name="Currency 2 22" xfId="3" xr:uid="{8E5D52FA-DD55-4F41-9C1A-A39CCAEFD32F}"/>
    <cellStyle name="font_blue_align_right" xfId="6" xr:uid="{81415049-8258-4870-B9CD-787470A1ABC1}"/>
    <cellStyle name="Normal" xfId="0" builtinId="0"/>
    <cellStyle name="Normal 2 3 16" xfId="2" xr:uid="{F73B756B-3B51-4810-B45F-9366F6592C4D}"/>
    <cellStyle name="Normal 3" xfId="4" xr:uid="{9883ED04-0FA7-45B0-8F27-C6A0348F3D79}"/>
    <cellStyle name="Percent 2" xfId="5" xr:uid="{4312087D-AF57-4A48-AC88-A221F00E4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10A5-470B-41F5-BF0F-F55174EA4ADD}">
  <dimension ref="A2:D8"/>
  <sheetViews>
    <sheetView tabSelected="1" workbookViewId="0">
      <selection activeCell="B9" sqref="B9"/>
    </sheetView>
  </sheetViews>
  <sheetFormatPr defaultColWidth="8.77734375" defaultRowHeight="15.6" x14ac:dyDescent="0.3"/>
  <cols>
    <col min="1" max="1" width="8.77734375" style="11"/>
    <col min="2" max="2" width="46.6640625" style="11" customWidth="1"/>
    <col min="3" max="3" width="36.21875" style="11" customWidth="1"/>
    <col min="4" max="5" width="8.77734375" style="11"/>
    <col min="6" max="6" width="15.21875" style="11" bestFit="1" customWidth="1"/>
    <col min="7" max="16384" width="8.77734375" style="11"/>
  </cols>
  <sheetData>
    <row r="2" spans="1:4" x14ac:dyDescent="0.3">
      <c r="B2" s="12"/>
      <c r="C2" s="12"/>
    </row>
    <row r="3" spans="1:4" ht="24.6" customHeight="1" x14ac:dyDescent="0.3">
      <c r="B3" s="18" t="s">
        <v>0</v>
      </c>
      <c r="C3" s="18" t="s">
        <v>1</v>
      </c>
    </row>
    <row r="4" spans="1:4" ht="18" x14ac:dyDescent="0.35">
      <c r="B4" s="13" t="s">
        <v>9</v>
      </c>
      <c r="C4" s="14">
        <f>Base!E4</f>
        <v>0</v>
      </c>
      <c r="D4" s="15"/>
    </row>
    <row r="5" spans="1:4" ht="18" x14ac:dyDescent="0.35">
      <c r="B5" s="13" t="s">
        <v>10</v>
      </c>
      <c r="C5" s="14">
        <f xml:space="preserve"> 'OP 1'!E4</f>
        <v>0</v>
      </c>
      <c r="D5" s="15"/>
    </row>
    <row r="6" spans="1:4" ht="18" x14ac:dyDescent="0.35">
      <c r="B6" s="13" t="s">
        <v>11</v>
      </c>
      <c r="C6" s="14">
        <f>'OP 2'!E4</f>
        <v>0</v>
      </c>
      <c r="D6" s="15"/>
    </row>
    <row r="7" spans="1:4" ht="18" x14ac:dyDescent="0.35">
      <c r="B7" s="13" t="s">
        <v>3</v>
      </c>
      <c r="C7" s="14">
        <f>C6/2</f>
        <v>0</v>
      </c>
      <c r="D7" s="15"/>
    </row>
    <row r="8" spans="1:4" ht="18" x14ac:dyDescent="0.35">
      <c r="A8" s="17"/>
      <c r="B8" s="16" t="s">
        <v>4</v>
      </c>
      <c r="C8" s="20">
        <f>SUM(C4:C7)</f>
        <v>0</v>
      </c>
    </row>
  </sheetData>
  <sheetProtection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89F1-37B6-4FEC-AB5A-415F8FAF0679}">
  <dimension ref="B1:E10"/>
  <sheetViews>
    <sheetView zoomScale="120" zoomScaleNormal="120" workbookViewId="0">
      <selection activeCell="D3" sqref="D3"/>
    </sheetView>
  </sheetViews>
  <sheetFormatPr defaultRowHeight="14.4" x14ac:dyDescent="0.3"/>
  <cols>
    <col min="2" max="2" width="71.44140625" bestFit="1" customWidth="1"/>
    <col min="3" max="3" width="10" bestFit="1" customWidth="1"/>
    <col min="4" max="4" width="14.21875" bestFit="1" customWidth="1"/>
    <col min="5" max="5" width="16.5546875" customWidth="1"/>
    <col min="8" max="8" width="22.21875" customWidth="1"/>
  </cols>
  <sheetData>
    <row r="1" spans="2:5" ht="15.6" x14ac:dyDescent="0.3">
      <c r="B1" s="28" t="s">
        <v>2</v>
      </c>
      <c r="C1" s="28"/>
      <c r="D1" s="28"/>
      <c r="E1" s="28"/>
    </row>
    <row r="2" spans="2:5" ht="46.8" x14ac:dyDescent="0.3">
      <c r="B2" s="2"/>
      <c r="C2" s="23" t="s">
        <v>12</v>
      </c>
      <c r="D2" s="25" t="s">
        <v>14</v>
      </c>
      <c r="E2" s="22" t="s">
        <v>13</v>
      </c>
    </row>
    <row r="3" spans="2:5" ht="31.2" x14ac:dyDescent="0.3">
      <c r="B3" s="26" t="s">
        <v>16</v>
      </c>
      <c r="C3" s="24">
        <v>8</v>
      </c>
      <c r="D3" s="19"/>
      <c r="E3" s="3">
        <f>C3*D3</f>
        <v>0</v>
      </c>
    </row>
    <row r="4" spans="2:5" ht="15.6" x14ac:dyDescent="0.3">
      <c r="B4" s="4" t="s">
        <v>6</v>
      </c>
      <c r="C4" s="21">
        <f>SUM(C3:C3)</f>
        <v>8</v>
      </c>
      <c r="D4" s="7"/>
      <c r="E4" s="5">
        <f>SUM(E3:E3)</f>
        <v>0</v>
      </c>
    </row>
    <row r="8" spans="2:5" x14ac:dyDescent="0.3">
      <c r="C8" s="10"/>
      <c r="D8" s="8"/>
      <c r="E8" s="10"/>
    </row>
    <row r="9" spans="2:5" x14ac:dyDescent="0.3">
      <c r="C9" s="10"/>
      <c r="D9" s="8"/>
      <c r="E9" s="10"/>
    </row>
    <row r="10" spans="2:5" x14ac:dyDescent="0.3">
      <c r="C10" s="10"/>
      <c r="D10" s="8"/>
      <c r="E10" s="10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7E99-4A99-43AC-B151-931E2367C787}">
  <dimension ref="B1:E4"/>
  <sheetViews>
    <sheetView zoomScale="120" zoomScaleNormal="120" workbookViewId="0">
      <selection activeCell="D3" sqref="D3"/>
    </sheetView>
  </sheetViews>
  <sheetFormatPr defaultRowHeight="14.4" x14ac:dyDescent="0.3"/>
  <cols>
    <col min="2" max="2" width="71.44140625" bestFit="1" customWidth="1"/>
    <col min="3" max="3" width="10" bestFit="1" customWidth="1"/>
    <col min="4" max="4" width="14.21875" bestFit="1" customWidth="1"/>
    <col min="5" max="5" width="16.5546875" customWidth="1"/>
    <col min="8" max="8" width="19.21875" customWidth="1"/>
  </cols>
  <sheetData>
    <row r="1" spans="2:5" ht="15.6" x14ac:dyDescent="0.3">
      <c r="B1" s="28" t="s">
        <v>7</v>
      </c>
      <c r="C1" s="28"/>
      <c r="D1" s="28"/>
      <c r="E1" s="28"/>
    </row>
    <row r="2" spans="2:5" ht="46.8" x14ac:dyDescent="0.3">
      <c r="B2" s="2"/>
      <c r="C2" s="23" t="s">
        <v>12</v>
      </c>
      <c r="D2" s="25" t="s">
        <v>14</v>
      </c>
      <c r="E2" s="22" t="s">
        <v>5</v>
      </c>
    </row>
    <row r="3" spans="2:5" ht="15.6" x14ac:dyDescent="0.3">
      <c r="B3" s="27" t="s">
        <v>15</v>
      </c>
      <c r="C3" s="24">
        <v>8</v>
      </c>
      <c r="D3" s="19"/>
      <c r="E3" s="3">
        <f t="shared" ref="E3" si="0">C3*D3</f>
        <v>0</v>
      </c>
    </row>
    <row r="4" spans="2:5" ht="15.6" x14ac:dyDescent="0.3">
      <c r="B4" s="4" t="s">
        <v>6</v>
      </c>
      <c r="C4" s="21">
        <f>SUM(C3:C3)</f>
        <v>8</v>
      </c>
      <c r="D4" s="7"/>
      <c r="E4" s="5">
        <f>SUM(E3:E3)</f>
        <v>0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6675-3F8D-4B73-8B2A-A5B69B5D96AE}">
  <dimension ref="B1:G11"/>
  <sheetViews>
    <sheetView zoomScale="120" zoomScaleNormal="120" workbookViewId="0">
      <selection activeCell="B3" sqref="B3"/>
    </sheetView>
  </sheetViews>
  <sheetFormatPr defaultRowHeight="14.4" x14ac:dyDescent="0.3"/>
  <cols>
    <col min="2" max="2" width="71.44140625" bestFit="1" customWidth="1"/>
    <col min="3" max="3" width="10" bestFit="1" customWidth="1"/>
    <col min="4" max="4" width="14.21875" bestFit="1" customWidth="1"/>
    <col min="5" max="5" width="16.5546875" customWidth="1"/>
    <col min="7" max="7" width="19.21875" customWidth="1"/>
  </cols>
  <sheetData>
    <row r="1" spans="2:7" ht="15.6" x14ac:dyDescent="0.3">
      <c r="B1" s="28" t="s">
        <v>8</v>
      </c>
      <c r="C1" s="28"/>
      <c r="D1" s="28"/>
      <c r="E1" s="28"/>
    </row>
    <row r="2" spans="2:7" ht="46.8" x14ac:dyDescent="0.3">
      <c r="B2" s="2"/>
      <c r="C2" s="23" t="s">
        <v>12</v>
      </c>
      <c r="D2" s="25" t="s">
        <v>14</v>
      </c>
      <c r="E2" s="22" t="s">
        <v>5</v>
      </c>
    </row>
    <row r="3" spans="2:7" ht="15.6" x14ac:dyDescent="0.3">
      <c r="B3" s="27" t="s">
        <v>17</v>
      </c>
      <c r="C3" s="24">
        <v>8</v>
      </c>
      <c r="D3" s="19"/>
      <c r="E3" s="3">
        <f t="shared" ref="E3" si="0">C3*D3</f>
        <v>0</v>
      </c>
    </row>
    <row r="4" spans="2:7" ht="15.6" x14ac:dyDescent="0.3">
      <c r="B4" s="4" t="s">
        <v>6</v>
      </c>
      <c r="C4" s="9">
        <f>SUM(C3:C3)</f>
        <v>8</v>
      </c>
      <c r="D4" s="7"/>
      <c r="E4" s="5">
        <f>SUM(E3:E3)</f>
        <v>0</v>
      </c>
    </row>
    <row r="6" spans="2:7" x14ac:dyDescent="0.3">
      <c r="F6" s="1"/>
    </row>
    <row r="7" spans="2:7" x14ac:dyDescent="0.3">
      <c r="F7" s="1"/>
      <c r="G7" s="6"/>
    </row>
    <row r="8" spans="2:7" x14ac:dyDescent="0.3">
      <c r="F8" s="1"/>
      <c r="G8" s="1"/>
    </row>
    <row r="9" spans="2:7" x14ac:dyDescent="0.3">
      <c r="C9" s="10"/>
      <c r="D9" s="8"/>
      <c r="E9" s="10"/>
      <c r="F9" s="1"/>
      <c r="G9" s="6"/>
    </row>
    <row r="10" spans="2:7" x14ac:dyDescent="0.3">
      <c r="C10" s="10"/>
      <c r="D10" s="8"/>
      <c r="E10" s="10"/>
    </row>
    <row r="11" spans="2:7" x14ac:dyDescent="0.3">
      <c r="C11" s="10"/>
      <c r="D11" s="8"/>
      <c r="E11" s="10"/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7E9A718F13CC4CAC8535815ED8E761" ma:contentTypeVersion="10" ma:contentTypeDescription="Create a new document." ma:contentTypeScope="" ma:versionID="d1c0df9cf92db2b3fbc5c623a44d7274">
  <xsd:schema xmlns:xsd="http://www.w3.org/2001/XMLSchema" xmlns:xs="http://www.w3.org/2001/XMLSchema" xmlns:p="http://schemas.microsoft.com/office/2006/metadata/properties" xmlns:ns2="3f832a39-6fb9-41d6-85fd-56c134e3d2c9" targetNamespace="http://schemas.microsoft.com/office/2006/metadata/properties" ma:root="true" ma:fieldsID="125feb49ff10d29c0ee18d602ab30a5b" ns2:_="">
    <xsd:import namespace="3f832a39-6fb9-41d6-85fd-56c134e3d2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32a39-6fb9-41d6-85fd-56c134e3d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832a39-6fb9-41d6-85fd-56c134e3d2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3241F-9C53-48B2-ACA7-4A07F5E2F4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0AEE29-BF04-458B-A37F-75E5C9589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832a39-6fb9-41d6-85fd-56c134e3d2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A843F6-3372-45BA-A24C-F1DD46BE7A29}">
  <ds:schemaRefs>
    <ds:schemaRef ds:uri="http://schemas.microsoft.com/office/2006/metadata/properties"/>
    <ds:schemaRef ds:uri="http://schemas.microsoft.com/office/infopath/2007/PartnerControls"/>
    <ds:schemaRef ds:uri="fb37d4b6-e29e-4c2b-baf9-edf20c9c4bbd"/>
    <ds:schemaRef ds:uri="b011014f-025b-4c1f-8222-4e3635a8f1cf"/>
    <ds:schemaRef ds:uri="3f832a39-6fb9-41d6-85fd-56c134e3d2c9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TEP</vt:lpstr>
      <vt:lpstr>Base</vt:lpstr>
      <vt:lpstr>OP 1</vt:lpstr>
      <vt:lpstr>OP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Todd, Brent - RD, MO</dc:creator>
  <cp:keywords/>
  <dc:description/>
  <cp:lastModifiedBy>Bany, Christopher - RD, FL</cp:lastModifiedBy>
  <cp:revision/>
  <dcterms:created xsi:type="dcterms:W3CDTF">2025-02-12T14:20:35Z</dcterms:created>
  <dcterms:modified xsi:type="dcterms:W3CDTF">2026-05-08T16:45:35Z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0x010100EF7E9A718F13CC4CAC8535815ED8E761</vt:lpwstr>
  </property>
  <property fmtid="{D5CDD505-2E9C-101B-9397-08002B2CF9AE}" pid="3" name="MediaServiceImageTags">
    <vt:lpwstr/>
  </property>
</Properties>
</file>