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fdicgov-my.sharepoint.com/personal/ditoles_fdic_gov/Documents/002 ASB/001 Pending Requirements/2025 - 2026 Actions/22653 - NSS Juniper WAN TECREF/02 Solicitation/"/>
    </mc:Choice>
  </mc:AlternateContent>
  <xr:revisionPtr revIDLastSave="0" documentId="8_{30CCD5F9-216F-47C7-B2AC-9AA0209F6307}" xr6:coauthVersionLast="47" xr6:coauthVersionMax="47" xr10:uidLastSave="{00000000-0000-0000-0000-000000000000}"/>
  <bookViews>
    <workbookView xWindow="-28920" yWindow="-120" windowWidth="29040" windowHeight="15720" xr2:uid="{2F8E0A03-9BB2-407C-9FBF-DE704206E152}"/>
  </bookViews>
  <sheets>
    <sheet name="Cover Page - Info." sheetId="2" r:id="rId1"/>
    <sheet name="Price Schedule" sheetId="1" r:id="rId2"/>
  </sheets>
  <definedNames>
    <definedName name="CategoryNam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0" i="1" l="1"/>
  <c r="J30" i="1"/>
  <c r="L29" i="1"/>
  <c r="J29" i="1"/>
  <c r="L28" i="1"/>
  <c r="J28" i="1"/>
  <c r="L27" i="1"/>
  <c r="J27" i="1"/>
  <c r="L26" i="1"/>
  <c r="J26" i="1"/>
  <c r="L25" i="1"/>
  <c r="J25" i="1"/>
  <c r="L24" i="1"/>
  <c r="J24" i="1"/>
  <c r="L23" i="1"/>
  <c r="J23" i="1"/>
  <c r="L22" i="1"/>
  <c r="J22" i="1"/>
  <c r="L21" i="1"/>
  <c r="J21" i="1"/>
  <c r="L20" i="1"/>
  <c r="J20" i="1"/>
  <c r="L19" i="1"/>
  <c r="J19" i="1"/>
  <c r="L18" i="1"/>
  <c r="J18" i="1"/>
  <c r="L17" i="1"/>
  <c r="J17" i="1"/>
  <c r="L16" i="1"/>
  <c r="J16" i="1"/>
  <c r="L15" i="1"/>
  <c r="J15" i="1"/>
  <c r="L14" i="1"/>
  <c r="J14" i="1"/>
  <c r="L13" i="1"/>
  <c r="J13" i="1"/>
  <c r="L12" i="1"/>
  <c r="J12" i="1"/>
  <c r="L11" i="1"/>
  <c r="J11" i="1"/>
  <c r="L10" i="1"/>
  <c r="J10" i="1"/>
  <c r="L9" i="1"/>
  <c r="J9" i="1"/>
  <c r="L8" i="1"/>
  <c r="J8" i="1"/>
  <c r="L7" i="1"/>
  <c r="J7" i="1"/>
  <c r="L5" i="1"/>
  <c r="J5" i="1"/>
  <c r="L6" i="1"/>
  <c r="J6" i="1"/>
  <c r="L31" i="1" l="1"/>
  <c r="B1" i="2" s="1"/>
</calcChain>
</file>

<file path=xl/sharedStrings.xml><?xml version="1.0" encoding="utf-8"?>
<sst xmlns="http://schemas.openxmlformats.org/spreadsheetml/2006/main" count="181" uniqueCount="75">
  <si>
    <t>Price Schedule</t>
  </si>
  <si>
    <t>Purchase Category</t>
  </si>
  <si>
    <t>Description</t>
  </si>
  <si>
    <t>Part #</t>
  </si>
  <si>
    <t>Qty</t>
  </si>
  <si>
    <t>List Price</t>
  </si>
  <si>
    <t>Discount</t>
  </si>
  <si>
    <t xml:space="preserve">Net Price </t>
  </si>
  <si>
    <t>Extended Price</t>
  </si>
  <si>
    <t>Period of Performance</t>
  </si>
  <si>
    <t>Item #</t>
  </si>
  <si>
    <t>Purchase Type</t>
  </si>
  <si>
    <t>SOFTWARE</t>
  </si>
  <si>
    <t>MAINTENANCE</t>
  </si>
  <si>
    <t xml:space="preserve">Total Price </t>
  </si>
  <si>
    <t xml:space="preserve">Time of Delivery: </t>
  </si>
  <si>
    <t xml:space="preserve">Technical Point of Contact: </t>
  </si>
  <si>
    <t xml:space="preserve">Company:  </t>
  </si>
  <si>
    <t xml:space="preserve">Phone: </t>
  </si>
  <si>
    <t xml:space="preserve">Email Address: </t>
  </si>
  <si>
    <t>Total Price</t>
  </si>
  <si>
    <t>Description of Requirement</t>
  </si>
  <si>
    <t>HARDWARE</t>
  </si>
  <si>
    <t>Serial #</t>
  </si>
  <si>
    <t xml:space="preserve">Instructions to Offerors: </t>
  </si>
  <si>
    <t xml:space="preserve">Offeror is to input amounts into the "List Price" and "Net Price" cells. "Discount", "Extended Price", and "Total Price" cells will all be automated based on Offerors inputs for List Price and Net Price. FDIC requests Offerors to provide the most favorable discount to the Government. </t>
  </si>
  <si>
    <t>GOODS</t>
  </si>
  <si>
    <t>48x25G+8x100G 1U TAA AC port side intake and PSU side exhaust</t>
  </si>
  <si>
    <t>QSFP28, 100GE Direct Attach Copper Cable, 1 meter, Standard Temperature (0 through 70 DEGREE C), 0.015W, 30 AWG</t>
  </si>
  <si>
    <t>QSFP28, 100GE Direct Attach Copper Cable, 3 meters, Standard Temperature (0 through 70 DEGREE C), 0.015W, 26 AWG</t>
  </si>
  <si>
    <t>SFP28, 25GE Direct Attach Copper Cable, 1 meter, Standard Temperature (0 through 70 DEGREE C), 0.5W, 30 AWG</t>
  </si>
  <si>
    <t>SFP28, 25GE Direct Attach Copper Cable, 3 meters, Standard Temperature (0 through 70 DEGREE C), 0.5W, 26 AWG</t>
  </si>
  <si>
    <t>QFX5120-48Y-AFO-T</t>
  </si>
  <si>
    <t>JNP-100G-DAC-1M</t>
  </si>
  <si>
    <t>JNP-100G-DAC-3M</t>
  </si>
  <si>
    <t>JNP-SFP-25G-DAC-1M</t>
  </si>
  <si>
    <t>JNP-SFP-25G-DAC-3M</t>
  </si>
  <si>
    <t>N/A</t>
  </si>
  <si>
    <t>One year from Award Date</t>
  </si>
  <si>
    <t>ACX7348 Base Bundle with ACX7348 CHAS, 4 FAN and 2PSU DC or AC</t>
  </si>
  <si>
    <t>ACX7300 Routing Engine, Intel X86 Base CPU, 64GB DDR4 RAM &amp; 100GB SSD</t>
  </si>
  <si>
    <t>ACX7300 AC Power Supply Base Bundle , 2000W</t>
  </si>
  <si>
    <t>Junos Evolved 64-Bit Standard Base Bundle</t>
  </si>
  <si>
    <t>ACX7348 Base Bundle Chassis 3RU, 290mm Depth, 8xQSFP28+ 48xSFP28 , Operating Range -40C to 65C</t>
  </si>
  <si>
    <t>ACX7300 Fan Base Bundle</t>
  </si>
  <si>
    <t>SW, EACX Software Perpetual Advance1 license; Per 400G Capacity, without SW Support</t>
  </si>
  <si>
    <t>ACX7348-BASE</t>
  </si>
  <si>
    <t>ACX7300-RE</t>
  </si>
  <si>
    <t>ACX7300-2K-AC-BB</t>
  </si>
  <si>
    <t>JUNOS-EVO-64-BB</t>
  </si>
  <si>
    <t>ACX7348-CHAS-BB</t>
  </si>
  <si>
    <t>ACX7300-FAN-AO-BB</t>
  </si>
  <si>
    <t>S-EACX-400G-A1-P</t>
  </si>
  <si>
    <t>ACX7300 16xSFP56 (16x50G/25G/10G/1G) (With MACsec) Line Card</t>
  </si>
  <si>
    <t>ACX7300 2xQSFP56-DD/ 2xQSP28-DD+ 4xQSFP28 (2x400G/ 2x200G+4x100G) (With MACsec) Line Card</t>
  </si>
  <si>
    <t>ACX7300-16Y</t>
  </si>
  <si>
    <t>ACX7300-2CD4C</t>
  </si>
  <si>
    <t>SFP+, 10GBASE-LR, SMF 10 km, Extended Temperature (0 through 85 DEGREE C), Duplex LC connector</t>
  </si>
  <si>
    <t>SFP, 1G, SMF 10km and MMF 550m, Extended Temperature (-5 through 70 DegC), Duplex LC connector</t>
  </si>
  <si>
    <t>Juniper Care Next Day Support for QFX5120-48Y-AFO-T &amp; QFX5120-48Y-AFI-T</t>
  </si>
  <si>
    <t>Juniper Care Next Day Support for ACX7348-BASE</t>
  </si>
  <si>
    <t>Juniper Care Next Day Support for ACX7300-16Y</t>
  </si>
  <si>
    <t>Juniper Care Next Day Support for ACX7300-2CD4C</t>
  </si>
  <si>
    <t>Juniper Care Core Support for S-EACX-400G-A1-P</t>
  </si>
  <si>
    <t>Juniper Government Advanced Care Plus</t>
  </si>
  <si>
    <t>SFPP-10G-LR-C</t>
  </si>
  <si>
    <t>SFP-1G-LX-C</t>
  </si>
  <si>
    <t>SVC-ND-QFX5-48-T</t>
  </si>
  <si>
    <t>SVC-ND-ACX7348</t>
  </si>
  <si>
    <t>SVC-ND-ACX73-16Y</t>
  </si>
  <si>
    <t>SVC-ND-ACX73-2CD</t>
  </si>
  <si>
    <t>SVC-COR-EACX400GAP</t>
  </si>
  <si>
    <t>SVC-ADVCARE-P-GOV</t>
  </si>
  <si>
    <t>Requirement Description: Juniper Technical Refresh</t>
  </si>
  <si>
    <t xml:space="preserve">Juniper equipment and maintenance to replace current end of life equipment.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</si>
</sst>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1" x14ac:knownFonts="1">
    <font>
      <sz val="11"/>
      <color theme="1"/>
      <name val="Aptos Narrow"/>
      <family val="2"/>
      <scheme val="minor"/>
    </font>
    <font>
      <b/>
      <sz val="12"/>
      <color theme="1"/>
      <name val="Times New Roman"/>
      <family val="1"/>
    </font>
    <font>
      <sz val="12"/>
      <name val="Times New Roman"/>
      <family val="1"/>
    </font>
    <font>
      <b/>
      <sz val="11"/>
      <color theme="1"/>
      <name val="Times New Roman"/>
      <family val="1"/>
    </font>
    <font>
      <sz val="12"/>
      <color theme="1"/>
      <name val="Aptos Narrow"/>
      <family val="2"/>
      <scheme val="minor"/>
    </font>
    <font>
      <u/>
      <sz val="11"/>
      <color theme="10"/>
      <name val="Aptos Narrow"/>
      <family val="2"/>
      <scheme val="minor"/>
    </font>
    <font>
      <sz val="11"/>
      <color theme="1"/>
      <name val="Aptos Narrow"/>
      <family val="2"/>
      <scheme val="minor"/>
    </font>
    <font>
      <sz val="11"/>
      <color theme="1"/>
      <name val="Times New Roman"/>
      <family val="1"/>
    </font>
    <font>
      <b/>
      <sz val="10"/>
      <name val="Times New Roman"/>
      <family val="1"/>
    </font>
    <font>
      <sz val="10"/>
      <name val="Source Sans Pro"/>
      <family val="2"/>
    </font>
    <font>
      <i/>
      <sz val="11"/>
      <color theme="1"/>
      <name val="Times New Roman"/>
      <family val="1"/>
    </font>
  </fonts>
  <fills count="5">
    <fill>
      <patternFill patternType="none"/>
    </fill>
    <fill>
      <patternFill patternType="gray125"/>
    </fill>
    <fill>
      <patternFill patternType="solid">
        <fgColor theme="0"/>
        <bgColor indexed="64"/>
      </patternFill>
    </fill>
    <fill>
      <patternFill patternType="solid">
        <fgColor theme="4" tint="0.79998168889431442"/>
        <bgColor rgb="FF000000"/>
      </patternFill>
    </fill>
    <fill>
      <patternFill patternType="solid">
        <fgColor theme="0" tint="-4.9989318521683403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ck">
        <color indexed="64"/>
      </bottom>
      <diagonal/>
    </border>
    <border>
      <left/>
      <right/>
      <top style="thick">
        <color indexed="64"/>
      </top>
      <bottom/>
      <diagonal/>
    </border>
    <border>
      <left/>
      <right/>
      <top style="thick">
        <color indexed="64"/>
      </top>
      <bottom style="thick">
        <color indexed="64"/>
      </bottom>
      <diagonal/>
    </border>
    <border>
      <left/>
      <right/>
      <top/>
      <bottom style="thin">
        <color indexed="64"/>
      </bottom>
      <diagonal/>
    </border>
  </borders>
  <cellStyleXfs count="3">
    <xf numFmtId="0" fontId="0" fillId="0" borderId="0"/>
    <xf numFmtId="0" fontId="5" fillId="0" borderId="0" applyNumberFormat="0" applyFill="0" applyBorder="0" applyAlignment="0" applyProtection="0"/>
    <xf numFmtId="44" fontId="6" fillId="0" borderId="0" applyFont="0" applyFill="0" applyBorder="0" applyAlignment="0" applyProtection="0"/>
  </cellStyleXfs>
  <cellXfs count="34">
    <xf numFmtId="0" fontId="0" fillId="0" borderId="0" xfId="0"/>
    <xf numFmtId="0" fontId="1" fillId="0" borderId="2" xfId="0" applyFont="1" applyBorder="1" applyAlignment="1">
      <alignment horizontal="center" vertical="center" wrapText="1"/>
    </xf>
    <xf numFmtId="44" fontId="2" fillId="0" borderId="3" xfId="0" applyNumberFormat="1" applyFont="1" applyBorder="1" applyAlignment="1">
      <alignment horizontal="center" vertical="center" wrapText="1"/>
    </xf>
    <xf numFmtId="0" fontId="1" fillId="0" borderId="0" xfId="0" applyFont="1" applyAlignment="1">
      <alignment horizontal="center" vertical="center" wrapText="1"/>
    </xf>
    <xf numFmtId="44" fontId="2" fillId="0" borderId="0" xfId="0" applyNumberFormat="1" applyFont="1" applyAlignment="1">
      <alignment horizontal="center" vertical="center" wrapText="1"/>
    </xf>
    <xf numFmtId="0" fontId="3" fillId="0" borderId="0" xfId="0" applyFont="1" applyAlignment="1">
      <alignment horizontal="center" vertical="center"/>
    </xf>
    <xf numFmtId="0" fontId="1" fillId="0" borderId="0" xfId="0" applyFont="1" applyAlignment="1">
      <alignment horizontal="left" vertical="center"/>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7" fillId="0" borderId="0" xfId="0" applyFont="1"/>
    <xf numFmtId="0" fontId="8" fillId="0" borderId="1" xfId="0" applyFont="1" applyBorder="1" applyAlignment="1">
      <alignment horizontal="center"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3" fillId="0" borderId="1" xfId="0" applyFont="1" applyBorder="1" applyAlignment="1">
      <alignment horizontal="center" vertical="center"/>
    </xf>
    <xf numFmtId="164" fontId="7" fillId="0" borderId="1" xfId="2" applyNumberFormat="1" applyFont="1" applyBorder="1" applyAlignment="1">
      <alignment horizontal="center" vertical="center"/>
    </xf>
    <xf numFmtId="164" fontId="7" fillId="0" borderId="1" xfId="0" applyNumberFormat="1" applyFont="1" applyBorder="1" applyAlignment="1">
      <alignment horizontal="center" vertical="center"/>
    </xf>
    <xf numFmtId="0" fontId="9" fillId="3" borderId="1" xfId="0" applyFont="1" applyFill="1" applyBorder="1" applyAlignment="1">
      <alignment horizontal="center" vertical="center" wrapText="1"/>
    </xf>
    <xf numFmtId="49" fontId="9" fillId="3" borderId="1" xfId="0" applyNumberFormat="1" applyFont="1" applyFill="1" applyBorder="1" applyAlignment="1">
      <alignment horizontal="center" vertical="center"/>
    </xf>
    <xf numFmtId="49" fontId="9" fillId="3" borderId="1" xfId="0" applyNumberFormat="1" applyFont="1" applyFill="1" applyBorder="1" applyAlignment="1">
      <alignment horizontal="center" vertical="center" wrapText="1"/>
    </xf>
    <xf numFmtId="0" fontId="7" fillId="0" borderId="7" xfId="0" applyFont="1" applyBorder="1" applyAlignment="1">
      <alignment wrapText="1"/>
    </xf>
    <xf numFmtId="164" fontId="7" fillId="4" borderId="1" xfId="2" applyNumberFormat="1" applyFont="1" applyFill="1" applyBorder="1" applyAlignment="1">
      <alignment horizontal="center" vertical="center"/>
    </xf>
    <xf numFmtId="0" fontId="5" fillId="0" borderId="6" xfId="1" applyBorder="1" applyAlignment="1">
      <alignment horizontal="center"/>
    </xf>
    <xf numFmtId="0" fontId="4" fillId="0" borderId="6" xfId="0" applyFont="1" applyBorder="1" applyAlignment="1">
      <alignment horizontal="center"/>
    </xf>
    <xf numFmtId="14" fontId="4" fillId="0" borderId="4" xfId="0" applyNumberFormat="1" applyFont="1" applyBorder="1" applyAlignment="1">
      <alignment horizontal="center"/>
    </xf>
    <xf numFmtId="0" fontId="4" fillId="0" borderId="4" xfId="0" applyFont="1" applyBorder="1" applyAlignment="1">
      <alignment horizontal="center"/>
    </xf>
    <xf numFmtId="0" fontId="4" fillId="0" borderId="0" xfId="0" applyFont="1" applyAlignment="1">
      <alignment horizontal="center"/>
    </xf>
    <xf numFmtId="0" fontId="4" fillId="0" borderId="5" xfId="0" applyFont="1" applyBorder="1" applyAlignment="1">
      <alignment horizontal="center"/>
    </xf>
    <xf numFmtId="0" fontId="1" fillId="0" borderId="1" xfId="0" applyFont="1" applyBorder="1" applyAlignment="1">
      <alignment horizontal="center"/>
    </xf>
    <xf numFmtId="0" fontId="10" fillId="0" borderId="7" xfId="0" applyFont="1" applyBorder="1" applyAlignment="1">
      <alignment horizontal="left" wrapText="1"/>
    </xf>
    <xf numFmtId="0" fontId="3" fillId="0" borderId="7" xfId="0" applyFont="1" applyBorder="1" applyAlignment="1">
      <alignment horizontal="center" vertical="center"/>
    </xf>
    <xf numFmtId="0" fontId="9" fillId="3" borderId="1" xfId="0" applyFont="1" applyFill="1" applyBorder="1" applyAlignment="1">
      <alignment horizontal="left" vertical="top" wrapText="1"/>
    </xf>
    <xf numFmtId="0" fontId="0" fillId="0" borderId="0" xfId="0" applyAlignment="1">
      <alignment horizontal="left"/>
    </xf>
    <xf numFmtId="0" fontId="2" fillId="0" borderId="0" xfId="0" applyFont="1" applyAlignment="1">
      <alignment horizontal="left" vertical="center" wrapText="1"/>
    </xf>
  </cellXfs>
  <cellStyles count="3">
    <cellStyle name="Currency" xfId="2" builtinId="4"/>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AC89D-088B-4271-A959-99F31EBB280B}">
  <sheetPr>
    <pageSetUpPr fitToPage="1"/>
  </sheetPr>
  <dimension ref="A1:J11"/>
  <sheetViews>
    <sheetView tabSelected="1" workbookViewId="0">
      <selection activeCell="J4" sqref="J4:J5"/>
    </sheetView>
  </sheetViews>
  <sheetFormatPr defaultRowHeight="15" x14ac:dyDescent="0.25"/>
  <cols>
    <col min="1" max="1" width="27.7109375" bestFit="1" customWidth="1"/>
    <col min="2" max="2" width="34.7109375" customWidth="1"/>
  </cols>
  <sheetData>
    <row r="1" spans="1:10" ht="48" customHeight="1" thickBot="1" x14ac:dyDescent="0.3">
      <c r="A1" s="1" t="s">
        <v>14</v>
      </c>
      <c r="B1" s="2">
        <f>'Price Schedule'!L31</f>
        <v>0</v>
      </c>
    </row>
    <row r="2" spans="1:10" ht="15.75" x14ac:dyDescent="0.25">
      <c r="A2" s="3"/>
      <c r="B2" s="4"/>
    </row>
    <row r="3" spans="1:10" ht="80.25" customHeight="1" x14ac:dyDescent="0.25">
      <c r="A3" s="3" t="s">
        <v>21</v>
      </c>
      <c r="B3" s="33" t="s">
        <v>74</v>
      </c>
      <c r="C3" s="33"/>
      <c r="D3" s="33"/>
      <c r="E3" s="33"/>
    </row>
    <row r="4" spans="1:10" x14ac:dyDescent="0.25">
      <c r="A4" s="5"/>
    </row>
    <row r="6" spans="1:10" ht="31.15" customHeight="1" thickBot="1" x14ac:dyDescent="0.3">
      <c r="A6" s="6" t="s">
        <v>15</v>
      </c>
      <c r="B6" s="24"/>
      <c r="C6" s="25"/>
      <c r="D6" s="25"/>
      <c r="E6" s="7"/>
      <c r="J6" s="32"/>
    </row>
    <row r="7" spans="1:10" ht="27" customHeight="1" thickTop="1" thickBot="1" x14ac:dyDescent="0.3">
      <c r="A7" s="6" t="s">
        <v>16</v>
      </c>
      <c r="B7" s="26"/>
      <c r="C7" s="26"/>
      <c r="D7" s="26"/>
      <c r="E7" s="8"/>
    </row>
    <row r="8" spans="1:10" ht="24" customHeight="1" thickTop="1" thickBot="1" x14ac:dyDescent="0.3">
      <c r="A8" s="6" t="s">
        <v>17</v>
      </c>
      <c r="B8" s="27"/>
      <c r="C8" s="27"/>
      <c r="D8" s="27"/>
      <c r="E8" s="9"/>
    </row>
    <row r="9" spans="1:10" ht="26.45" customHeight="1" thickTop="1" thickBot="1" x14ac:dyDescent="0.3">
      <c r="A9" s="6" t="s">
        <v>18</v>
      </c>
      <c r="B9" s="27"/>
      <c r="C9" s="27"/>
      <c r="D9" s="27"/>
      <c r="E9" s="9"/>
    </row>
    <row r="10" spans="1:10" ht="25.9" customHeight="1" thickTop="1" thickBot="1" x14ac:dyDescent="0.3">
      <c r="A10" s="6" t="s">
        <v>19</v>
      </c>
      <c r="B10" s="22"/>
      <c r="C10" s="23"/>
      <c r="D10" s="23"/>
      <c r="E10" s="9"/>
    </row>
    <row r="11" spans="1:10" ht="15.75" thickTop="1" x14ac:dyDescent="0.25"/>
  </sheetData>
  <mergeCells count="6">
    <mergeCell ref="B10:D10"/>
    <mergeCell ref="B3:E3"/>
    <mergeCell ref="B6:D6"/>
    <mergeCell ref="B7:D7"/>
    <mergeCell ref="B8:D8"/>
    <mergeCell ref="B9:D9"/>
  </mergeCells>
  <pageMargins left="0.7" right="0.7" top="0.75" bottom="0.75" header="0.3" footer="0.3"/>
  <pageSetup orientation="portrait" horizontalDpi="1200" verticalDpi="1200" r:id="rId1"/>
  <headerFooter>
    <oddHeader>&amp;C&amp;"Source Sans Pro SemiBold"&amp;12&amp;K000000 NONPUBLIC//FDIC INTERNAL ONLY&amp;1#_x000D_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DC2AD-7A5A-46C6-ADF4-8FACC021B9C4}">
  <sheetPr>
    <pageSetUpPr fitToPage="1"/>
  </sheetPr>
  <dimension ref="A1:L31"/>
  <sheetViews>
    <sheetView workbookViewId="0">
      <selection activeCell="D9" sqref="D9"/>
    </sheetView>
  </sheetViews>
  <sheetFormatPr defaultRowHeight="15" x14ac:dyDescent="0.25"/>
  <cols>
    <col min="1" max="1" width="8.7109375" style="10" customWidth="1"/>
    <col min="2" max="2" width="15.85546875" style="10" customWidth="1"/>
    <col min="3" max="3" width="16.5703125" style="10" customWidth="1"/>
    <col min="4" max="4" width="50" style="10" customWidth="1"/>
    <col min="5" max="6" width="17.28515625" style="10" customWidth="1"/>
    <col min="7" max="7" width="25.7109375" style="10" customWidth="1"/>
    <col min="8" max="8" width="8.28515625" style="10" customWidth="1"/>
    <col min="9" max="9" width="17.28515625" style="10" bestFit="1" customWidth="1"/>
    <col min="10" max="10" width="16.42578125" style="10" customWidth="1"/>
    <col min="11" max="11" width="17.140625" style="10" customWidth="1"/>
    <col min="12" max="12" width="20.28515625" style="10" customWidth="1"/>
    <col min="13" max="16384" width="9.140625" style="10"/>
  </cols>
  <sheetData>
    <row r="1" spans="1:12" ht="67.5" customHeight="1" x14ac:dyDescent="0.25">
      <c r="A1" s="30" t="s">
        <v>24</v>
      </c>
      <c r="B1" s="30"/>
      <c r="C1" s="29" t="s">
        <v>25</v>
      </c>
      <c r="D1" s="29"/>
      <c r="E1" s="29"/>
      <c r="F1" s="29"/>
      <c r="G1" s="29"/>
      <c r="H1" s="20"/>
      <c r="I1" s="20"/>
      <c r="J1" s="20"/>
      <c r="K1" s="20"/>
      <c r="L1" s="20"/>
    </row>
    <row r="2" spans="1:12" ht="15.75" x14ac:dyDescent="0.25">
      <c r="A2" s="28" t="s">
        <v>0</v>
      </c>
      <c r="B2" s="28"/>
      <c r="C2" s="28"/>
      <c r="D2" s="28"/>
      <c r="E2" s="28"/>
      <c r="F2" s="28"/>
      <c r="G2" s="28"/>
      <c r="H2" s="28"/>
      <c r="I2" s="28"/>
      <c r="J2" s="28"/>
      <c r="K2" s="28"/>
      <c r="L2" s="28"/>
    </row>
    <row r="3" spans="1:12" ht="15.75" x14ac:dyDescent="0.25">
      <c r="A3" s="28" t="s">
        <v>73</v>
      </c>
      <c r="B3" s="28"/>
      <c r="C3" s="28"/>
      <c r="D3" s="28"/>
      <c r="E3" s="28"/>
      <c r="F3" s="28"/>
      <c r="G3" s="28"/>
      <c r="H3" s="28"/>
      <c r="I3" s="28"/>
      <c r="J3" s="28"/>
      <c r="K3" s="28"/>
      <c r="L3" s="28"/>
    </row>
    <row r="4" spans="1:12" ht="25.5" x14ac:dyDescent="0.25">
      <c r="A4" s="11" t="s">
        <v>10</v>
      </c>
      <c r="B4" s="12" t="s">
        <v>1</v>
      </c>
      <c r="C4" s="13" t="s">
        <v>11</v>
      </c>
      <c r="D4" s="13" t="s">
        <v>2</v>
      </c>
      <c r="E4" s="13" t="s">
        <v>3</v>
      </c>
      <c r="F4" s="13" t="s">
        <v>23</v>
      </c>
      <c r="G4" s="14" t="s">
        <v>9</v>
      </c>
      <c r="H4" s="14" t="s">
        <v>4</v>
      </c>
      <c r="I4" s="14" t="s">
        <v>5</v>
      </c>
      <c r="J4" s="14" t="s">
        <v>6</v>
      </c>
      <c r="K4" s="14" t="s">
        <v>7</v>
      </c>
      <c r="L4" s="14" t="s">
        <v>8</v>
      </c>
    </row>
    <row r="5" spans="1:12" ht="27" x14ac:dyDescent="0.25">
      <c r="A5" s="17">
        <v>1</v>
      </c>
      <c r="B5" s="17" t="s">
        <v>22</v>
      </c>
      <c r="C5" s="17" t="s">
        <v>26</v>
      </c>
      <c r="D5" s="31" t="s">
        <v>27</v>
      </c>
      <c r="E5" s="17" t="s">
        <v>32</v>
      </c>
      <c r="F5" s="19" t="s">
        <v>37</v>
      </c>
      <c r="G5" s="18" t="s">
        <v>38</v>
      </c>
      <c r="H5" s="17">
        <v>8</v>
      </c>
      <c r="I5" s="21">
        <v>0</v>
      </c>
      <c r="J5" s="15">
        <f t="shared" ref="J5" si="0">I5-K5</f>
        <v>0</v>
      </c>
      <c r="K5" s="21">
        <v>0</v>
      </c>
      <c r="L5" s="15">
        <f t="shared" ref="L5" si="1">K5*H5</f>
        <v>0</v>
      </c>
    </row>
    <row r="6" spans="1:12" ht="40.5" x14ac:dyDescent="0.25">
      <c r="A6" s="17">
        <v>2</v>
      </c>
      <c r="B6" s="17" t="s">
        <v>22</v>
      </c>
      <c r="C6" s="17" t="s">
        <v>26</v>
      </c>
      <c r="D6" s="31" t="s">
        <v>28</v>
      </c>
      <c r="E6" s="17" t="s">
        <v>33</v>
      </c>
      <c r="F6" s="19" t="s">
        <v>37</v>
      </c>
      <c r="G6" s="18" t="s">
        <v>38</v>
      </c>
      <c r="H6" s="17">
        <v>10</v>
      </c>
      <c r="I6" s="21">
        <v>0</v>
      </c>
      <c r="J6" s="15">
        <f>I6-K6</f>
        <v>0</v>
      </c>
      <c r="K6" s="21">
        <v>0</v>
      </c>
      <c r="L6" s="15">
        <f>K6*H6</f>
        <v>0</v>
      </c>
    </row>
    <row r="7" spans="1:12" ht="40.5" x14ac:dyDescent="0.25">
      <c r="A7" s="17">
        <v>3</v>
      </c>
      <c r="B7" s="17" t="s">
        <v>22</v>
      </c>
      <c r="C7" s="17" t="s">
        <v>26</v>
      </c>
      <c r="D7" s="31" t="s">
        <v>29</v>
      </c>
      <c r="E7" s="17" t="s">
        <v>34</v>
      </c>
      <c r="F7" s="19" t="s">
        <v>37</v>
      </c>
      <c r="G7" s="18" t="s">
        <v>38</v>
      </c>
      <c r="H7" s="17">
        <v>10</v>
      </c>
      <c r="I7" s="21">
        <v>0</v>
      </c>
      <c r="J7" s="15">
        <f t="shared" ref="J7:J30" si="2">I7-K7</f>
        <v>0</v>
      </c>
      <c r="K7" s="21">
        <v>0</v>
      </c>
      <c r="L7" s="15">
        <f t="shared" ref="L7:L30" si="3">K7*H7</f>
        <v>0</v>
      </c>
    </row>
    <row r="8" spans="1:12" ht="40.5" x14ac:dyDescent="0.25">
      <c r="A8" s="17">
        <v>4</v>
      </c>
      <c r="B8" s="17" t="s">
        <v>22</v>
      </c>
      <c r="C8" s="17" t="s">
        <v>26</v>
      </c>
      <c r="D8" s="31" t="s">
        <v>30</v>
      </c>
      <c r="E8" s="17" t="s">
        <v>35</v>
      </c>
      <c r="F8" s="19" t="s">
        <v>37</v>
      </c>
      <c r="G8" s="18" t="s">
        <v>38</v>
      </c>
      <c r="H8" s="17">
        <v>35</v>
      </c>
      <c r="I8" s="21">
        <v>0</v>
      </c>
      <c r="J8" s="15">
        <f t="shared" si="2"/>
        <v>0</v>
      </c>
      <c r="K8" s="21">
        <v>0</v>
      </c>
      <c r="L8" s="15">
        <f t="shared" si="3"/>
        <v>0</v>
      </c>
    </row>
    <row r="9" spans="1:12" ht="40.5" x14ac:dyDescent="0.25">
      <c r="A9" s="17">
        <v>5</v>
      </c>
      <c r="B9" s="17" t="s">
        <v>22</v>
      </c>
      <c r="C9" s="17" t="s">
        <v>26</v>
      </c>
      <c r="D9" s="31" t="s">
        <v>31</v>
      </c>
      <c r="E9" s="17" t="s">
        <v>36</v>
      </c>
      <c r="F9" s="19" t="s">
        <v>37</v>
      </c>
      <c r="G9" s="18" t="s">
        <v>38</v>
      </c>
      <c r="H9" s="17">
        <v>35</v>
      </c>
      <c r="I9" s="21">
        <v>0</v>
      </c>
      <c r="J9" s="15">
        <f t="shared" si="2"/>
        <v>0</v>
      </c>
      <c r="K9" s="21">
        <v>0</v>
      </c>
      <c r="L9" s="15">
        <f t="shared" si="3"/>
        <v>0</v>
      </c>
    </row>
    <row r="10" spans="1:12" ht="27" x14ac:dyDescent="0.25">
      <c r="A10" s="17">
        <v>6</v>
      </c>
      <c r="B10" s="17" t="s">
        <v>22</v>
      </c>
      <c r="C10" s="17" t="s">
        <v>26</v>
      </c>
      <c r="D10" s="31" t="s">
        <v>39</v>
      </c>
      <c r="E10" s="17" t="s">
        <v>46</v>
      </c>
      <c r="F10" s="19" t="s">
        <v>37</v>
      </c>
      <c r="G10" s="18" t="s">
        <v>38</v>
      </c>
      <c r="H10" s="17">
        <v>16</v>
      </c>
      <c r="I10" s="21">
        <v>0</v>
      </c>
      <c r="J10" s="15">
        <f t="shared" si="2"/>
        <v>0</v>
      </c>
      <c r="K10" s="21">
        <v>0</v>
      </c>
      <c r="L10" s="15">
        <f t="shared" si="3"/>
        <v>0</v>
      </c>
    </row>
    <row r="11" spans="1:12" ht="27" x14ac:dyDescent="0.25">
      <c r="A11" s="17">
        <v>7</v>
      </c>
      <c r="B11" s="17" t="s">
        <v>22</v>
      </c>
      <c r="C11" s="17" t="s">
        <v>26</v>
      </c>
      <c r="D11" s="31" t="s">
        <v>40</v>
      </c>
      <c r="E11" s="17" t="s">
        <v>47</v>
      </c>
      <c r="F11" s="19" t="s">
        <v>37</v>
      </c>
      <c r="G11" s="18" t="s">
        <v>38</v>
      </c>
      <c r="H11" s="17">
        <v>32</v>
      </c>
      <c r="I11" s="21">
        <v>0</v>
      </c>
      <c r="J11" s="15">
        <f t="shared" si="2"/>
        <v>0</v>
      </c>
      <c r="K11" s="21">
        <v>0</v>
      </c>
      <c r="L11" s="15">
        <f t="shared" si="3"/>
        <v>0</v>
      </c>
    </row>
    <row r="12" spans="1:12" ht="27" x14ac:dyDescent="0.25">
      <c r="A12" s="17">
        <v>8</v>
      </c>
      <c r="B12" s="17" t="s">
        <v>22</v>
      </c>
      <c r="C12" s="17" t="s">
        <v>26</v>
      </c>
      <c r="D12" s="31" t="s">
        <v>41</v>
      </c>
      <c r="E12" s="17" t="s">
        <v>48</v>
      </c>
      <c r="F12" s="19" t="s">
        <v>37</v>
      </c>
      <c r="G12" s="18" t="s">
        <v>38</v>
      </c>
      <c r="H12" s="17">
        <v>32</v>
      </c>
      <c r="I12" s="21">
        <v>0</v>
      </c>
      <c r="J12" s="15">
        <f t="shared" si="2"/>
        <v>0</v>
      </c>
      <c r="K12" s="21">
        <v>0</v>
      </c>
      <c r="L12" s="15">
        <f t="shared" si="3"/>
        <v>0</v>
      </c>
    </row>
    <row r="13" spans="1:12" x14ac:dyDescent="0.25">
      <c r="A13" s="17">
        <v>9</v>
      </c>
      <c r="B13" s="17" t="s">
        <v>22</v>
      </c>
      <c r="C13" s="17" t="s">
        <v>26</v>
      </c>
      <c r="D13" s="31" t="s">
        <v>42</v>
      </c>
      <c r="E13" s="17" t="s">
        <v>49</v>
      </c>
      <c r="F13" s="19" t="s">
        <v>37</v>
      </c>
      <c r="G13" s="18" t="s">
        <v>38</v>
      </c>
      <c r="H13" s="17">
        <v>16</v>
      </c>
      <c r="I13" s="21">
        <v>0</v>
      </c>
      <c r="J13" s="15">
        <f t="shared" si="2"/>
        <v>0</v>
      </c>
      <c r="K13" s="21">
        <v>0</v>
      </c>
      <c r="L13" s="15">
        <f t="shared" si="3"/>
        <v>0</v>
      </c>
    </row>
    <row r="14" spans="1:12" ht="40.5" x14ac:dyDescent="0.25">
      <c r="A14" s="17">
        <v>10</v>
      </c>
      <c r="B14" s="17" t="s">
        <v>22</v>
      </c>
      <c r="C14" s="17" t="s">
        <v>26</v>
      </c>
      <c r="D14" s="31" t="s">
        <v>43</v>
      </c>
      <c r="E14" s="17" t="s">
        <v>50</v>
      </c>
      <c r="F14" s="19" t="s">
        <v>37</v>
      </c>
      <c r="G14" s="18" t="s">
        <v>38</v>
      </c>
      <c r="H14" s="17">
        <v>16</v>
      </c>
      <c r="I14" s="21">
        <v>0</v>
      </c>
      <c r="J14" s="15">
        <f t="shared" si="2"/>
        <v>0</v>
      </c>
      <c r="K14" s="21">
        <v>0</v>
      </c>
      <c r="L14" s="15">
        <f t="shared" si="3"/>
        <v>0</v>
      </c>
    </row>
    <row r="15" spans="1:12" x14ac:dyDescent="0.25">
      <c r="A15" s="17">
        <v>11</v>
      </c>
      <c r="B15" s="17" t="s">
        <v>22</v>
      </c>
      <c r="C15" s="17" t="s">
        <v>26</v>
      </c>
      <c r="D15" s="31" t="s">
        <v>44</v>
      </c>
      <c r="E15" s="17" t="s">
        <v>51</v>
      </c>
      <c r="F15" s="19" t="s">
        <v>37</v>
      </c>
      <c r="G15" s="18" t="s">
        <v>38</v>
      </c>
      <c r="H15" s="17">
        <v>64</v>
      </c>
      <c r="I15" s="21">
        <v>0</v>
      </c>
      <c r="J15" s="15">
        <f t="shared" si="2"/>
        <v>0</v>
      </c>
      <c r="K15" s="21">
        <v>0</v>
      </c>
      <c r="L15" s="15">
        <f t="shared" si="3"/>
        <v>0</v>
      </c>
    </row>
    <row r="16" spans="1:12" ht="40.5" x14ac:dyDescent="0.25">
      <c r="A16" s="17">
        <v>12</v>
      </c>
      <c r="B16" s="17" t="s">
        <v>12</v>
      </c>
      <c r="C16" s="17" t="s">
        <v>26</v>
      </c>
      <c r="D16" s="31" t="s">
        <v>45</v>
      </c>
      <c r="E16" s="17" t="s">
        <v>52</v>
      </c>
      <c r="F16" s="19" t="s">
        <v>37</v>
      </c>
      <c r="G16" s="18" t="s">
        <v>38</v>
      </c>
      <c r="H16" s="17">
        <v>16</v>
      </c>
      <c r="I16" s="21">
        <v>0</v>
      </c>
      <c r="J16" s="15">
        <f t="shared" si="2"/>
        <v>0</v>
      </c>
      <c r="K16" s="21">
        <v>0</v>
      </c>
      <c r="L16" s="15">
        <f t="shared" si="3"/>
        <v>0</v>
      </c>
    </row>
    <row r="17" spans="1:12" ht="27" x14ac:dyDescent="0.25">
      <c r="A17" s="17">
        <v>13</v>
      </c>
      <c r="B17" s="17" t="s">
        <v>22</v>
      </c>
      <c r="C17" s="17" t="s">
        <v>26</v>
      </c>
      <c r="D17" s="31" t="s">
        <v>53</v>
      </c>
      <c r="E17" s="17" t="s">
        <v>55</v>
      </c>
      <c r="F17" s="19" t="s">
        <v>37</v>
      </c>
      <c r="G17" s="18" t="s">
        <v>38</v>
      </c>
      <c r="H17" s="17">
        <v>16</v>
      </c>
      <c r="I17" s="21">
        <v>0</v>
      </c>
      <c r="J17" s="15">
        <f t="shared" si="2"/>
        <v>0</v>
      </c>
      <c r="K17" s="21">
        <v>0</v>
      </c>
      <c r="L17" s="15">
        <f t="shared" si="3"/>
        <v>0</v>
      </c>
    </row>
    <row r="18" spans="1:12" ht="40.5" x14ac:dyDescent="0.25">
      <c r="A18" s="17">
        <v>14</v>
      </c>
      <c r="B18" s="17" t="s">
        <v>22</v>
      </c>
      <c r="C18" s="17" t="s">
        <v>26</v>
      </c>
      <c r="D18" s="31" t="s">
        <v>54</v>
      </c>
      <c r="E18" s="17" t="s">
        <v>56</v>
      </c>
      <c r="F18" s="19" t="s">
        <v>37</v>
      </c>
      <c r="G18" s="18" t="s">
        <v>38</v>
      </c>
      <c r="H18" s="17">
        <v>32</v>
      </c>
      <c r="I18" s="21">
        <v>0</v>
      </c>
      <c r="J18" s="15">
        <f t="shared" si="2"/>
        <v>0</v>
      </c>
      <c r="K18" s="21">
        <v>0</v>
      </c>
      <c r="L18" s="15">
        <f t="shared" si="3"/>
        <v>0</v>
      </c>
    </row>
    <row r="19" spans="1:12" ht="40.5" x14ac:dyDescent="0.25">
      <c r="A19" s="17">
        <v>15</v>
      </c>
      <c r="B19" s="17" t="s">
        <v>22</v>
      </c>
      <c r="C19" s="17" t="s">
        <v>26</v>
      </c>
      <c r="D19" s="31" t="s">
        <v>28</v>
      </c>
      <c r="E19" s="17" t="s">
        <v>33</v>
      </c>
      <c r="F19" s="19" t="s">
        <v>37</v>
      </c>
      <c r="G19" s="18" t="s">
        <v>38</v>
      </c>
      <c r="H19" s="17">
        <v>75</v>
      </c>
      <c r="I19" s="21">
        <v>0</v>
      </c>
      <c r="J19" s="15">
        <f t="shared" si="2"/>
        <v>0</v>
      </c>
      <c r="K19" s="21">
        <v>0</v>
      </c>
      <c r="L19" s="15">
        <f t="shared" si="3"/>
        <v>0</v>
      </c>
    </row>
    <row r="20" spans="1:12" ht="40.5" x14ac:dyDescent="0.25">
      <c r="A20" s="17">
        <v>16</v>
      </c>
      <c r="B20" s="17" t="s">
        <v>22</v>
      </c>
      <c r="C20" s="17" t="s">
        <v>26</v>
      </c>
      <c r="D20" s="31" t="s">
        <v>29</v>
      </c>
      <c r="E20" s="17" t="s">
        <v>34</v>
      </c>
      <c r="F20" s="19" t="s">
        <v>37</v>
      </c>
      <c r="G20" s="18" t="s">
        <v>38</v>
      </c>
      <c r="H20" s="17">
        <v>75</v>
      </c>
      <c r="I20" s="21">
        <v>0</v>
      </c>
      <c r="J20" s="15">
        <f t="shared" si="2"/>
        <v>0</v>
      </c>
      <c r="K20" s="21">
        <v>0</v>
      </c>
      <c r="L20" s="15">
        <f t="shared" si="3"/>
        <v>0</v>
      </c>
    </row>
    <row r="21" spans="1:12" ht="40.5" x14ac:dyDescent="0.25">
      <c r="A21" s="17">
        <v>17</v>
      </c>
      <c r="B21" s="17" t="s">
        <v>22</v>
      </c>
      <c r="C21" s="17" t="s">
        <v>26</v>
      </c>
      <c r="D21" s="31" t="s">
        <v>30</v>
      </c>
      <c r="E21" s="17" t="s">
        <v>35</v>
      </c>
      <c r="F21" s="19" t="s">
        <v>37</v>
      </c>
      <c r="G21" s="18" t="s">
        <v>38</v>
      </c>
      <c r="H21" s="17">
        <v>50</v>
      </c>
      <c r="I21" s="21">
        <v>0</v>
      </c>
      <c r="J21" s="15">
        <f t="shared" si="2"/>
        <v>0</v>
      </c>
      <c r="K21" s="21">
        <v>0</v>
      </c>
      <c r="L21" s="15">
        <f t="shared" si="3"/>
        <v>0</v>
      </c>
    </row>
    <row r="22" spans="1:12" ht="40.5" x14ac:dyDescent="0.25">
      <c r="A22" s="17">
        <v>18</v>
      </c>
      <c r="B22" s="17" t="s">
        <v>22</v>
      </c>
      <c r="C22" s="17" t="s">
        <v>26</v>
      </c>
      <c r="D22" s="31" t="s">
        <v>31</v>
      </c>
      <c r="E22" s="17" t="s">
        <v>36</v>
      </c>
      <c r="F22" s="19" t="s">
        <v>37</v>
      </c>
      <c r="G22" s="18" t="s">
        <v>38</v>
      </c>
      <c r="H22" s="17">
        <v>50</v>
      </c>
      <c r="I22" s="21">
        <v>0</v>
      </c>
      <c r="J22" s="15">
        <f t="shared" si="2"/>
        <v>0</v>
      </c>
      <c r="K22" s="21">
        <v>0</v>
      </c>
      <c r="L22" s="15">
        <f t="shared" si="3"/>
        <v>0</v>
      </c>
    </row>
    <row r="23" spans="1:12" ht="40.5" x14ac:dyDescent="0.25">
      <c r="A23" s="17">
        <v>19</v>
      </c>
      <c r="B23" s="17" t="s">
        <v>22</v>
      </c>
      <c r="C23" s="17" t="s">
        <v>26</v>
      </c>
      <c r="D23" s="31" t="s">
        <v>57</v>
      </c>
      <c r="E23" s="17" t="s">
        <v>65</v>
      </c>
      <c r="F23" s="19" t="s">
        <v>37</v>
      </c>
      <c r="G23" s="18" t="s">
        <v>38</v>
      </c>
      <c r="H23" s="17">
        <v>130</v>
      </c>
      <c r="I23" s="21">
        <v>0</v>
      </c>
      <c r="J23" s="15">
        <f t="shared" si="2"/>
        <v>0</v>
      </c>
      <c r="K23" s="21">
        <v>0</v>
      </c>
      <c r="L23" s="15">
        <f t="shared" si="3"/>
        <v>0</v>
      </c>
    </row>
    <row r="24" spans="1:12" ht="40.5" x14ac:dyDescent="0.25">
      <c r="A24" s="17">
        <v>20</v>
      </c>
      <c r="B24" s="17" t="s">
        <v>22</v>
      </c>
      <c r="C24" s="17" t="s">
        <v>26</v>
      </c>
      <c r="D24" s="31" t="s">
        <v>58</v>
      </c>
      <c r="E24" s="17" t="s">
        <v>66</v>
      </c>
      <c r="F24" s="19" t="s">
        <v>37</v>
      </c>
      <c r="G24" s="18" t="s">
        <v>38</v>
      </c>
      <c r="H24" s="17">
        <v>100</v>
      </c>
      <c r="I24" s="21">
        <v>0</v>
      </c>
      <c r="J24" s="15">
        <f t="shared" si="2"/>
        <v>0</v>
      </c>
      <c r="K24" s="21">
        <v>0</v>
      </c>
      <c r="L24" s="15">
        <f t="shared" si="3"/>
        <v>0</v>
      </c>
    </row>
    <row r="25" spans="1:12" ht="27" x14ac:dyDescent="0.25">
      <c r="A25" s="17">
        <v>21</v>
      </c>
      <c r="B25" s="17" t="s">
        <v>22</v>
      </c>
      <c r="C25" s="17" t="s">
        <v>13</v>
      </c>
      <c r="D25" s="31" t="s">
        <v>59</v>
      </c>
      <c r="E25" s="17" t="s">
        <v>67</v>
      </c>
      <c r="F25" s="19" t="s">
        <v>37</v>
      </c>
      <c r="G25" s="18" t="s">
        <v>38</v>
      </c>
      <c r="H25" s="17">
        <v>8</v>
      </c>
      <c r="I25" s="21">
        <v>0</v>
      </c>
      <c r="J25" s="15">
        <f t="shared" si="2"/>
        <v>0</v>
      </c>
      <c r="K25" s="21">
        <v>0</v>
      </c>
      <c r="L25" s="15">
        <f t="shared" si="3"/>
        <v>0</v>
      </c>
    </row>
    <row r="26" spans="1:12" ht="27" x14ac:dyDescent="0.25">
      <c r="A26" s="17">
        <v>22</v>
      </c>
      <c r="B26" s="17" t="s">
        <v>22</v>
      </c>
      <c r="C26" s="17" t="s">
        <v>13</v>
      </c>
      <c r="D26" s="31" t="s">
        <v>60</v>
      </c>
      <c r="E26" s="17" t="s">
        <v>68</v>
      </c>
      <c r="F26" s="19" t="s">
        <v>37</v>
      </c>
      <c r="G26" s="18" t="s">
        <v>38</v>
      </c>
      <c r="H26" s="17">
        <v>16</v>
      </c>
      <c r="I26" s="21">
        <v>0</v>
      </c>
      <c r="J26" s="15">
        <f t="shared" si="2"/>
        <v>0</v>
      </c>
      <c r="K26" s="21">
        <v>0</v>
      </c>
      <c r="L26" s="15">
        <f t="shared" si="3"/>
        <v>0</v>
      </c>
    </row>
    <row r="27" spans="1:12" ht="27" x14ac:dyDescent="0.25">
      <c r="A27" s="17">
        <v>23</v>
      </c>
      <c r="B27" s="17" t="s">
        <v>22</v>
      </c>
      <c r="C27" s="17" t="s">
        <v>13</v>
      </c>
      <c r="D27" s="31" t="s">
        <v>61</v>
      </c>
      <c r="E27" s="17" t="s">
        <v>69</v>
      </c>
      <c r="F27" s="19" t="s">
        <v>37</v>
      </c>
      <c r="G27" s="18" t="s">
        <v>38</v>
      </c>
      <c r="H27" s="17">
        <v>16</v>
      </c>
      <c r="I27" s="21">
        <v>0</v>
      </c>
      <c r="J27" s="15">
        <f t="shared" si="2"/>
        <v>0</v>
      </c>
      <c r="K27" s="21">
        <v>0</v>
      </c>
      <c r="L27" s="15">
        <f t="shared" si="3"/>
        <v>0</v>
      </c>
    </row>
    <row r="28" spans="1:12" ht="27" x14ac:dyDescent="0.25">
      <c r="A28" s="17">
        <v>24</v>
      </c>
      <c r="B28" s="17" t="s">
        <v>22</v>
      </c>
      <c r="C28" s="17" t="s">
        <v>13</v>
      </c>
      <c r="D28" s="31" t="s">
        <v>62</v>
      </c>
      <c r="E28" s="17" t="s">
        <v>70</v>
      </c>
      <c r="F28" s="19" t="s">
        <v>37</v>
      </c>
      <c r="G28" s="18" t="s">
        <v>38</v>
      </c>
      <c r="H28" s="17">
        <v>32</v>
      </c>
      <c r="I28" s="21">
        <v>0</v>
      </c>
      <c r="J28" s="15">
        <f t="shared" si="2"/>
        <v>0</v>
      </c>
      <c r="K28" s="21">
        <v>0</v>
      </c>
      <c r="L28" s="15">
        <f t="shared" si="3"/>
        <v>0</v>
      </c>
    </row>
    <row r="29" spans="1:12" ht="27" x14ac:dyDescent="0.25">
      <c r="A29" s="17">
        <v>25</v>
      </c>
      <c r="B29" s="17" t="s">
        <v>22</v>
      </c>
      <c r="C29" s="17" t="s">
        <v>13</v>
      </c>
      <c r="D29" s="31" t="s">
        <v>63</v>
      </c>
      <c r="E29" s="17" t="s">
        <v>71</v>
      </c>
      <c r="F29" s="19" t="s">
        <v>37</v>
      </c>
      <c r="G29" s="18" t="s">
        <v>38</v>
      </c>
      <c r="H29" s="17">
        <v>16</v>
      </c>
      <c r="I29" s="21">
        <v>0</v>
      </c>
      <c r="J29" s="15">
        <f t="shared" si="2"/>
        <v>0</v>
      </c>
      <c r="K29" s="21">
        <v>0</v>
      </c>
      <c r="L29" s="15">
        <f t="shared" si="3"/>
        <v>0</v>
      </c>
    </row>
    <row r="30" spans="1:12" ht="27" x14ac:dyDescent="0.25">
      <c r="A30" s="17">
        <v>26</v>
      </c>
      <c r="B30" s="17" t="s">
        <v>22</v>
      </c>
      <c r="C30" s="17" t="s">
        <v>13</v>
      </c>
      <c r="D30" s="31" t="s">
        <v>64</v>
      </c>
      <c r="E30" s="17" t="s">
        <v>72</v>
      </c>
      <c r="F30" s="19" t="s">
        <v>37</v>
      </c>
      <c r="G30" s="18" t="s">
        <v>38</v>
      </c>
      <c r="H30" s="17">
        <v>1</v>
      </c>
      <c r="I30" s="21">
        <v>0</v>
      </c>
      <c r="J30" s="15">
        <f t="shared" si="2"/>
        <v>0</v>
      </c>
      <c r="K30" s="21">
        <v>0</v>
      </c>
      <c r="L30" s="15">
        <f t="shared" si="3"/>
        <v>0</v>
      </c>
    </row>
    <row r="31" spans="1:12" ht="45" customHeight="1" x14ac:dyDescent="0.25">
      <c r="K31" s="14" t="s">
        <v>20</v>
      </c>
      <c r="L31" s="16">
        <f>SUM(L5:L30)</f>
        <v>0</v>
      </c>
    </row>
  </sheetData>
  <protectedRanges>
    <protectedRange sqref="F5:F30" name="Range1_1_9"/>
    <protectedRange sqref="H5:H9" name="Range1_1_10"/>
    <protectedRange sqref="B5:C9" name="Range1_1"/>
    <protectedRange sqref="D5:D9" name="Range1_1_1"/>
    <protectedRange sqref="E5:E9" name="Range1_1_2"/>
    <protectedRange sqref="G5:G30" name="Range1_1_3"/>
    <protectedRange sqref="B10:C16" name="Range1_1_4"/>
    <protectedRange sqref="D10:D16" name="Range1_1_1_2"/>
    <protectedRange sqref="E10:E16" name="Range1_1_5"/>
    <protectedRange sqref="H10:H16" name="Range1_1_11"/>
    <protectedRange sqref="B17:C18" name="Range1_1_12"/>
    <protectedRange sqref="D17:D18" name="Range1_1_1_3"/>
    <protectedRange sqref="E17:E18" name="Range1_1_13"/>
    <protectedRange sqref="H17:H18" name="Range1_1_14"/>
    <protectedRange sqref="B19:C30" name="Range1_1_15"/>
    <protectedRange sqref="D19:D30" name="Range1_1_1_4"/>
    <protectedRange sqref="E19:E30" name="Range1_1_16"/>
    <protectedRange sqref="H19:H30" name="Range1_1_17"/>
  </protectedRanges>
  <mergeCells count="4">
    <mergeCell ref="A2:L2"/>
    <mergeCell ref="A3:L3"/>
    <mergeCell ref="C1:G1"/>
    <mergeCell ref="A1:B1"/>
  </mergeCells>
  <dataValidations count="4">
    <dataValidation type="textLength" allowBlank="1" showInputMessage="1" showErrorMessage="1" sqref="F5:F30" xr:uid="{61C075A3-A9DE-4EC2-843F-16FD1FE0B56A}">
      <formula1>0</formula1>
      <formula2>255</formula2>
    </dataValidation>
    <dataValidation type="list" allowBlank="1" showErrorMessage="1" error="The entry made is not a valid Purchase Category.  Hit Cancel and select a valid entry from the in-cell drop down list." promptTitle="An entry is required." prompt="You can use the in-cell drop down list to select a valid Purchase Category." sqref="B5:B30" xr:uid="{044F9EE6-BF5E-4695-BE70-35A9A46D0ECE}">
      <formula1>CategoryName</formula1>
    </dataValidation>
    <dataValidation type="textLength" allowBlank="1" showInputMessage="1" showErrorMessage="1" sqref="G5:G30" xr:uid="{C422EB33-4D49-4857-9479-6A31858C0D47}">
      <formula1>0</formula1>
      <formula2>35</formula2>
    </dataValidation>
    <dataValidation type="list" allowBlank="1" showErrorMessage="1" error="The entry made is not a valid Purchase Type.  Hit Cancel and select a valid entry from the in-cell drop down list." promptTitle="An entry is required." prompt="You can use the in-cell drop down list to select a valid Purchase Type." sqref="C5:C30" xr:uid="{63959958-F188-4826-A56E-CFDABA547C90}">
      <formula1>INDIRECT(B5)</formula1>
    </dataValidation>
  </dataValidations>
  <pageMargins left="0.7" right="0.7" top="0.75" bottom="0.75" header="0.3" footer="0.3"/>
  <pageSetup orientation="portrait" horizontalDpi="1200" verticalDpi="1200" r:id="rId1"/>
  <headerFooter>
    <oddHeader>&amp;C&amp;"Source Sans Pro SemiBold"&amp;12&amp;K000000 NONPUBLIC//FDIC INTERNAL ONLY&amp;1#_x000D_</oddHeader>
  </headerFooter>
</worksheet>
</file>

<file path=docMetadata/LabelInfo.xml><?xml version="1.0" encoding="utf-8"?>
<clbl:labelList xmlns:clbl="http://schemas.microsoft.com/office/2020/mipLabelMetadata">
  <clbl:label id="{e03712f0-ae86-44bd-82ca-deb0d0369377}" enabled="1" method="Privileged" siteId="{26c83bc9-31c1-4d77-a523-0816095aba3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Page - Info.</vt:lpstr>
      <vt:lpstr>Price Schedule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Hurte, Shaneva G. [CTR]</dc:creator>
  <cp:lastModifiedBy>Toles, Diamond J.</cp:lastModifiedBy>
  <dcterms:created xsi:type="dcterms:W3CDTF">2026-03-24T17:58:57Z</dcterms:created>
  <dcterms:modified xsi:type="dcterms:W3CDTF">2026-04-13T15:09:38Z</dcterms:modified>
</cp:coreProperties>
</file>