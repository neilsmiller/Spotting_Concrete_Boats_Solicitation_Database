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N:\ISPM\UPH\UH Buys\FY26\Barracks Rpl - Multi Installations\Pacific Appliances\CT\RFQ Docs\"/>
    </mc:Choice>
  </mc:AlternateContent>
  <xr:revisionPtr revIDLastSave="0" documentId="13_ncr:1_{C77EA66B-4421-4885-95E6-ACAA62A2B30D}" xr6:coauthVersionLast="47" xr6:coauthVersionMax="47" xr10:uidLastSave="{00000000-0000-0000-0000-000000000000}"/>
  <bookViews>
    <workbookView xWindow="-120" yWindow="-90" windowWidth="29040" windowHeight="15690" tabRatio="785" xr2:uid="{00000000-000D-0000-FFFF-FFFF00000000}"/>
  </bookViews>
  <sheets>
    <sheet name="RFQ" sheetId="2" r:id="rId1"/>
    <sheet name="Tech Eval HNC USE ONLY" sheetId="3" state="hidden" r:id="rId2"/>
    <sheet name="Instructions" sheetId="6" state="hidden" r:id="rId3"/>
    <sheet name="Prep Tab" sheetId="5" state="hidden" r:id="rId4"/>
  </sheets>
  <definedNames>
    <definedName name="_xlnm.Print_Area" localSheetId="0">RFQ!$A$1:$Q$18</definedName>
    <definedName name="_xlnm.Print_Area" localSheetId="1">'Tech Eval HNC USE ONLY'!$A:$C</definedName>
    <definedName name="Z_056DF672_C699_49F3_9F8F_FF611E6486A3_.wvu.PrintArea" localSheetId="0" hidden="1">RFQ!#REF!</definedName>
    <definedName name="Z_056DF672_C699_49F3_9F8F_FF611E6486A3_.wvu.PrintArea" localSheetId="1" hidden="1">'Tech Eval HNC USE ONLY'!$A:$C</definedName>
    <definedName name="Z_056DF672_C699_49F3_9F8F_FF611E6486A3_.wvu.PrintTitles" localSheetId="0" hidden="1">RFQ!#REF!,RFQ!$1:$2</definedName>
    <definedName name="Z_68E7B74C_C3B2_4B0B_8DBB_C6EB7678BF05_.wvu.PrintArea" localSheetId="0" hidden="1">RFQ!$A$1:$Q$18</definedName>
    <definedName name="Z_68E7B74C_C3B2_4B0B_8DBB_C6EB7678BF05_.wvu.PrintArea" localSheetId="1" hidden="1">'Tech Eval HNC USE ONLY'!$A:$C</definedName>
    <definedName name="Z_68E7B74C_C3B2_4B0B_8DBB_C6EB7678BF05_.wvu.PrintTitles" localSheetId="0" hidden="1">RFQ!#REF!,RFQ!$1:$2</definedName>
  </definedNames>
  <calcPr calcId="191029"/>
  <customWorkbookViews>
    <customWorkbookView name="attach1" guid="{68E7B74C-C3B2-4B0B-8DBB-C6EB7678BF05}" includeHiddenRowCol="0" maximized="1" xWindow="-9" yWindow="-9" windowWidth="1938" windowHeight="1168" tabRatio="785" activeSheetId="2"/>
    <customWorkbookView name="locations" guid="{056DF672-C699-49F3-9F8F-FF611E6486A3}" includeHiddenRowCol="0" maximized="1" xWindow="-9" yWindow="-9" windowWidth="1938" windowHeight="1168" tabRatio="785"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25" i="3" l="1"/>
  <c r="C1124" i="3"/>
  <c r="C1123" i="3"/>
  <c r="C1122" i="3"/>
  <c r="C1121" i="3"/>
  <c r="A1121" i="3"/>
  <c r="C1111" i="3"/>
  <c r="C1110" i="3"/>
  <c r="C1109" i="3"/>
  <c r="C1108" i="3"/>
  <c r="C1107" i="3"/>
  <c r="B1121" i="3" s="1"/>
  <c r="A1107" i="3"/>
  <c r="C1097" i="3"/>
  <c r="C1096" i="3"/>
  <c r="C1095" i="3"/>
  <c r="C1094" i="3"/>
  <c r="C1093" i="3"/>
  <c r="B1107" i="3" s="1"/>
  <c r="A1093" i="3"/>
  <c r="C1083" i="3"/>
  <c r="C1082" i="3"/>
  <c r="C1081" i="3"/>
  <c r="C1080" i="3"/>
  <c r="C1079" i="3"/>
  <c r="B1093" i="3" s="1"/>
  <c r="A1079" i="3"/>
  <c r="C1069" i="3"/>
  <c r="C1068" i="3"/>
  <c r="C1067" i="3"/>
  <c r="C1066" i="3"/>
  <c r="C1065" i="3"/>
  <c r="B1079" i="3" s="1"/>
  <c r="A1065" i="3"/>
  <c r="C1055" i="3"/>
  <c r="C1054" i="3"/>
  <c r="C1053" i="3"/>
  <c r="C1052" i="3"/>
  <c r="C1051" i="3"/>
  <c r="B1065" i="3" s="1"/>
  <c r="A1051" i="3"/>
  <c r="C1041" i="3"/>
  <c r="C1040" i="3"/>
  <c r="C1039" i="3"/>
  <c r="C1038" i="3"/>
  <c r="C1037" i="3"/>
  <c r="B1051" i="3" s="1"/>
  <c r="A1037" i="3"/>
  <c r="C1027" i="3"/>
  <c r="C1026" i="3"/>
  <c r="C1025" i="3"/>
  <c r="C1024" i="3"/>
  <c r="C1023" i="3"/>
  <c r="B1037" i="3" s="1"/>
  <c r="A1023" i="3"/>
  <c r="C1013" i="3"/>
  <c r="C1012" i="3"/>
  <c r="C1011" i="3"/>
  <c r="C1010" i="3"/>
  <c r="C1009" i="3"/>
  <c r="B1023" i="3" s="1"/>
  <c r="A1009" i="3"/>
  <c r="C999" i="3"/>
  <c r="C998" i="3"/>
  <c r="C997" i="3"/>
  <c r="C996" i="3"/>
  <c r="C995" i="3"/>
  <c r="B1009" i="3" s="1"/>
  <c r="A995" i="3"/>
  <c r="C985" i="3"/>
  <c r="C984" i="3"/>
  <c r="C983" i="3"/>
  <c r="C982" i="3"/>
  <c r="C981" i="3"/>
  <c r="B995" i="3" s="1"/>
  <c r="A981" i="3"/>
  <c r="C971" i="3"/>
  <c r="C970" i="3"/>
  <c r="C969" i="3"/>
  <c r="C968" i="3"/>
  <c r="C967" i="3"/>
  <c r="B981" i="3" s="1"/>
  <c r="A967" i="3"/>
  <c r="C957" i="3"/>
  <c r="C956" i="3"/>
  <c r="C955" i="3"/>
  <c r="C954" i="3"/>
  <c r="C953" i="3"/>
  <c r="B967" i="3" s="1"/>
  <c r="A953" i="3"/>
  <c r="C943" i="3"/>
  <c r="C942" i="3"/>
  <c r="C941" i="3"/>
  <c r="C940" i="3"/>
  <c r="C939" i="3"/>
  <c r="B953" i="3" s="1"/>
  <c r="A939" i="3"/>
  <c r="C929" i="3"/>
  <c r="C928" i="3"/>
  <c r="C927" i="3"/>
  <c r="C926" i="3"/>
  <c r="C925" i="3"/>
  <c r="B939" i="3" s="1"/>
  <c r="A925" i="3"/>
  <c r="C915" i="3"/>
  <c r="C914" i="3"/>
  <c r="C913" i="3"/>
  <c r="C912" i="3"/>
  <c r="C911" i="3"/>
  <c r="B925" i="3" s="1"/>
  <c r="A911" i="3"/>
  <c r="C901" i="3"/>
  <c r="C900" i="3"/>
  <c r="C899" i="3"/>
  <c r="C898" i="3"/>
  <c r="C897" i="3"/>
  <c r="B911" i="3" s="1"/>
  <c r="A897" i="3"/>
  <c r="C887" i="3"/>
  <c r="C886" i="3"/>
  <c r="C885" i="3"/>
  <c r="C884" i="3"/>
  <c r="C883" i="3"/>
  <c r="B897" i="3" s="1"/>
  <c r="A883" i="3"/>
  <c r="C873" i="3"/>
  <c r="C872" i="3"/>
  <c r="C871" i="3"/>
  <c r="C870" i="3"/>
  <c r="C869" i="3"/>
  <c r="B869" i="3"/>
  <c r="A869" i="3"/>
  <c r="C859" i="3"/>
  <c r="C858" i="3"/>
  <c r="C857" i="3"/>
  <c r="C856" i="3"/>
  <c r="C855" i="3"/>
  <c r="B855" i="3" s="1"/>
  <c r="A855" i="3"/>
  <c r="C845" i="3"/>
  <c r="C844" i="3"/>
  <c r="C843" i="3"/>
  <c r="C842" i="3"/>
  <c r="C841" i="3"/>
  <c r="B841" i="3" s="1"/>
  <c r="A841" i="3"/>
  <c r="C831" i="3"/>
  <c r="C830" i="3"/>
  <c r="C829" i="3"/>
  <c r="C828" i="3"/>
  <c r="C827" i="3"/>
  <c r="B827" i="3" s="1"/>
  <c r="A827" i="3"/>
  <c r="C817" i="3"/>
  <c r="C816" i="3"/>
  <c r="C815" i="3"/>
  <c r="C814" i="3"/>
  <c r="C813" i="3"/>
  <c r="B813" i="3" s="1"/>
  <c r="A813" i="3"/>
  <c r="C803" i="3"/>
  <c r="C802" i="3"/>
  <c r="C801" i="3"/>
  <c r="C800" i="3"/>
  <c r="C799" i="3"/>
  <c r="B799" i="3"/>
  <c r="A799" i="3"/>
  <c r="C789" i="3"/>
  <c r="C788" i="3"/>
  <c r="C787" i="3"/>
  <c r="C786" i="3"/>
  <c r="C785" i="3"/>
  <c r="B785" i="3" s="1"/>
  <c r="A785" i="3"/>
  <c r="C775" i="3"/>
  <c r="C774" i="3"/>
  <c r="C773" i="3"/>
  <c r="C772" i="3"/>
  <c r="C771" i="3"/>
  <c r="B771" i="3"/>
  <c r="A771" i="3"/>
  <c r="C761" i="3"/>
  <c r="C760" i="3"/>
  <c r="C759" i="3"/>
  <c r="C758" i="3"/>
  <c r="C757" i="3"/>
  <c r="B757" i="3"/>
  <c r="A757" i="3"/>
  <c r="C747" i="3"/>
  <c r="C746" i="3"/>
  <c r="C745" i="3"/>
  <c r="C744" i="3"/>
  <c r="C743" i="3"/>
  <c r="B743" i="3" s="1"/>
  <c r="A743" i="3"/>
  <c r="C733" i="3"/>
  <c r="C732" i="3"/>
  <c r="C731" i="3"/>
  <c r="C730" i="3"/>
  <c r="C729" i="3"/>
  <c r="B729" i="3" s="1"/>
  <c r="A729" i="3"/>
  <c r="C719" i="3"/>
  <c r="C718" i="3"/>
  <c r="C717" i="3"/>
  <c r="C716" i="3"/>
  <c r="C715" i="3"/>
  <c r="B715" i="3"/>
  <c r="A715" i="3"/>
  <c r="C705" i="3"/>
  <c r="C704" i="3"/>
  <c r="C703" i="3"/>
  <c r="C702" i="3"/>
  <c r="C701" i="3"/>
  <c r="B701" i="3"/>
  <c r="A701" i="3"/>
  <c r="C691" i="3"/>
  <c r="C690" i="3"/>
  <c r="C689" i="3"/>
  <c r="C688" i="3"/>
  <c r="C687" i="3"/>
  <c r="B687" i="3" s="1"/>
  <c r="A687" i="3"/>
  <c r="C677" i="3"/>
  <c r="C676" i="3"/>
  <c r="C675" i="3"/>
  <c r="C674" i="3"/>
  <c r="C673" i="3"/>
  <c r="B673" i="3"/>
  <c r="A673" i="3"/>
  <c r="C663" i="3"/>
  <c r="C662" i="3"/>
  <c r="C661" i="3"/>
  <c r="C660" i="3"/>
  <c r="C659" i="3"/>
  <c r="B659" i="3"/>
  <c r="A659" i="3"/>
  <c r="C649" i="3"/>
  <c r="C648" i="3"/>
  <c r="C647" i="3"/>
  <c r="C646" i="3"/>
  <c r="C645" i="3"/>
  <c r="B645" i="3" s="1"/>
  <c r="A645" i="3"/>
  <c r="C635" i="3"/>
  <c r="C634" i="3"/>
  <c r="C633" i="3"/>
  <c r="C632" i="3"/>
  <c r="C631" i="3"/>
  <c r="B631" i="3" s="1"/>
  <c r="A631" i="3"/>
  <c r="C621" i="3"/>
  <c r="C620" i="3"/>
  <c r="C619" i="3"/>
  <c r="C618" i="3"/>
  <c r="C617" i="3"/>
  <c r="B617" i="3"/>
  <c r="A617" i="3"/>
  <c r="C607" i="3"/>
  <c r="C606" i="3"/>
  <c r="C605" i="3"/>
  <c r="C604" i="3"/>
  <c r="C603" i="3"/>
  <c r="B603" i="3" s="1"/>
  <c r="A603" i="3"/>
  <c r="C593" i="3"/>
  <c r="C592" i="3"/>
  <c r="C591" i="3"/>
  <c r="C590" i="3"/>
  <c r="C589" i="3"/>
  <c r="B589" i="3"/>
  <c r="A589" i="3"/>
  <c r="C579" i="3"/>
  <c r="C578" i="3"/>
  <c r="C577" i="3"/>
  <c r="C576" i="3"/>
  <c r="C575" i="3"/>
  <c r="B575" i="3"/>
  <c r="A575" i="3"/>
  <c r="C565" i="3"/>
  <c r="C564" i="3"/>
  <c r="C563" i="3"/>
  <c r="C562" i="3"/>
  <c r="C561" i="3"/>
  <c r="B561" i="3"/>
  <c r="A561" i="3"/>
  <c r="C551" i="3"/>
  <c r="C550" i="3"/>
  <c r="C549" i="3"/>
  <c r="C548" i="3"/>
  <c r="C547" i="3"/>
  <c r="B547" i="3"/>
  <c r="A547" i="3"/>
  <c r="C537" i="3"/>
  <c r="C536" i="3"/>
  <c r="C535" i="3"/>
  <c r="C534" i="3"/>
  <c r="C533" i="3"/>
  <c r="B533" i="3" s="1"/>
  <c r="A533" i="3"/>
  <c r="C523" i="3"/>
  <c r="C522" i="3"/>
  <c r="C521" i="3"/>
  <c r="C520" i="3"/>
  <c r="C519" i="3"/>
  <c r="B519" i="3"/>
  <c r="A519" i="3"/>
  <c r="C509" i="3"/>
  <c r="C508" i="3"/>
  <c r="C507" i="3"/>
  <c r="C506" i="3"/>
  <c r="C505" i="3"/>
  <c r="B505" i="3"/>
  <c r="A505" i="3"/>
  <c r="C495" i="3"/>
  <c r="C494" i="3"/>
  <c r="C493" i="3"/>
  <c r="C492" i="3"/>
  <c r="C491" i="3"/>
  <c r="B491" i="3" s="1"/>
  <c r="A491" i="3"/>
  <c r="C481" i="3"/>
  <c r="C480" i="3"/>
  <c r="C479" i="3"/>
  <c r="C478" i="3"/>
  <c r="C477" i="3"/>
  <c r="B477" i="3" s="1"/>
  <c r="A477" i="3"/>
  <c r="C467" i="3"/>
  <c r="C466" i="3"/>
  <c r="C465" i="3"/>
  <c r="C464" i="3"/>
  <c r="C463" i="3"/>
  <c r="B463" i="3"/>
  <c r="A463" i="3"/>
  <c r="C453" i="3"/>
  <c r="C452" i="3"/>
  <c r="C451" i="3"/>
  <c r="C450" i="3"/>
  <c r="C449" i="3"/>
  <c r="B449" i="3"/>
  <c r="A449" i="3"/>
  <c r="C439" i="3"/>
  <c r="C438" i="3"/>
  <c r="C437" i="3"/>
  <c r="C436" i="3"/>
  <c r="C435" i="3"/>
  <c r="B435" i="3" s="1"/>
  <c r="A435" i="3"/>
  <c r="C425" i="3"/>
  <c r="C424" i="3"/>
  <c r="C423" i="3"/>
  <c r="C422" i="3"/>
  <c r="C421" i="3"/>
  <c r="B421" i="3"/>
  <c r="A421" i="3"/>
  <c r="C411" i="3"/>
  <c r="C410" i="3"/>
  <c r="C409" i="3"/>
  <c r="C408" i="3"/>
  <c r="C407" i="3"/>
  <c r="B407" i="3" s="1"/>
  <c r="A407" i="3"/>
  <c r="C397" i="3"/>
  <c r="C396" i="3"/>
  <c r="C395" i="3"/>
  <c r="C394" i="3"/>
  <c r="C393" i="3"/>
  <c r="B393" i="3" s="1"/>
  <c r="A393" i="3"/>
  <c r="C383" i="3"/>
  <c r="C382" i="3"/>
  <c r="C381" i="3"/>
  <c r="C380" i="3"/>
  <c r="C379" i="3"/>
  <c r="B379" i="3"/>
  <c r="A379" i="3"/>
  <c r="C369" i="3"/>
  <c r="C368" i="3"/>
  <c r="C367" i="3"/>
  <c r="C366" i="3"/>
  <c r="C365" i="3"/>
  <c r="B365" i="3"/>
  <c r="A365" i="3"/>
  <c r="C355" i="3"/>
  <c r="C354" i="3"/>
  <c r="C353" i="3"/>
  <c r="C352" i="3"/>
  <c r="C351" i="3"/>
  <c r="B351" i="3" s="1"/>
  <c r="A351" i="3"/>
  <c r="C341" i="3"/>
  <c r="C340" i="3"/>
  <c r="C339" i="3"/>
  <c r="C338" i="3"/>
  <c r="C337" i="3"/>
  <c r="B337" i="3"/>
  <c r="A337" i="3"/>
  <c r="C327" i="3"/>
  <c r="C326" i="3"/>
  <c r="C325" i="3"/>
  <c r="C324" i="3"/>
  <c r="C323" i="3"/>
  <c r="B323" i="3"/>
  <c r="A323" i="3"/>
  <c r="C313" i="3"/>
  <c r="C312" i="3"/>
  <c r="C311" i="3"/>
  <c r="C310" i="3"/>
  <c r="C309" i="3"/>
  <c r="B309" i="3"/>
  <c r="A309" i="3"/>
  <c r="C299" i="3"/>
  <c r="C298" i="3"/>
  <c r="C297" i="3"/>
  <c r="C296" i="3"/>
  <c r="C295" i="3"/>
  <c r="B295" i="3"/>
  <c r="A295" i="3"/>
  <c r="C285" i="3"/>
  <c r="C284" i="3"/>
  <c r="C283" i="3"/>
  <c r="C282" i="3"/>
  <c r="C281" i="3"/>
  <c r="B281" i="3"/>
  <c r="A281" i="3"/>
  <c r="C271" i="3"/>
  <c r="C270" i="3"/>
  <c r="C269" i="3"/>
  <c r="C268" i="3"/>
  <c r="C267" i="3"/>
  <c r="B267" i="3" s="1"/>
  <c r="A267" i="3"/>
  <c r="C257" i="3"/>
  <c r="C256" i="3"/>
  <c r="C255" i="3"/>
  <c r="C254" i="3"/>
  <c r="C253" i="3"/>
  <c r="B253" i="3"/>
  <c r="A253" i="3"/>
  <c r="C243" i="3"/>
  <c r="C242" i="3"/>
  <c r="C241" i="3"/>
  <c r="C240" i="3"/>
  <c r="C239" i="3"/>
  <c r="B239" i="3"/>
  <c r="A239" i="3"/>
  <c r="C229" i="3"/>
  <c r="C228" i="3"/>
  <c r="C227" i="3"/>
  <c r="C226" i="3"/>
  <c r="C225" i="3"/>
  <c r="B225" i="3"/>
  <c r="A225" i="3"/>
  <c r="C215" i="3"/>
  <c r="C214" i="3"/>
  <c r="C213" i="3"/>
  <c r="C212" i="3"/>
  <c r="C211" i="3"/>
  <c r="B211" i="3"/>
  <c r="A211" i="3"/>
  <c r="C201" i="3"/>
  <c r="C200" i="3"/>
  <c r="C199" i="3"/>
  <c r="C198" i="3"/>
  <c r="C197" i="3"/>
  <c r="B197" i="3"/>
  <c r="A197" i="3"/>
  <c r="C187" i="3"/>
  <c r="C186" i="3"/>
  <c r="C185" i="3"/>
  <c r="C184" i="3"/>
  <c r="C183" i="3"/>
  <c r="B183" i="3"/>
  <c r="A183" i="3"/>
  <c r="C173" i="3"/>
  <c r="C172" i="3"/>
  <c r="C171" i="3"/>
  <c r="C170" i="3"/>
  <c r="C169" i="3"/>
  <c r="B169" i="3"/>
  <c r="A169" i="3"/>
  <c r="C159" i="3"/>
  <c r="C158" i="3"/>
  <c r="C157" i="3"/>
  <c r="C156" i="3"/>
  <c r="C155" i="3"/>
  <c r="B155" i="3" s="1"/>
  <c r="A155" i="3"/>
  <c r="C145" i="3"/>
  <c r="C144" i="3"/>
  <c r="C143" i="3"/>
  <c r="C142" i="3"/>
  <c r="C141" i="3"/>
  <c r="B141" i="3"/>
  <c r="A141" i="3"/>
  <c r="C131" i="3"/>
  <c r="C130" i="3"/>
  <c r="C129" i="3"/>
  <c r="C128" i="3"/>
  <c r="C127" i="3"/>
  <c r="B127" i="3"/>
  <c r="A127" i="3"/>
  <c r="C117" i="3"/>
  <c r="C116" i="3"/>
  <c r="C115" i="3"/>
  <c r="C114" i="3"/>
  <c r="C113" i="3"/>
  <c r="B113" i="3"/>
  <c r="A113" i="3"/>
  <c r="C103" i="3"/>
  <c r="C102" i="3"/>
  <c r="C101" i="3"/>
  <c r="C100" i="3"/>
  <c r="C99" i="3"/>
  <c r="B99" i="3"/>
  <c r="A99" i="3"/>
  <c r="C89" i="3"/>
  <c r="C88" i="3"/>
  <c r="C87" i="3"/>
  <c r="C86" i="3"/>
  <c r="C85" i="3"/>
  <c r="B85" i="3"/>
  <c r="A85" i="3"/>
  <c r="C75" i="3"/>
  <c r="C74" i="3"/>
  <c r="C73" i="3"/>
  <c r="C72" i="3"/>
  <c r="C71" i="3"/>
  <c r="B71" i="3" s="1"/>
  <c r="A71" i="3"/>
  <c r="C61" i="3"/>
  <c r="C60" i="3"/>
  <c r="C59" i="3"/>
  <c r="C58" i="3"/>
  <c r="C57" i="3"/>
  <c r="B57" i="3" s="1"/>
  <c r="A57" i="3"/>
  <c r="C47" i="3"/>
  <c r="C46" i="3"/>
  <c r="C45" i="3"/>
  <c r="C44" i="3"/>
  <c r="C43" i="3"/>
  <c r="B43" i="3" s="1"/>
  <c r="A43" i="3"/>
  <c r="C33" i="3"/>
  <c r="C32" i="3"/>
  <c r="C31" i="3"/>
  <c r="C30" i="3"/>
  <c r="C29" i="3"/>
  <c r="B29" i="3" s="1"/>
  <c r="A29" i="3"/>
  <c r="C19" i="3"/>
  <c r="C18" i="3"/>
  <c r="C17" i="3"/>
  <c r="C16" i="3"/>
  <c r="C15" i="3"/>
  <c r="B15" i="3" s="1"/>
  <c r="A15" i="3"/>
  <c r="C5" i="3"/>
  <c r="C4" i="3"/>
  <c r="C3" i="3"/>
  <c r="C2" i="3"/>
  <c r="C1" i="3"/>
  <c r="B1" i="3"/>
  <c r="A1" i="3"/>
  <c r="A9" i="2"/>
  <c r="P8" i="2"/>
  <c r="G8" i="2"/>
  <c r="S7" i="2"/>
  <c r="R7" i="2"/>
  <c r="Q7" i="2"/>
  <c r="O7" i="2"/>
  <c r="S6" i="2"/>
  <c r="R6" i="2"/>
  <c r="Q6" i="2"/>
  <c r="O6" i="2"/>
  <c r="S5" i="2"/>
  <c r="R5" i="2"/>
  <c r="Q5" i="2"/>
  <c r="O5" i="2"/>
  <c r="S4" i="2"/>
  <c r="R4" i="2"/>
  <c r="Q4" i="2"/>
  <c r="O4" i="2"/>
  <c r="H3" i="2"/>
  <c r="O2" i="2"/>
  <c r="N2" i="2"/>
  <c r="K2" i="2"/>
  <c r="H2" i="2"/>
  <c r="B883" i="3" l="1"/>
  <c r="Q8" i="2"/>
  <c r="Q15" i="2" s="1"/>
  <c r="R8" i="2"/>
  <c r="L8" i="2" s="1"/>
  <c r="O8" i="2"/>
</calcChain>
</file>

<file path=xl/sharedStrings.xml><?xml version="1.0" encoding="utf-8"?>
<sst xmlns="http://schemas.openxmlformats.org/spreadsheetml/2006/main" count="1180" uniqueCount="123">
  <si>
    <t>Housing</t>
  </si>
  <si>
    <t>GSA</t>
  </si>
  <si>
    <t>#</t>
  </si>
  <si>
    <t>Qty</t>
  </si>
  <si>
    <t>FID Para.</t>
  </si>
  <si>
    <t>FID Item Code / Description</t>
  </si>
  <si>
    <t>Vendor Quoted</t>
  </si>
  <si>
    <t>Product Line Quoted</t>
  </si>
  <si>
    <t>Model Quoted</t>
  </si>
  <si>
    <t>HNC Unit Cost</t>
  </si>
  <si>
    <t>HNC Total Cost</t>
  </si>
  <si>
    <r>
      <t xml:space="preserve">EDC-I:  Hide these columns before submitting file.
</t>
    </r>
    <r>
      <rPr>
        <b/>
        <sz val="9"/>
        <color theme="1"/>
        <rFont val="Arial Narrow"/>
        <family val="2"/>
      </rPr>
      <t>Select correct entries in the boxes above.</t>
    </r>
    <r>
      <rPr>
        <sz val="9"/>
        <color theme="1"/>
        <rFont val="Arial Narrow"/>
        <family val="2"/>
      </rPr>
      <t xml:space="preserve">
These columns shows open market costs and difference from GSA</t>
    </r>
  </si>
  <si>
    <t>H</t>
  </si>
  <si>
    <t>D</t>
  </si>
  <si>
    <t>Open Market</t>
  </si>
  <si>
    <t>GSA vs HNC</t>
  </si>
  <si>
    <t>AP03: Refrigerator Freezer, 10 cu.ft.</t>
  </si>
  <si>
    <t>AP04: Refrigerator Freezer, 18-19.5 cu.ft.</t>
  </si>
  <si>
    <t>8.7</t>
  </si>
  <si>
    <t>AP16: Top Load Washing Machine</t>
  </si>
  <si>
    <t>AP18: Electric Dryer</t>
  </si>
  <si>
    <t>Furniture Subtotals:</t>
  </si>
  <si>
    <t>GSA Cost:</t>
  </si>
  <si>
    <t>Open Market Total above</t>
  </si>
  <si>
    <t>Installation &amp; Shipping:</t>
  </si>
  <si>
    <t>Shipping (CONUS)</t>
  </si>
  <si>
    <t>Commercial Shipping (OCONUS)</t>
  </si>
  <si>
    <t>Offload only</t>
  </si>
  <si>
    <t>Tariffs</t>
  </si>
  <si>
    <t>Offload Only</t>
  </si>
  <si>
    <t>GRAND TOTAL:</t>
  </si>
  <si>
    <t>Do not alter any formulas in shaded cells</t>
  </si>
  <si>
    <t>If part of an item is on GSA Contract and part is open market, Vendor shall provide a description, model, and cost of open market item(s) on the same line as the GSA item.</t>
  </si>
  <si>
    <t>SAM</t>
  </si>
  <si>
    <t>GSA Contract Unit Cost is the cost provided on GSA schedule per item. HNC Unit Cost is the cost provided to HNC per item.</t>
  </si>
  <si>
    <t>Vendor Quoted:</t>
  </si>
  <si>
    <t>Product Line Quoted:</t>
  </si>
  <si>
    <t>Model Quoted:</t>
  </si>
  <si>
    <t>GSA # or Open Market:</t>
  </si>
  <si>
    <t>Warranty:</t>
  </si>
  <si>
    <t>1st Review HNC:</t>
  </si>
  <si>
    <t>1st Review Vendor:</t>
  </si>
  <si>
    <t>2nd Review HNC:</t>
  </si>
  <si>
    <t>2nd Review Vendor:</t>
  </si>
  <si>
    <t>3rd Review HNC:</t>
  </si>
  <si>
    <t>3rd Review Vendor:</t>
  </si>
  <si>
    <t>4th Review HNC:</t>
  </si>
  <si>
    <t>4th Review Vendor:</t>
  </si>
  <si>
    <t>ATTACHMENT 1 TEMPLATE - 06/06/25</t>
  </si>
  <si>
    <r>
      <t xml:space="preserve">Preparation of the Attachment 1 prior to RFQ
</t>
    </r>
    <r>
      <rPr>
        <b/>
        <i/>
        <sz val="11"/>
        <color theme="1"/>
        <rFont val="Arial"/>
        <family val="2"/>
      </rPr>
      <t>If there are multiple buildings, see instructions below.</t>
    </r>
  </si>
  <si>
    <t>1</t>
  </si>
  <si>
    <r>
      <t xml:space="preserve">In the A column, </t>
    </r>
    <r>
      <rPr>
        <u/>
        <sz val="11"/>
        <color theme="1"/>
        <rFont val="Arial"/>
        <family val="2"/>
      </rPr>
      <t>Select</t>
    </r>
    <r>
      <rPr>
        <sz val="11"/>
        <color theme="1"/>
        <rFont val="Arial"/>
        <family val="2"/>
      </rPr>
      <t xml:space="preserve"> SAM buy or GSA buy. If SAM buy, </t>
    </r>
    <r>
      <rPr>
        <u/>
        <sz val="11"/>
        <color theme="1"/>
        <rFont val="Arial"/>
        <family val="2"/>
      </rPr>
      <t>Hide</t>
    </r>
    <r>
      <rPr>
        <sz val="11"/>
        <color theme="1"/>
        <rFont val="Arial"/>
        <family val="2"/>
      </rPr>
      <t xml:space="preserve"> the two columns that are purple at the top and hide the last two rows of notes at the bottom that refer to GSA. </t>
    </r>
  </si>
  <si>
    <t>Types of Delivery</t>
  </si>
  <si>
    <t>2</t>
  </si>
  <si>
    <r>
      <t xml:space="preserve">In the FID, </t>
    </r>
    <r>
      <rPr>
        <u/>
        <sz val="11"/>
        <color theme="1"/>
        <rFont val="Arial"/>
        <family val="2"/>
      </rPr>
      <t>Highlight</t>
    </r>
    <r>
      <rPr>
        <sz val="11"/>
        <color theme="1"/>
        <rFont val="Arial"/>
        <family val="2"/>
      </rPr>
      <t xml:space="preserve"> the entire Table of Contents and </t>
    </r>
    <r>
      <rPr>
        <u/>
        <sz val="11"/>
        <color theme="1"/>
        <rFont val="Arial"/>
        <family val="2"/>
      </rPr>
      <t>Copy</t>
    </r>
    <r>
      <rPr>
        <sz val="11"/>
        <color theme="1"/>
        <rFont val="Arial"/>
        <family val="2"/>
      </rPr>
      <t xml:space="preserve">. </t>
    </r>
  </si>
  <si>
    <t>Installation of furniture - to include any GFP in the SOW, if applicable</t>
  </si>
  <si>
    <t>Vendor Install all items on Att 1. GFP is Government Furnished Products (usually items in warehouse).</t>
  </si>
  <si>
    <t>3</t>
  </si>
  <si>
    <r>
      <t xml:space="preserve">In the Prep Tab (in this form), highlight upper left cell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(Match Destination Formatting (M)).</t>
    </r>
  </si>
  <si>
    <t>Shipping (CONUS) Note 1</t>
  </si>
  <si>
    <t xml:space="preserve">Shipping in the continental US </t>
  </si>
  <si>
    <t>4</t>
  </si>
  <si>
    <r>
      <t xml:space="preserve">In the Prep Tab, </t>
    </r>
    <r>
      <rPr>
        <u/>
        <sz val="11"/>
        <color theme="1"/>
        <rFont val="Arial"/>
        <family val="2"/>
      </rPr>
      <t xml:space="preserve">Delete </t>
    </r>
    <r>
      <rPr>
        <sz val="11"/>
        <color theme="1"/>
        <rFont val="Arial"/>
        <family val="2"/>
      </rPr>
      <t>Column C.</t>
    </r>
  </si>
  <si>
    <t xml:space="preserve">Commercial shipping to locations outside of the continental US. </t>
  </si>
  <si>
    <t>5</t>
  </si>
  <si>
    <r>
      <t xml:space="preserve">In the Prep Tab, </t>
    </r>
    <r>
      <rPr>
        <u/>
        <sz val="11"/>
        <color theme="1"/>
        <rFont val="Arial"/>
        <family val="2"/>
      </rPr>
      <t>Delete</t>
    </r>
    <r>
      <rPr>
        <sz val="11"/>
        <color theme="1"/>
        <rFont val="Arial"/>
        <family val="2"/>
      </rPr>
      <t xml:space="preserve"> all rows that you do not want in the Attachment 1 (extra lines, titles, "Not Used"). Keep only items you want listed in the Attachment 1. </t>
    </r>
  </si>
  <si>
    <t>Secure Shipping (CONUS/OCONUS) - Refer to SOW</t>
  </si>
  <si>
    <t>For projects that have security requirements like locked and sealed containers, potentially SCIFs, NOCs, Ops Centers, etc.</t>
  </si>
  <si>
    <t>6</t>
  </si>
  <si>
    <r>
      <t xml:space="preserve">In the Prep Tab, </t>
    </r>
    <r>
      <rPr>
        <u/>
        <sz val="11"/>
        <rFont val="Arial"/>
        <family val="2"/>
      </rPr>
      <t>Highlight</t>
    </r>
    <r>
      <rPr>
        <sz val="11"/>
        <rFont val="Arial"/>
        <family val="2"/>
      </rPr>
      <t xml:space="preserve"> text and </t>
    </r>
    <r>
      <rPr>
        <u/>
        <sz val="11"/>
        <rFont val="Arial"/>
        <family val="2"/>
      </rPr>
      <t>Copy</t>
    </r>
    <r>
      <rPr>
        <sz val="11"/>
        <rFont val="Arial"/>
        <family val="2"/>
      </rPr>
      <t xml:space="preserve"> into columns D &amp; E of the RFQ tab by clicking on cell F4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(Values (V)). 
</t>
    </r>
    <r>
      <rPr>
        <b/>
        <sz val="11"/>
        <rFont val="Arial"/>
        <family val="2"/>
      </rPr>
      <t>NOTE:  Only copy FID paragraph number &amp; Item Code and Description into RFQ tab</t>
    </r>
    <r>
      <rPr>
        <sz val="11"/>
        <rFont val="Arial"/>
        <family val="2"/>
      </rPr>
      <t xml:space="preserve">. </t>
    </r>
  </si>
  <si>
    <t>Electrical Work- Hardwire all items as noted in the FID to the Facility</t>
  </si>
  <si>
    <t xml:space="preserve">Electrical Work - This is used if there are items to be hardwired.  All items should be noted in the FID. </t>
  </si>
  <si>
    <t>7</t>
  </si>
  <si>
    <r>
      <t xml:space="preserve">Ensure that the FID Paragraph numbers are correct and that the zero didn't drop off.  For example, verify whether the paragraph is 2.10 instead of 2.1.  If you can't add the "0" to the end, </t>
    </r>
    <r>
      <rPr>
        <u/>
        <sz val="11"/>
        <color theme="1"/>
        <rFont val="Arial"/>
        <family val="2"/>
      </rPr>
      <t>Format</t>
    </r>
    <r>
      <rPr>
        <sz val="11"/>
        <color theme="1"/>
        <rFont val="Arial"/>
        <family val="2"/>
      </rPr>
      <t xml:space="preserve"> the column as Text.</t>
    </r>
  </si>
  <si>
    <t>Oversight of Delivery</t>
  </si>
  <si>
    <t xml:space="preserve">Warehouse workers offload product and a representative for the Vendor is present to oversee. </t>
  </si>
  <si>
    <t>8</t>
  </si>
  <si>
    <t>Add title to the Att 1 and turn black - it will automatically populate on the Locations matrix.</t>
  </si>
  <si>
    <t xml:space="preserve">This is unloaded by the delivery driver. </t>
  </si>
  <si>
    <t>9</t>
  </si>
  <si>
    <r>
      <t xml:space="preserve">In the Locations matrix (right side of the Att 1), adjust row heights and then indicate quantities for each item under each room (Row T-CU).  Once completed, </t>
    </r>
    <r>
      <rPr>
        <u/>
        <sz val="11"/>
        <rFont val="Arial"/>
        <family val="2"/>
      </rPr>
      <t>Hide</t>
    </r>
    <r>
      <rPr>
        <sz val="11"/>
        <rFont val="Arial"/>
        <family val="2"/>
      </rPr>
      <t xml:space="preserve"> all unused columns and rows, indicated by purple boxes, up to the green cells.
</t>
    </r>
    <r>
      <rPr>
        <b/>
        <sz val="11"/>
        <rFont val="Arial"/>
        <family val="2"/>
      </rPr>
      <t>NOTE:  Enter quantities in the Locations area only.</t>
    </r>
  </si>
  <si>
    <t>Removal and Disposal of Existing Furniture</t>
  </si>
  <si>
    <t xml:space="preserve">Vendor is responsible for removal of the old furnishings and to dispose of them. </t>
  </si>
  <si>
    <t>10</t>
  </si>
  <si>
    <r>
      <rPr>
        <u/>
        <sz val="11"/>
        <color theme="1"/>
        <rFont val="Arial"/>
        <family val="2"/>
      </rPr>
      <t>Hide</t>
    </r>
    <r>
      <rPr>
        <sz val="11"/>
        <color theme="1"/>
        <rFont val="Arial"/>
        <family val="2"/>
      </rPr>
      <t xml:space="preserve"> Column A when the form is complete. (A contains the formula for the OPEN MARKET TOTAL).</t>
    </r>
  </si>
  <si>
    <t>Removal of Existing Furniture and Moving to Designated Location</t>
  </si>
  <si>
    <t xml:space="preserve">Vendor is responsible for removal of the old furnishings and to moving it to another building. </t>
  </si>
  <si>
    <t>11</t>
  </si>
  <si>
    <r>
      <t xml:space="preserve">Keep the Installation and Shipping that pertain to your order and turn the text black. </t>
    </r>
    <r>
      <rPr>
        <u/>
        <sz val="11"/>
        <color theme="1"/>
        <rFont val="Arial"/>
        <family val="2"/>
      </rPr>
      <t>Hide</t>
    </r>
    <r>
      <rPr>
        <sz val="11"/>
        <color theme="1"/>
        <rFont val="Arial"/>
        <family val="2"/>
      </rPr>
      <t xml:space="preserve"> Installation &amp; Shipping lines not needed.
</t>
    </r>
    <r>
      <rPr>
        <b/>
        <sz val="11"/>
        <color theme="1"/>
        <rFont val="Arial"/>
        <family val="2"/>
      </rPr>
      <t xml:space="preserve">NOTE: Types of Delivery are defined in the table on the right of this page. </t>
    </r>
  </si>
  <si>
    <t>12</t>
  </si>
  <si>
    <t>Hide all extra rows down to Furniture Subtotals.</t>
  </si>
  <si>
    <t>13</t>
  </si>
  <si>
    <r>
      <rPr>
        <u/>
        <sz val="11"/>
        <color theme="1"/>
        <rFont val="Arial"/>
        <family val="2"/>
      </rPr>
      <t>Hide</t>
    </r>
    <r>
      <rPr>
        <sz val="11"/>
        <color theme="1"/>
        <rFont val="Arial"/>
        <family val="2"/>
      </rPr>
      <t xml:space="preserve"> all tabs except RFQ. Right click on the tab and click </t>
    </r>
    <r>
      <rPr>
        <u/>
        <sz val="11"/>
        <color theme="1"/>
        <rFont val="Arial"/>
        <family val="2"/>
      </rPr>
      <t>Hide</t>
    </r>
    <r>
      <rPr>
        <sz val="11"/>
        <color theme="1"/>
        <rFont val="Arial"/>
        <family val="2"/>
      </rPr>
      <t>.</t>
    </r>
  </si>
  <si>
    <t>14</t>
  </si>
  <si>
    <r>
      <rPr>
        <u/>
        <sz val="11"/>
        <color theme="1"/>
        <rFont val="Arial"/>
        <family val="2"/>
      </rPr>
      <t>Save</t>
    </r>
    <r>
      <rPr>
        <sz val="11"/>
        <color theme="1"/>
        <rFont val="Arial"/>
        <family val="2"/>
      </rPr>
      <t xml:space="preserve"> spreadsheet.</t>
    </r>
  </si>
  <si>
    <t>Preparation of the Attachment 1 prior to RFQ for projects with multiple buildings</t>
  </si>
  <si>
    <t>Tech Review "Warranty" blank comment examples are:</t>
  </si>
  <si>
    <t>Perform the instructions 1-8 above "Preparation of the Attachment 1 prior to RFQ" .</t>
  </si>
  <si>
    <t>N/A</t>
  </si>
  <si>
    <r>
      <t xml:space="preserve">File </t>
    </r>
    <r>
      <rPr>
        <u/>
        <sz val="11"/>
        <color theme="1"/>
        <rFont val="Arial"/>
        <family val="2"/>
      </rPr>
      <t>Save As</t>
    </r>
    <r>
      <rPr>
        <sz val="11"/>
        <color theme="1"/>
        <rFont val="Arial"/>
        <family val="2"/>
      </rPr>
      <t xml:space="preserve"> for each additional building.</t>
    </r>
  </si>
  <si>
    <t>Provide a warranty for this item.</t>
  </si>
  <si>
    <t>Complete steps 9-14 under "Preparation of the Attachment 1 prior to RFQ" for all buildings.</t>
  </si>
  <si>
    <t>Warranty was provided but does not meet the FID requirement.</t>
  </si>
  <si>
    <t>Warranty provided and acceptable.</t>
  </si>
  <si>
    <t>Inserting More Rows into RFQ Tab</t>
  </si>
  <si>
    <r>
      <rPr>
        <i/>
        <sz val="11"/>
        <color theme="1"/>
        <rFont val="Arial"/>
        <family val="2"/>
      </rPr>
      <t xml:space="preserve">To insert more rows in the RFQ tab (there are 80 rows available in the template): </t>
    </r>
    <r>
      <rPr>
        <sz val="11"/>
        <color theme="1"/>
        <rFont val="Arial"/>
        <family val="2"/>
      </rPr>
      <t xml:space="preserve">                         A. </t>
    </r>
    <r>
      <rPr>
        <u/>
        <sz val="11"/>
        <color theme="1"/>
        <rFont val="Arial"/>
        <family val="2"/>
      </rPr>
      <t>Highligh</t>
    </r>
    <r>
      <rPr>
        <sz val="11"/>
        <color theme="1"/>
        <rFont val="Arial"/>
        <family val="2"/>
      </rPr>
      <t xml:space="preserve">t row 84 and move your cursor down how ever many rows are needed.                      B. Right click and select </t>
    </r>
    <r>
      <rPr>
        <u/>
        <sz val="11"/>
        <color theme="1"/>
        <rFont val="Arial"/>
        <family val="2"/>
      </rPr>
      <t>Insert</t>
    </r>
    <r>
      <rPr>
        <sz val="11"/>
        <color theme="1"/>
        <rFont val="Arial"/>
        <family val="2"/>
      </rPr>
      <t xml:space="preserve">.                                                                                                        C. </t>
    </r>
    <r>
      <rPr>
        <u/>
        <sz val="11"/>
        <color theme="1"/>
        <rFont val="Arial"/>
        <family val="2"/>
      </rPr>
      <t>Highlight</t>
    </r>
    <r>
      <rPr>
        <sz val="11"/>
        <color theme="1"/>
        <rFont val="Arial"/>
        <family val="2"/>
      </rPr>
      <t xml:space="preserve"> row 84 and </t>
    </r>
    <r>
      <rPr>
        <u/>
        <sz val="11"/>
        <color theme="1"/>
        <rFont val="Arial"/>
        <family val="2"/>
      </rPr>
      <t>Copy</t>
    </r>
    <r>
      <rPr>
        <sz val="11"/>
        <color theme="1"/>
        <rFont val="Arial"/>
        <family val="2"/>
      </rPr>
      <t xml:space="preserve"> to all the new blank rows.  
</t>
    </r>
    <r>
      <rPr>
        <b/>
        <sz val="11"/>
        <rFont val="Arial"/>
        <family val="2"/>
      </rPr>
      <t>NOTE:</t>
    </r>
    <r>
      <rPr>
        <sz val="11"/>
        <rFont val="Arial"/>
        <family val="2"/>
      </rPr>
      <t xml:space="preserve"> </t>
    </r>
    <r>
      <rPr>
        <b/>
        <sz val="11"/>
        <rFont val="Arial"/>
        <family val="2"/>
      </rPr>
      <t>MAKE SURE SUBTOTALS AND TOTALS ARE INCLUSIVE OF NEW ROWS!</t>
    </r>
  </si>
  <si>
    <r>
      <rPr>
        <i/>
        <sz val="11"/>
        <color theme="1"/>
        <rFont val="Arial"/>
        <family val="2"/>
      </rPr>
      <t>To insert a row in the middle of the RFQ tab:</t>
    </r>
    <r>
      <rPr>
        <sz val="11"/>
        <color theme="1"/>
        <rFont val="Arial"/>
        <family val="2"/>
      </rPr>
      <t xml:space="preserve">                                                                                   A. Highlight the row below where you need the new row, </t>
    </r>
    <r>
      <rPr>
        <u/>
        <sz val="11"/>
        <color theme="1"/>
        <rFont val="Arial"/>
        <family val="2"/>
      </rPr>
      <t>right click</t>
    </r>
    <r>
      <rPr>
        <sz val="11"/>
        <color theme="1"/>
        <rFont val="Arial"/>
        <family val="2"/>
      </rPr>
      <t xml:space="preserve">, and select </t>
    </r>
    <r>
      <rPr>
        <u/>
        <sz val="11"/>
        <color theme="1"/>
        <rFont val="Arial"/>
        <family val="2"/>
      </rPr>
      <t>Insert</t>
    </r>
    <r>
      <rPr>
        <sz val="11"/>
        <color theme="1"/>
        <rFont val="Arial"/>
        <family val="2"/>
      </rPr>
      <t xml:space="preserve">.  B. Look at the "#" to determine which numbers the new row is between and </t>
    </r>
    <r>
      <rPr>
        <u/>
        <sz val="11"/>
        <color theme="1"/>
        <rFont val="Arial"/>
        <family val="2"/>
      </rPr>
      <t>Copy</t>
    </r>
    <r>
      <rPr>
        <sz val="11"/>
        <color theme="1"/>
        <rFont val="Arial"/>
        <family val="2"/>
      </rPr>
      <t xml:space="preserve"> the "#", "Qty", "Unit", "GSA Contract Total Cost", and "HNC Total Cost" cells from the row above.                                                                                                                                                    C. Then </t>
    </r>
    <r>
      <rPr>
        <u/>
        <sz val="11"/>
        <color theme="1"/>
        <rFont val="Arial"/>
        <family val="2"/>
      </rPr>
      <t>Copy</t>
    </r>
    <r>
      <rPr>
        <sz val="11"/>
        <color theme="1"/>
        <rFont val="Arial"/>
        <family val="2"/>
      </rPr>
      <t xml:space="preserve"> the "#" cell you just pasted into the "#" cell in the row below to fix the row numbering.                                                                                                                                               D. Then, enter the "FID Para." and "Item Code &amp; Description" information.                                      E. Enter the quantities in the appropriate rooms/areas.                                                                                     F. Then, in the Tech Eval tab, </t>
    </r>
    <r>
      <rPr>
        <u/>
        <sz val="11"/>
        <color theme="1"/>
        <rFont val="Arial"/>
        <family val="2"/>
      </rPr>
      <t xml:space="preserve">Insert </t>
    </r>
    <r>
      <rPr>
        <sz val="11"/>
        <color theme="1"/>
        <rFont val="Arial"/>
        <family val="2"/>
      </rPr>
      <t>14 rows and copy the data from the 14 rows above into these new cells.                                                                                                                                   G. Change the formulas in the top 2 rows of the rows you just copied by comparing the formulas from 14 cells above and 14 cells below to determine what number needs to be changed in the formula.                                                                                                                                                     I. Check to ensure everything copied and the line numbering is correct on both tabs.</t>
    </r>
  </si>
  <si>
    <r>
      <rPr>
        <i/>
        <sz val="11"/>
        <color theme="1"/>
        <rFont val="Arial"/>
        <family val="2"/>
      </rPr>
      <t xml:space="preserve">To delete a row in the middle of the RFQ tab:   </t>
    </r>
    <r>
      <rPr>
        <sz val="11"/>
        <color theme="1"/>
        <rFont val="Arial"/>
        <family val="2"/>
      </rPr>
      <t xml:space="preserve">                                                                                                A. </t>
    </r>
    <r>
      <rPr>
        <u/>
        <sz val="11"/>
        <color theme="1"/>
        <rFont val="Arial"/>
        <family val="2"/>
      </rPr>
      <t>Highlight</t>
    </r>
    <r>
      <rPr>
        <sz val="11"/>
        <color theme="1"/>
        <rFont val="Arial"/>
        <family val="2"/>
      </rPr>
      <t xml:space="preserve"> the row to delete and delete.                                                                                       B. </t>
    </r>
    <r>
      <rPr>
        <u/>
        <sz val="11"/>
        <color theme="1"/>
        <rFont val="Arial"/>
        <family val="2"/>
      </rPr>
      <t>Highlight</t>
    </r>
    <r>
      <rPr>
        <sz val="11"/>
        <color theme="1"/>
        <rFont val="Arial"/>
        <family val="2"/>
      </rPr>
      <t xml:space="preserve"> the "#" cell above the first row with "##".                                                                             </t>
    </r>
    <r>
      <rPr>
        <sz val="11"/>
        <rFont val="Arial"/>
        <family val="2"/>
      </rPr>
      <t>C</t>
    </r>
    <r>
      <rPr>
        <sz val="11"/>
        <color theme="1"/>
        <rFont val="Arial"/>
        <family val="2"/>
      </rPr>
      <t xml:space="preserve">. </t>
    </r>
    <r>
      <rPr>
        <u/>
        <sz val="11"/>
        <color theme="1"/>
        <rFont val="Arial"/>
        <family val="2"/>
      </rPr>
      <t>Paste</t>
    </r>
    <r>
      <rPr>
        <sz val="11"/>
        <color theme="1"/>
        <rFont val="Arial"/>
        <family val="2"/>
      </rPr>
      <t xml:space="preserve"> the copied "#" cell into the first "#" cell with "##". Then you will need to go to the Tech Eval tab and </t>
    </r>
    <r>
      <rPr>
        <u/>
        <sz val="11"/>
        <color theme="1"/>
        <rFont val="Arial"/>
        <family val="2"/>
      </rPr>
      <t>Delete</t>
    </r>
    <r>
      <rPr>
        <sz val="11"/>
        <color theme="1"/>
        <rFont val="Arial"/>
        <family val="2"/>
      </rPr>
      <t xml:space="preserve"> the 14 lines for the item that was removed. (Easily identified by "#REF").</t>
    </r>
  </si>
  <si>
    <t>Inserting more Columns into Locations area</t>
  </si>
  <si>
    <r>
      <t xml:space="preserve">If you need to insert more columns in the Locations matrix (there are 80 columns in the template), highlight the green column and move your cursor to how many columns you need to add.  Right click and select "Insert".  Then </t>
    </r>
    <r>
      <rPr>
        <u/>
        <sz val="11"/>
        <color theme="1"/>
        <rFont val="Arial"/>
        <family val="2"/>
      </rPr>
      <t>Highlight</t>
    </r>
    <r>
      <rPr>
        <sz val="11"/>
        <color theme="1"/>
        <rFont val="Arial"/>
        <family val="2"/>
      </rPr>
      <t xml:space="preserve"> the last column and </t>
    </r>
    <r>
      <rPr>
        <u/>
        <sz val="11"/>
        <color theme="1"/>
        <rFont val="Arial"/>
        <family val="2"/>
      </rPr>
      <t>Copy</t>
    </r>
    <r>
      <rPr>
        <sz val="11"/>
        <color theme="1"/>
        <rFont val="Arial"/>
        <family val="2"/>
      </rPr>
      <t xml:space="preserve"> into the new columns.</t>
    </r>
  </si>
  <si>
    <t>Printing (optional)</t>
  </si>
  <si>
    <t>To print the Attachment 1, go to "VIEW" tab, select "Custom Views", and highlight "attach1" and click show.  Then go to FILE/PRINT.  It is set up to print landscape on 8.5 x 11 paper.</t>
  </si>
  <si>
    <t>To print the Locations, go to "VIEW" tab, select "Custom Views", and highlight "locations" and click show.  Then go to FILE/PRINT.  It is set up to print landscape on 8.5 x 11 paper.</t>
  </si>
  <si>
    <t>Preparation of Tech Eval after quotes are received back from Vendors</t>
  </si>
  <si>
    <r>
      <t xml:space="preserve">A. </t>
    </r>
    <r>
      <rPr>
        <u/>
        <sz val="11"/>
        <color theme="1"/>
        <rFont val="Arial"/>
        <family val="2"/>
      </rPr>
      <t>Copy</t>
    </r>
    <r>
      <rPr>
        <sz val="11"/>
        <color theme="1"/>
        <rFont val="Arial"/>
        <family val="2"/>
      </rPr>
      <t xml:space="preserve"> the "Tech Eval HNC USE ONLY" columns A-C, all rows that are blue (prior to the first purple cells) into Att 8 Document (Word) prior to starting the Tech Eval.
B. Title the Document "1st TR - Vendor - Project Name.docx" for the Tech Eval.  Each item will have a "block" of 14 rows, to allow for multiple rounds of tech evals.  When dealing with a specific item, please remember there are 14 rows to copy. 
</t>
    </r>
    <r>
      <rPr>
        <b/>
        <sz val="11"/>
        <color theme="1"/>
        <rFont val="Arial"/>
        <family val="2"/>
      </rPr>
      <t>NOTE: DO NOT COMPLETE THE TECH REVIEW IN THE ATT 1 TEMPLATE.</t>
    </r>
  </si>
  <si>
    <r>
      <rPr>
        <i/>
        <sz val="11"/>
        <color theme="1"/>
        <rFont val="Arial"/>
        <family val="2"/>
      </rPr>
      <t xml:space="preserve">To add more lines to the RFQ Tab:
</t>
    </r>
    <r>
      <rPr>
        <sz val="11"/>
        <color theme="1"/>
        <rFont val="Arial"/>
        <family val="2"/>
      </rPr>
      <t>A.</t>
    </r>
    <r>
      <rPr>
        <i/>
        <sz val="11"/>
        <color theme="1"/>
        <rFont val="Arial"/>
        <family val="2"/>
      </rPr>
      <t xml:space="preserve"> </t>
    </r>
    <r>
      <rPr>
        <sz val="11"/>
        <color theme="1"/>
        <rFont val="Arial"/>
        <family val="2"/>
      </rPr>
      <t>When lines are added to the RFQ tab you must also insert more rows in the Tech Eval tab.</t>
    </r>
    <r>
      <rPr>
        <b/>
        <sz val="11"/>
        <color theme="1"/>
        <rFont val="Arial"/>
        <family val="2"/>
      </rPr>
      <t xml:space="preserve">  
</t>
    </r>
    <r>
      <rPr>
        <sz val="11"/>
        <color theme="1"/>
        <rFont val="Arial"/>
        <family val="2"/>
      </rPr>
      <t xml:space="preserve">B. </t>
    </r>
    <r>
      <rPr>
        <u/>
        <sz val="11"/>
        <color theme="1"/>
        <rFont val="Arial"/>
        <family val="2"/>
      </rPr>
      <t>Highlight</t>
    </r>
    <r>
      <rPr>
        <sz val="11"/>
        <color theme="1"/>
        <rFont val="Arial"/>
        <family val="2"/>
      </rPr>
      <t xml:space="preserve"> the 14 rows that reflect the tech eval block for the item directly above.  
C. </t>
    </r>
    <r>
      <rPr>
        <u/>
        <sz val="11"/>
        <color theme="1"/>
        <rFont val="Arial"/>
        <family val="2"/>
      </rPr>
      <t>Copy</t>
    </r>
    <r>
      <rPr>
        <sz val="11"/>
        <color theme="1"/>
        <rFont val="Arial"/>
        <family val="2"/>
      </rPr>
      <t xml:space="preserve"> those onto the end, or in whatever location is required, repeat for each new item.  
D. Hand change the 7 formulas that pull data from the RFQ tab. They are in the first 5 lines of the item block. The 2 digit cell numbers will need to be changed to 85.  The next one will be changed to 86 and so forth. </t>
    </r>
  </si>
  <si>
    <r>
      <rPr>
        <i/>
        <sz val="11"/>
        <color theme="1"/>
        <rFont val="Arial"/>
        <family val="2"/>
      </rPr>
      <t>To delete lines from the RFQ Tab:</t>
    </r>
    <r>
      <rPr>
        <sz val="11"/>
        <color theme="1"/>
        <rFont val="Arial"/>
        <family val="2"/>
      </rPr>
      <t xml:space="preserve">
A. If lines are deleted from the RFQ Tab, you will need to delete rows in the Tech Eval tab.  
B. The item block in the Tech Eval tab will have the #REF! error.  If you come across a block that is not needed, either </t>
    </r>
    <r>
      <rPr>
        <u/>
        <sz val="11"/>
        <color theme="1"/>
        <rFont val="Arial"/>
        <family val="2"/>
      </rPr>
      <t>Delete</t>
    </r>
    <r>
      <rPr>
        <sz val="11"/>
        <color theme="1"/>
        <rFont val="Arial"/>
        <family val="2"/>
      </rPr>
      <t xml:space="preserve"> or </t>
    </r>
    <r>
      <rPr>
        <u/>
        <sz val="11"/>
        <color theme="1"/>
        <rFont val="Arial"/>
        <family val="2"/>
      </rPr>
      <t>Hide</t>
    </r>
    <r>
      <rPr>
        <sz val="11"/>
        <color theme="1"/>
        <rFont val="Arial"/>
        <family val="2"/>
      </rPr>
      <t xml:space="preserve"> those 14 rows.</t>
    </r>
  </si>
  <si>
    <t>Preparation of an Revision / MOD</t>
  </si>
  <si>
    <r>
      <t xml:space="preserve">A. "Save As" the Att 1 file and add REV 00-00-0000 (date) to the title and the file name. 
B. To update the Att 1 for a change of product manually highlight cells in yellow that need changing (modifying).  
C. For a change in quantity, this includes the quantity on the Locations matrix, the total quantity for the item on the Locations matrix, and the quantity on the RFQ table, </t>
    </r>
    <r>
      <rPr>
        <u/>
        <sz val="11"/>
        <rFont val="Arial"/>
        <family val="2"/>
      </rPr>
      <t>Highlight</t>
    </r>
    <r>
      <rPr>
        <sz val="11"/>
        <rFont val="Arial"/>
        <family val="2"/>
      </rPr>
      <t xml:space="preserve"> the yellow cell(s) at the bottom of the Locations matrix and use </t>
    </r>
    <r>
      <rPr>
        <u/>
        <sz val="11"/>
        <rFont val="Arial"/>
        <family val="2"/>
      </rPr>
      <t>Format Paint</t>
    </r>
    <r>
      <rPr>
        <sz val="11"/>
        <rFont val="Arial"/>
        <family val="2"/>
      </rPr>
      <t xml:space="preserve"> to update the cells above.</t>
    </r>
    <r>
      <rPr>
        <b/>
        <sz val="11"/>
        <rFont val="Arial"/>
        <family val="2"/>
      </rPr>
      <t xml:space="preserve"> NOTE: Tan lines cannot be changed to yellow the normal way.</t>
    </r>
  </si>
  <si>
    <t>USAG YONGSAN-CASEY, Bldg 2849, Appliances</t>
  </si>
  <si>
    <t>8.2.a</t>
  </si>
  <si>
    <t>8.3.a</t>
  </si>
  <si>
    <t>8.8.a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</si>
</sst>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
  </numFmts>
  <fonts count="37"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Arial"/>
      <family val="2"/>
    </font>
    <font>
      <sz val="10"/>
      <color theme="1"/>
      <name val="Arial"/>
      <family val="2"/>
    </font>
    <font>
      <sz val="11"/>
      <color theme="1"/>
      <name val="Arial"/>
      <family val="2"/>
    </font>
    <font>
      <sz val="8"/>
      <color theme="1"/>
      <name val="Calibri"/>
      <family val="2"/>
      <scheme val="minor"/>
    </font>
    <font>
      <sz val="11"/>
      <color rgb="FFFF0000"/>
      <name val="Calibri"/>
      <family val="2"/>
      <scheme val="minor"/>
    </font>
    <font>
      <b/>
      <sz val="11"/>
      <color theme="9" tint="-0.249977111117893"/>
      <name val="Franklin Gothic Heavy"/>
      <family val="2"/>
    </font>
    <font>
      <b/>
      <sz val="8"/>
      <name val="Calibri"/>
      <family val="2"/>
      <scheme val="minor"/>
    </font>
    <font>
      <b/>
      <sz val="12"/>
      <name val="Arial"/>
      <family val="2"/>
    </font>
    <font>
      <b/>
      <i/>
      <sz val="12"/>
      <name val="Arial"/>
      <family val="2"/>
    </font>
    <font>
      <u/>
      <sz val="11"/>
      <color theme="10"/>
      <name val="Calibri"/>
      <family val="2"/>
      <scheme val="minor"/>
    </font>
    <font>
      <b/>
      <sz val="16"/>
      <color theme="1"/>
      <name val="Arial"/>
      <family val="2"/>
    </font>
    <font>
      <b/>
      <sz val="11"/>
      <color theme="1"/>
      <name val="Arial"/>
      <family val="2"/>
    </font>
    <font>
      <sz val="10"/>
      <color rgb="FFFF0000"/>
      <name val="Arial"/>
      <family val="2"/>
    </font>
    <font>
      <u/>
      <sz val="11"/>
      <color theme="1"/>
      <name val="Arial"/>
      <family val="2"/>
    </font>
    <font>
      <sz val="12"/>
      <name val="Arial"/>
      <family val="2"/>
    </font>
    <font>
      <sz val="12"/>
      <color theme="1"/>
      <name val="Calibri"/>
      <family val="2"/>
      <scheme val="minor"/>
    </font>
    <font>
      <sz val="12"/>
      <color theme="1"/>
      <name val="Arial"/>
      <family val="2"/>
    </font>
    <font>
      <b/>
      <sz val="12"/>
      <color theme="1"/>
      <name val="Calibri"/>
      <family val="2"/>
      <scheme val="minor"/>
    </font>
    <font>
      <sz val="18"/>
      <color theme="1"/>
      <name val="Calibri"/>
      <family val="2"/>
      <scheme val="minor"/>
    </font>
    <font>
      <sz val="11"/>
      <color theme="0"/>
      <name val="Calibri"/>
      <family val="2"/>
      <scheme val="minor"/>
    </font>
    <font>
      <sz val="11"/>
      <color theme="0"/>
      <name val="Arial Black"/>
      <family val="2"/>
    </font>
    <font>
      <i/>
      <sz val="14"/>
      <color theme="1"/>
      <name val="Arial Narrow"/>
      <family val="2"/>
    </font>
    <font>
      <sz val="9"/>
      <color theme="1"/>
      <name val="Arial Narrow"/>
      <family val="2"/>
    </font>
    <font>
      <b/>
      <sz val="18"/>
      <color theme="1"/>
      <name val="Arial"/>
      <family val="2"/>
    </font>
    <font>
      <b/>
      <sz val="12"/>
      <color theme="1"/>
      <name val="Arial"/>
      <family val="2"/>
    </font>
    <font>
      <sz val="12"/>
      <color theme="1"/>
      <name val="Arial Narrow"/>
      <family val="2"/>
    </font>
    <font>
      <b/>
      <i/>
      <sz val="14"/>
      <color theme="1"/>
      <name val="Arial Narrow"/>
      <family val="2"/>
    </font>
    <font>
      <b/>
      <sz val="24"/>
      <color theme="1"/>
      <name val="Arial"/>
      <family val="2"/>
    </font>
    <font>
      <b/>
      <sz val="9"/>
      <color theme="1"/>
      <name val="Arial Narrow"/>
      <family val="2"/>
    </font>
    <font>
      <b/>
      <i/>
      <sz val="11"/>
      <color theme="1"/>
      <name val="Arial"/>
      <family val="2"/>
    </font>
    <font>
      <u/>
      <sz val="11"/>
      <name val="Arial"/>
      <family val="2"/>
    </font>
    <font>
      <b/>
      <sz val="11"/>
      <name val="Arial"/>
      <family val="2"/>
    </font>
    <font>
      <i/>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F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6" tint="0.59996337778862885"/>
        <bgColor indexed="64"/>
      </patternFill>
    </fill>
    <fill>
      <patternFill patternType="darkGrid"/>
    </fill>
    <fill>
      <patternFill patternType="solid">
        <fgColor rgb="FF70AD47"/>
        <bgColor indexed="64"/>
      </patternFill>
    </fill>
    <fill>
      <patternFill patternType="solid">
        <fgColor rgb="FFA9D08E"/>
        <bgColor indexed="64"/>
      </patternFill>
    </fill>
    <fill>
      <patternFill patternType="solid">
        <fgColor theme="9"/>
        <bgColor indexed="64"/>
      </patternFill>
    </fill>
  </fills>
  <borders count="5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top/>
      <bottom style="thin">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style="medium">
        <color indexed="64"/>
      </right>
      <top style="medium">
        <color indexed="64"/>
      </top>
      <bottom/>
      <diagonal/>
    </border>
    <border>
      <left/>
      <right/>
      <top style="medium">
        <color indexed="64"/>
      </top>
      <bottom style="thin">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style="thick">
        <color indexed="64"/>
      </right>
      <top/>
      <bottom style="thick">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44" fontId="1" fillId="0" borderId="0"/>
    <xf numFmtId="0" fontId="13" fillId="0" borderId="0"/>
  </cellStyleXfs>
  <cellXfs count="174">
    <xf numFmtId="0" fontId="0" fillId="0" borderId="0" xfId="0"/>
    <xf numFmtId="0" fontId="0" fillId="0" borderId="0" xfId="0" applyProtection="1">
      <protection locked="0"/>
    </xf>
    <xf numFmtId="0" fontId="0" fillId="0" borderId="0" xfId="0" applyAlignment="1" applyProtection="1">
      <alignment horizontal="left" wrapText="1"/>
      <protection locked="0"/>
    </xf>
    <xf numFmtId="0" fontId="0" fillId="0" borderId="0" xfId="0" applyAlignment="1" applyProtection="1">
      <alignment horizontal="center"/>
      <protection locked="0"/>
    </xf>
    <xf numFmtId="0" fontId="3" fillId="0" borderId="0" xfId="0" applyFont="1" applyAlignment="1" applyProtection="1">
      <alignment horizontal="center"/>
      <protection locked="0"/>
    </xf>
    <xf numFmtId="0" fontId="0" fillId="0" borderId="16" xfId="0" applyBorder="1" applyAlignment="1" applyProtection="1">
      <alignment horizontal="center"/>
      <protection locked="0"/>
    </xf>
    <xf numFmtId="49" fontId="0" fillId="0" borderId="0" xfId="0" applyNumberFormat="1" applyAlignment="1">
      <alignment wrapText="1"/>
    </xf>
    <xf numFmtId="0" fontId="7" fillId="0" borderId="0" xfId="0" applyFont="1" applyProtection="1">
      <protection locked="0"/>
    </xf>
    <xf numFmtId="49" fontId="0" fillId="0" borderId="0" xfId="0" applyNumberFormat="1" applyAlignment="1" applyProtection="1">
      <alignment horizontal="center"/>
      <protection locked="0"/>
    </xf>
    <xf numFmtId="0" fontId="12" fillId="0" borderId="0" xfId="0" applyFont="1" applyAlignment="1">
      <alignment wrapText="1"/>
    </xf>
    <xf numFmtId="0" fontId="0" fillId="0" borderId="0" xfId="0" applyAlignment="1">
      <alignment wrapText="1"/>
    </xf>
    <xf numFmtId="0" fontId="8" fillId="0" borderId="0" xfId="0" applyFont="1" applyAlignment="1">
      <alignment wrapText="1"/>
    </xf>
    <xf numFmtId="0" fontId="9" fillId="0" borderId="0" xfId="0" applyFont="1" applyAlignment="1">
      <alignment wrapText="1"/>
    </xf>
    <xf numFmtId="0" fontId="5" fillId="8" borderId="25" xfId="0" applyFont="1" applyFill="1" applyBorder="1" applyAlignment="1">
      <alignment horizontal="left" vertical="top" wrapText="1"/>
    </xf>
    <xf numFmtId="0" fontId="11" fillId="0" borderId="1" xfId="0" applyFont="1" applyBorder="1" applyAlignment="1">
      <alignment horizontal="left" vertical="center" wrapText="1"/>
    </xf>
    <xf numFmtId="49" fontId="2" fillId="0" borderId="26" xfId="0" applyNumberFormat="1" applyFont="1" applyBorder="1" applyAlignment="1">
      <alignment horizontal="left" wrapText="1"/>
    </xf>
    <xf numFmtId="0" fontId="2" fillId="0" borderId="25" xfId="0" applyFont="1" applyBorder="1" applyAlignment="1">
      <alignment wrapText="1"/>
    </xf>
    <xf numFmtId="0" fontId="11" fillId="0" borderId="11" xfId="0" applyFont="1" applyBorder="1" applyAlignment="1">
      <alignment horizontal="left" vertical="center" wrapText="1"/>
    </xf>
    <xf numFmtId="49" fontId="2" fillId="0" borderId="25" xfId="0" applyNumberFormat="1" applyFont="1" applyBorder="1" applyAlignment="1">
      <alignment wrapText="1"/>
    </xf>
    <xf numFmtId="49" fontId="2" fillId="0" borderId="2" xfId="0" applyNumberFormat="1" applyFont="1" applyBorder="1" applyAlignment="1">
      <alignment horizontal="left" wrapText="1"/>
    </xf>
    <xf numFmtId="0" fontId="6" fillId="0" borderId="0" xfId="0" applyFont="1" applyAlignment="1">
      <alignment wrapText="1"/>
    </xf>
    <xf numFmtId="49" fontId="2" fillId="0" borderId="23" xfId="0" applyNumberFormat="1" applyFont="1" applyBorder="1" applyAlignment="1">
      <alignment horizontal="left" wrapText="1"/>
    </xf>
    <xf numFmtId="0" fontId="11" fillId="0" borderId="10" xfId="0" applyFont="1" applyBorder="1" applyAlignment="1">
      <alignment horizontal="left" vertical="center" wrapText="1"/>
    </xf>
    <xf numFmtId="0" fontId="4" fillId="0" borderId="26" xfId="0" applyFont="1" applyBorder="1"/>
    <xf numFmtId="0" fontId="4" fillId="0" borderId="23" xfId="0" applyFont="1" applyBorder="1"/>
    <xf numFmtId="0" fontId="4" fillId="0" borderId="23" xfId="0" applyFont="1" applyBorder="1" applyAlignment="1">
      <alignment wrapText="1"/>
    </xf>
    <xf numFmtId="0" fontId="6" fillId="0" borderId="0" xfId="0" applyFont="1"/>
    <xf numFmtId="49" fontId="6" fillId="0" borderId="18" xfId="0" applyNumberFormat="1" applyFont="1" applyBorder="1" applyAlignment="1">
      <alignment wrapText="1"/>
    </xf>
    <xf numFmtId="49" fontId="4" fillId="0" borderId="18" xfId="0" applyNumberFormat="1" applyFont="1" applyBorder="1" applyAlignment="1">
      <alignment wrapText="1"/>
    </xf>
    <xf numFmtId="49" fontId="6" fillId="0" borderId="22" xfId="0" applyNumberFormat="1" applyFont="1" applyBorder="1" applyAlignment="1">
      <alignment wrapText="1"/>
    </xf>
    <xf numFmtId="0" fontId="6" fillId="0" borderId="16" xfId="0" applyFont="1" applyBorder="1" applyAlignment="1">
      <alignment wrapText="1"/>
    </xf>
    <xf numFmtId="0" fontId="4" fillId="0" borderId="25" xfId="0" applyFont="1" applyBorder="1"/>
    <xf numFmtId="49" fontId="15" fillId="7" borderId="10" xfId="0" applyNumberFormat="1" applyFont="1" applyFill="1" applyBorder="1" applyAlignment="1">
      <alignment wrapText="1"/>
    </xf>
    <xf numFmtId="0" fontId="6" fillId="7" borderId="12" xfId="0" applyFont="1" applyFill="1" applyBorder="1"/>
    <xf numFmtId="49" fontId="6" fillId="0" borderId="13" xfId="0" applyNumberFormat="1" applyFont="1" applyBorder="1" applyAlignment="1">
      <alignment wrapText="1"/>
    </xf>
    <xf numFmtId="0" fontId="16" fillId="0" borderId="26" xfId="0" applyFont="1" applyBorder="1" applyAlignment="1">
      <alignment horizontal="left" vertical="top" wrapText="1"/>
    </xf>
    <xf numFmtId="0" fontId="16" fillId="0" borderId="26" xfId="0" applyFont="1" applyBorder="1" applyAlignment="1">
      <alignment vertical="top" wrapText="1"/>
    </xf>
    <xf numFmtId="0" fontId="16" fillId="0" borderId="2" xfId="0" applyFont="1" applyBorder="1" applyAlignment="1">
      <alignment horizontal="center" vertical="top" wrapText="1"/>
    </xf>
    <xf numFmtId="0" fontId="5" fillId="8" borderId="25" xfId="0" applyFont="1" applyFill="1" applyBorder="1" applyAlignment="1">
      <alignment vertical="top" wrapText="1"/>
    </xf>
    <xf numFmtId="0" fontId="16" fillId="0" borderId="2" xfId="0" applyFont="1" applyBorder="1" applyAlignment="1">
      <alignment vertical="top" wrapText="1"/>
    </xf>
    <xf numFmtId="49" fontId="6" fillId="0" borderId="35" xfId="0" applyNumberFormat="1" applyFont="1" applyBorder="1" applyAlignment="1">
      <alignment wrapText="1"/>
    </xf>
    <xf numFmtId="49" fontId="6" fillId="0" borderId="37" xfId="0" applyNumberFormat="1" applyFont="1" applyBorder="1" applyAlignment="1">
      <alignment wrapText="1"/>
    </xf>
    <xf numFmtId="49" fontId="6" fillId="0" borderId="7" xfId="0" applyNumberFormat="1" applyFont="1" applyBorder="1" applyAlignment="1">
      <alignment wrapText="1"/>
    </xf>
    <xf numFmtId="49" fontId="6" fillId="0" borderId="9" xfId="0" applyNumberFormat="1" applyFont="1" applyBorder="1" applyAlignment="1">
      <alignment wrapText="1"/>
    </xf>
    <xf numFmtId="49" fontId="4" fillId="0" borderId="13" xfId="0" applyNumberFormat="1" applyFont="1" applyBorder="1" applyAlignment="1">
      <alignment wrapText="1"/>
    </xf>
    <xf numFmtId="0" fontId="6" fillId="0" borderId="23" xfId="0" applyFont="1" applyBorder="1"/>
    <xf numFmtId="0" fontId="6" fillId="0" borderId="25" xfId="0" applyFont="1" applyBorder="1"/>
    <xf numFmtId="49" fontId="6" fillId="0" borderId="22" xfId="0" applyNumberFormat="1" applyFont="1" applyBorder="1" applyAlignment="1">
      <alignment vertical="center" wrapText="1"/>
    </xf>
    <xf numFmtId="49" fontId="6" fillId="0" borderId="24" xfId="0" applyNumberFormat="1" applyFont="1" applyBorder="1" applyAlignment="1">
      <alignment horizontal="center" vertical="top"/>
    </xf>
    <xf numFmtId="49" fontId="6" fillId="0" borderId="33" xfId="0" applyNumberFormat="1" applyFont="1" applyBorder="1" applyAlignment="1">
      <alignment horizontal="center" vertical="top"/>
    </xf>
    <xf numFmtId="49" fontId="6" fillId="0" borderId="30" xfId="0" applyNumberFormat="1" applyFont="1" applyBorder="1" applyAlignment="1">
      <alignment horizontal="center" vertical="top"/>
    </xf>
    <xf numFmtId="49" fontId="6" fillId="0" borderId="28" xfId="0" applyNumberFormat="1" applyFont="1" applyBorder="1" applyAlignment="1">
      <alignment horizontal="center" vertical="top"/>
    </xf>
    <xf numFmtId="49" fontId="6" fillId="0" borderId="36" xfId="0" applyNumberFormat="1" applyFont="1" applyBorder="1" applyAlignment="1">
      <alignment horizontal="center" vertical="top"/>
    </xf>
    <xf numFmtId="49" fontId="6" fillId="0" borderId="27" xfId="0" applyNumberFormat="1" applyFont="1" applyBorder="1" applyAlignment="1">
      <alignment horizontal="center" vertical="top"/>
    </xf>
    <xf numFmtId="49" fontId="0" fillId="0" borderId="0" xfId="0" applyNumberFormat="1" applyAlignment="1">
      <alignment horizontal="center" vertical="top"/>
    </xf>
    <xf numFmtId="49" fontId="6" fillId="0" borderId="32" xfId="0" applyNumberFormat="1" applyFont="1" applyBorder="1" applyAlignment="1">
      <alignment horizontal="center" vertical="top"/>
    </xf>
    <xf numFmtId="0" fontId="18" fillId="0" borderId="0" xfId="2" applyFont="1" applyAlignment="1">
      <alignment vertical="center"/>
    </xf>
    <xf numFmtId="49" fontId="20" fillId="0" borderId="0" xfId="0" applyNumberFormat="1" applyFont="1" applyAlignment="1" applyProtection="1">
      <alignment wrapText="1"/>
      <protection locked="0"/>
    </xf>
    <xf numFmtId="0" fontId="18" fillId="0" borderId="0" xfId="2" applyFont="1"/>
    <xf numFmtId="49" fontId="20" fillId="0" borderId="0" xfId="0" applyNumberFormat="1" applyFont="1" applyAlignment="1" applyProtection="1">
      <alignment horizontal="left" wrapText="1"/>
      <protection locked="0"/>
    </xf>
    <xf numFmtId="164" fontId="20" fillId="0" borderId="23" xfId="0" applyNumberFormat="1" applyFont="1" applyBorder="1"/>
    <xf numFmtId="164" fontId="20" fillId="0" borderId="2" xfId="0" applyNumberFormat="1" applyFont="1" applyBorder="1"/>
    <xf numFmtId="49" fontId="15" fillId="0" borderId="0" xfId="0" applyNumberFormat="1" applyFont="1" applyAlignment="1">
      <alignment wrapText="1"/>
    </xf>
    <xf numFmtId="49" fontId="6" fillId="0" borderId="29" xfId="0" applyNumberFormat="1" applyFont="1" applyBorder="1" applyAlignment="1">
      <alignment horizontal="center" vertical="top"/>
    </xf>
    <xf numFmtId="49" fontId="6" fillId="0" borderId="18" xfId="0" applyNumberFormat="1" applyFont="1" applyBorder="1" applyAlignment="1">
      <alignment horizontal="left" wrapText="1"/>
    </xf>
    <xf numFmtId="0" fontId="4" fillId="0" borderId="26" xfId="0" applyFont="1" applyBorder="1" applyAlignment="1">
      <alignment wrapText="1"/>
    </xf>
    <xf numFmtId="0" fontId="4" fillId="0" borderId="23" xfId="0" applyFont="1" applyBorder="1" applyAlignment="1">
      <alignment horizontal="left"/>
    </xf>
    <xf numFmtId="0" fontId="4" fillId="0" borderId="25" xfId="0" applyFont="1" applyBorder="1" applyAlignment="1">
      <alignment horizontal="left"/>
    </xf>
    <xf numFmtId="49" fontId="17" fillId="0" borderId="7" xfId="0" applyNumberFormat="1" applyFont="1" applyBorder="1" applyAlignment="1">
      <alignment wrapText="1"/>
    </xf>
    <xf numFmtId="49" fontId="15" fillId="7" borderId="1" xfId="0" applyNumberFormat="1" applyFont="1" applyFill="1" applyBorder="1" applyAlignment="1">
      <alignment wrapText="1"/>
    </xf>
    <xf numFmtId="0" fontId="6" fillId="0" borderId="2" xfId="0" applyFont="1" applyBorder="1"/>
    <xf numFmtId="49" fontId="6" fillId="0" borderId="38" xfId="0" applyNumberFormat="1" applyFont="1" applyBorder="1" applyAlignment="1">
      <alignment horizontal="center" vertical="top"/>
    </xf>
    <xf numFmtId="49" fontId="6" fillId="0" borderId="19" xfId="0" applyNumberFormat="1" applyFont="1" applyBorder="1" applyAlignment="1">
      <alignment wrapText="1"/>
    </xf>
    <xf numFmtId="164" fontId="7" fillId="11" borderId="0" xfId="0" applyNumberFormat="1" applyFont="1" applyFill="1"/>
    <xf numFmtId="0" fontId="6" fillId="6" borderId="43" xfId="0" applyFont="1" applyFill="1" applyBorder="1" applyAlignment="1">
      <alignment horizontal="left" wrapText="1"/>
    </xf>
    <xf numFmtId="49" fontId="6" fillId="6" borderId="18" xfId="0" applyNumberFormat="1" applyFont="1" applyFill="1" applyBorder="1" applyAlignment="1">
      <alignment wrapText="1"/>
    </xf>
    <xf numFmtId="0" fontId="10" fillId="2" borderId="6" xfId="0" applyFont="1" applyFill="1" applyBorder="1" applyAlignment="1">
      <alignment wrapText="1"/>
    </xf>
    <xf numFmtId="0" fontId="0" fillId="0" borderId="6" xfId="0" applyBorder="1" applyAlignment="1">
      <alignment wrapText="1"/>
    </xf>
    <xf numFmtId="0" fontId="0" fillId="2" borderId="6" xfId="0" applyFill="1" applyBorder="1" applyAlignment="1">
      <alignment wrapText="1"/>
    </xf>
    <xf numFmtId="0" fontId="23" fillId="2" borderId="6" xfId="0" applyFont="1" applyFill="1" applyBorder="1" applyAlignment="1">
      <alignment wrapText="1"/>
    </xf>
    <xf numFmtId="0" fontId="10" fillId="2" borderId="5" xfId="0" applyFont="1" applyFill="1" applyBorder="1" applyAlignment="1">
      <alignment wrapText="1"/>
    </xf>
    <xf numFmtId="0" fontId="0" fillId="0" borderId="5" xfId="0" applyBorder="1" applyAlignment="1">
      <alignment wrapText="1"/>
    </xf>
    <xf numFmtId="0" fontId="0" fillId="2" borderId="5" xfId="0" applyFill="1" applyBorder="1" applyAlignment="1">
      <alignment wrapText="1"/>
    </xf>
    <xf numFmtId="0" fontId="23" fillId="2" borderId="5" xfId="0" applyFont="1" applyFill="1" applyBorder="1" applyAlignment="1">
      <alignment wrapText="1"/>
    </xf>
    <xf numFmtId="164" fontId="14" fillId="14" borderId="42" xfId="1" applyNumberFormat="1" applyFont="1" applyFill="1" applyBorder="1" applyAlignment="1">
      <alignment vertical="center" wrapText="1"/>
    </xf>
    <xf numFmtId="0" fontId="20" fillId="10" borderId="6" xfId="0" applyFont="1" applyFill="1" applyBorder="1" applyAlignment="1">
      <alignment horizontal="center" vertical="top" wrapText="1"/>
    </xf>
    <xf numFmtId="49" fontId="29" fillId="0" borderId="6" xfId="0" applyNumberFormat="1" applyFont="1" applyBorder="1" applyAlignment="1" applyProtection="1">
      <alignment horizontal="left" vertical="top" wrapText="1"/>
      <protection locked="0"/>
    </xf>
    <xf numFmtId="164" fontId="20" fillId="0" borderId="6" xfId="0" applyNumberFormat="1" applyFont="1" applyBorder="1" applyAlignment="1" applyProtection="1">
      <alignment horizontal="right" vertical="top" wrapText="1"/>
      <protection locked="0"/>
    </xf>
    <xf numFmtId="0" fontId="28" fillId="0" borderId="6" xfId="0" applyFont="1" applyBorder="1" applyAlignment="1">
      <alignment horizontal="center" vertical="center" wrapText="1"/>
    </xf>
    <xf numFmtId="0" fontId="28" fillId="12" borderId="45" xfId="0" applyFont="1" applyFill="1" applyBorder="1" applyAlignment="1">
      <alignment horizontal="left" vertical="center" wrapText="1"/>
    </xf>
    <xf numFmtId="0" fontId="28" fillId="12" borderId="37" xfId="0" applyFont="1" applyFill="1" applyBorder="1" applyAlignment="1">
      <alignment horizontal="left" vertical="center" wrapText="1"/>
    </xf>
    <xf numFmtId="164" fontId="28" fillId="12" borderId="45" xfId="0" applyNumberFormat="1" applyFont="1" applyFill="1" applyBorder="1" applyAlignment="1">
      <alignment horizontal="right" vertical="center" wrapText="1"/>
    </xf>
    <xf numFmtId="164" fontId="28" fillId="12" borderId="37" xfId="0" applyNumberFormat="1" applyFont="1" applyFill="1" applyBorder="1" applyAlignment="1">
      <alignment horizontal="right" vertical="center" wrapText="1"/>
    </xf>
    <xf numFmtId="164" fontId="28" fillId="12" borderId="33" xfId="0" applyNumberFormat="1" applyFont="1" applyFill="1" applyBorder="1" applyAlignment="1">
      <alignment horizontal="right" vertical="center" wrapText="1"/>
    </xf>
    <xf numFmtId="164" fontId="28" fillId="12" borderId="33" xfId="1" applyNumberFormat="1" applyFont="1" applyFill="1" applyBorder="1" applyAlignment="1">
      <alignment vertical="center" wrapText="1"/>
    </xf>
    <xf numFmtId="164" fontId="28" fillId="12" borderId="46" xfId="1" applyNumberFormat="1" applyFont="1" applyFill="1" applyBorder="1" applyAlignment="1">
      <alignment vertical="center" wrapText="1"/>
    </xf>
    <xf numFmtId="164" fontId="7" fillId="3" borderId="47" xfId="0" applyNumberFormat="1" applyFont="1" applyFill="1" applyBorder="1"/>
    <xf numFmtId="0" fontId="24" fillId="4" borderId="6" xfId="0" applyFont="1" applyFill="1" applyBorder="1" applyAlignment="1">
      <alignment wrapText="1"/>
    </xf>
    <xf numFmtId="0" fontId="7" fillId="0" borderId="6" xfId="0" applyFont="1" applyBorder="1" applyProtection="1">
      <protection locked="0"/>
    </xf>
    <xf numFmtId="164" fontId="7" fillId="0" borderId="6" xfId="0" applyNumberFormat="1" applyFont="1" applyBorder="1"/>
    <xf numFmtId="165" fontId="20" fillId="10" borderId="6" xfId="0" applyNumberFormat="1" applyFont="1" applyFill="1" applyBorder="1" applyAlignment="1">
      <alignment vertical="top" wrapText="1"/>
    </xf>
    <xf numFmtId="0" fontId="20" fillId="0" borderId="6" xfId="0" applyFont="1" applyBorder="1" applyAlignment="1">
      <alignment horizontal="center" vertical="top"/>
    </xf>
    <xf numFmtId="49" fontId="20" fillId="0" borderId="6" xfId="0" applyNumberFormat="1" applyFont="1" applyBorder="1" applyAlignment="1" applyProtection="1">
      <alignment horizontal="center" vertical="top" wrapText="1"/>
      <protection locked="0"/>
    </xf>
    <xf numFmtId="0" fontId="20" fillId="0" borderId="6" xfId="0" applyFont="1" applyBorder="1" applyAlignment="1" applyProtection="1">
      <alignment horizontal="left" vertical="top" wrapText="1"/>
      <protection locked="0"/>
    </xf>
    <xf numFmtId="0" fontId="27" fillId="13" borderId="6" xfId="0" applyFont="1" applyFill="1" applyBorder="1" applyAlignment="1">
      <alignment horizontal="center"/>
    </xf>
    <xf numFmtId="0" fontId="22" fillId="13" borderId="6" xfId="0" applyFont="1" applyFill="1" applyBorder="1"/>
    <xf numFmtId="0" fontId="28" fillId="0" borderId="6" xfId="0" applyFont="1" applyBorder="1" applyAlignment="1">
      <alignment horizontal="center" vertical="center" wrapText="1"/>
    </xf>
    <xf numFmtId="0" fontId="0" fillId="0" borderId="6" xfId="0" applyBorder="1" applyAlignment="1">
      <alignment horizontal="center" vertical="center" wrapText="1"/>
    </xf>
    <xf numFmtId="0" fontId="28" fillId="0" borderId="6" xfId="0" applyFont="1" applyBorder="1" applyAlignment="1">
      <alignment horizontal="center" vertical="center"/>
    </xf>
    <xf numFmtId="0" fontId="19" fillId="0" borderId="6" xfId="0" applyFont="1" applyBorder="1" applyAlignment="1">
      <alignment horizontal="center" vertical="center"/>
    </xf>
    <xf numFmtId="0" fontId="26" fillId="5" borderId="6" xfId="0" applyFont="1" applyFill="1" applyBorder="1" applyAlignment="1">
      <alignment wrapText="1"/>
    </xf>
    <xf numFmtId="0" fontId="0" fillId="5" borderId="6" xfId="0" applyFill="1" applyBorder="1" applyAlignment="1">
      <alignment wrapText="1"/>
    </xf>
    <xf numFmtId="0" fontId="10" fillId="5" borderId="36" xfId="0" applyFont="1" applyFill="1" applyBorder="1" applyAlignment="1">
      <alignment wrapText="1"/>
    </xf>
    <xf numFmtId="0" fontId="0" fillId="0" borderId="0" xfId="0" applyAlignment="1">
      <alignment wrapText="1"/>
    </xf>
    <xf numFmtId="0" fontId="27" fillId="12" borderId="33" xfId="0" applyFont="1" applyFill="1" applyBorder="1" applyAlignment="1">
      <alignment horizontal="left" vertical="center" wrapText="1"/>
    </xf>
    <xf numFmtId="0" fontId="22" fillId="12" borderId="45" xfId="0" applyFont="1" applyFill="1" applyBorder="1" applyAlignment="1">
      <alignment horizontal="left" vertical="center" wrapText="1"/>
    </xf>
    <xf numFmtId="0" fontId="28" fillId="0" borderId="48" xfId="0" applyFont="1" applyBorder="1" applyAlignment="1">
      <alignment horizontal="center" vertical="center" wrapText="1"/>
    </xf>
    <xf numFmtId="0" fontId="28" fillId="0" borderId="49" xfId="0" applyFont="1" applyBorder="1" applyAlignment="1">
      <alignment horizontal="center" vertical="center" wrapText="1"/>
    </xf>
    <xf numFmtId="0" fontId="28" fillId="0" borderId="50"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39" xfId="0" applyFont="1" applyBorder="1" applyAlignment="1">
      <alignment horizontal="center" vertical="center" wrapText="1"/>
    </xf>
    <xf numFmtId="0" fontId="28" fillId="0" borderId="51" xfId="0" applyFont="1" applyBorder="1" applyAlignment="1">
      <alignment horizontal="center" vertical="center" wrapText="1"/>
    </xf>
    <xf numFmtId="49" fontId="29" fillId="0" borderId="21" xfId="0" applyNumberFormat="1" applyFont="1" applyBorder="1" applyAlignment="1" applyProtection="1">
      <alignment horizontal="center" vertical="top" wrapText="1"/>
      <protection locked="0"/>
    </xf>
    <xf numFmtId="49" fontId="29" fillId="0" borderId="17" xfId="0" applyNumberFormat="1" applyFont="1" applyBorder="1" applyAlignment="1" applyProtection="1">
      <alignment horizontal="center" vertical="top" wrapText="1"/>
      <protection locked="0"/>
    </xf>
    <xf numFmtId="49" fontId="29" fillId="0" borderId="5" xfId="0" applyNumberFormat="1" applyFont="1" applyBorder="1" applyAlignment="1" applyProtection="1">
      <alignment horizontal="center" vertical="top" wrapText="1"/>
      <protection locked="0"/>
    </xf>
    <xf numFmtId="0" fontId="28" fillId="12" borderId="33" xfId="0" applyFont="1" applyFill="1" applyBorder="1" applyAlignment="1">
      <alignment horizontal="right" vertical="center" wrapText="1"/>
    </xf>
    <xf numFmtId="0" fontId="28" fillId="12" borderId="45" xfId="0" applyFont="1" applyFill="1" applyBorder="1" applyAlignment="1">
      <alignment horizontal="right" vertical="center" wrapText="1"/>
    </xf>
    <xf numFmtId="0" fontId="21" fillId="12" borderId="45" xfId="0" applyFont="1" applyFill="1" applyBorder="1" applyAlignment="1">
      <alignment horizontal="right" vertical="center" wrapText="1"/>
    </xf>
    <xf numFmtId="0" fontId="30" fillId="12" borderId="10" xfId="0" applyFont="1" applyFill="1" applyBorder="1" applyAlignment="1">
      <alignment horizontal="center" vertical="center" wrapText="1"/>
    </xf>
    <xf numFmtId="0" fontId="25" fillId="12" borderId="11" xfId="0" applyFont="1" applyFill="1" applyBorder="1" applyAlignment="1">
      <alignment horizontal="center" vertical="center" wrapText="1"/>
    </xf>
    <xf numFmtId="0" fontId="25" fillId="12" borderId="45" xfId="0" applyFont="1" applyFill="1" applyBorder="1" applyAlignment="1">
      <alignment horizontal="center" vertical="center" wrapText="1"/>
    </xf>
    <xf numFmtId="0" fontId="25" fillId="12" borderId="12" xfId="0" applyFont="1" applyFill="1" applyBorder="1" applyAlignment="1">
      <alignment horizontal="center" vertical="center" wrapText="1"/>
    </xf>
    <xf numFmtId="0" fontId="28" fillId="2" borderId="10" xfId="0" applyFont="1" applyFill="1" applyBorder="1" applyAlignment="1">
      <alignment horizontal="left" wrapText="1"/>
    </xf>
    <xf numFmtId="0" fontId="19" fillId="2" borderId="11" xfId="0" applyFont="1" applyFill="1" applyBorder="1" applyAlignment="1">
      <alignment horizontal="left" wrapText="1"/>
    </xf>
    <xf numFmtId="0" fontId="19" fillId="0" borderId="11" xfId="0" applyFont="1" applyBorder="1" applyAlignment="1">
      <alignment horizontal="left" wrapText="1"/>
    </xf>
    <xf numFmtId="0" fontId="19" fillId="0" borderId="12" xfId="0" applyFont="1" applyBorder="1" applyAlignment="1">
      <alignment horizontal="left" wrapText="1"/>
    </xf>
    <xf numFmtId="0" fontId="6" fillId="0" borderId="10" xfId="0" applyFont="1"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6" fillId="0" borderId="11" xfId="0" applyFont="1" applyBorder="1" applyAlignment="1">
      <alignment horizontal="left" wrapText="1"/>
    </xf>
    <xf numFmtId="0" fontId="6" fillId="0" borderId="12" xfId="0" applyFont="1" applyBorder="1" applyAlignment="1">
      <alignment horizontal="left" wrapText="1"/>
    </xf>
    <xf numFmtId="0" fontId="20" fillId="0" borderId="4" xfId="0" applyFont="1" applyBorder="1" applyAlignment="1">
      <alignment wrapText="1"/>
    </xf>
    <xf numFmtId="0" fontId="20" fillId="0" borderId="17" xfId="0" applyFont="1" applyBorder="1" applyAlignment="1">
      <alignment wrapText="1"/>
    </xf>
    <xf numFmtId="0" fontId="20" fillId="0" borderId="14" xfId="0" applyFont="1" applyBorder="1" applyAlignment="1">
      <alignment wrapText="1"/>
    </xf>
    <xf numFmtId="0" fontId="20" fillId="0" borderId="44" xfId="0" applyFont="1" applyBorder="1" applyAlignment="1">
      <alignment wrapText="1"/>
    </xf>
    <xf numFmtId="0" fontId="20" fillId="0" borderId="4" xfId="0" applyFont="1" applyBorder="1"/>
    <xf numFmtId="0" fontId="20" fillId="0" borderId="17" xfId="0" applyFont="1" applyBorder="1"/>
    <xf numFmtId="0" fontId="31" fillId="12" borderId="40" xfId="0" applyFont="1" applyFill="1" applyBorder="1" applyAlignment="1">
      <alignment horizontal="left" vertical="center" wrapText="1"/>
    </xf>
    <xf numFmtId="0" fontId="0" fillId="12" borderId="41" xfId="0" applyFill="1" applyBorder="1" applyAlignment="1">
      <alignment vertical="center" wrapText="1"/>
    </xf>
    <xf numFmtId="0" fontId="2" fillId="0" borderId="30" xfId="0" applyFont="1" applyBorder="1" applyAlignment="1">
      <alignment horizontal="left" vertical="top" wrapText="1"/>
    </xf>
    <xf numFmtId="0" fontId="2" fillId="0" borderId="3" xfId="0" applyFont="1" applyBorder="1" applyAlignment="1">
      <alignment horizontal="left" vertical="top" wrapText="1"/>
    </xf>
    <xf numFmtId="0" fontId="2" fillId="8" borderId="28" xfId="0" applyFont="1" applyFill="1" applyBorder="1" applyAlignment="1">
      <alignment horizontal="left" vertical="top" wrapText="1"/>
    </xf>
    <xf numFmtId="0" fontId="2" fillId="8" borderId="9" xfId="0" applyFont="1" applyFill="1" applyBorder="1" applyAlignment="1">
      <alignment horizontal="left" vertical="top" wrapText="1"/>
    </xf>
    <xf numFmtId="0" fontId="2" fillId="0" borderId="29" xfId="0" applyFont="1" applyBorder="1" applyAlignment="1">
      <alignment horizontal="left" vertical="top" wrapText="1"/>
    </xf>
    <xf numFmtId="0" fontId="2" fillId="0" borderId="15" xfId="0" applyFont="1" applyBorder="1" applyAlignment="1">
      <alignment horizontal="left" vertical="top" wrapText="1"/>
    </xf>
    <xf numFmtId="0" fontId="3" fillId="0" borderId="28" xfId="0" applyFont="1" applyBorder="1" applyAlignment="1">
      <alignment horizontal="left" wrapText="1"/>
    </xf>
    <xf numFmtId="0" fontId="3" fillId="0" borderId="31" xfId="0" applyFont="1" applyBorder="1" applyAlignment="1">
      <alignment horizontal="left" wrapText="1"/>
    </xf>
    <xf numFmtId="0" fontId="3" fillId="0" borderId="30" xfId="0" applyFont="1" applyBorder="1" applyAlignment="1">
      <alignment wrapText="1"/>
    </xf>
    <xf numFmtId="0" fontId="6" fillId="0" borderId="20" xfId="0" applyFont="1" applyBorder="1" applyAlignment="1">
      <alignment wrapText="1"/>
    </xf>
    <xf numFmtId="0" fontId="3" fillId="0" borderId="24" xfId="0" applyFont="1" applyBorder="1" applyAlignment="1">
      <alignment wrapText="1"/>
    </xf>
    <xf numFmtId="0" fontId="6" fillId="0" borderId="21" xfId="0" applyFont="1" applyBorder="1" applyAlignment="1">
      <alignment wrapText="1"/>
    </xf>
    <xf numFmtId="0" fontId="3" fillId="0" borderId="14" xfId="0" applyFont="1" applyBorder="1" applyAlignment="1">
      <alignment wrapText="1"/>
    </xf>
    <xf numFmtId="0" fontId="3" fillId="0" borderId="34" xfId="0" applyFont="1" applyBorder="1" applyAlignment="1">
      <alignment wrapText="1"/>
    </xf>
    <xf numFmtId="0" fontId="2" fillId="8" borderId="8" xfId="0" applyFont="1" applyFill="1" applyBorder="1" applyAlignment="1">
      <alignment horizontal="left" vertical="top" wrapText="1"/>
    </xf>
    <xf numFmtId="0" fontId="2" fillId="8" borderId="22" xfId="0" applyFont="1" applyFill="1" applyBorder="1" applyAlignment="1">
      <alignment horizontal="left" vertical="top" wrapText="1"/>
    </xf>
    <xf numFmtId="49" fontId="15" fillId="7" borderId="10" xfId="0" applyNumberFormat="1" applyFont="1" applyFill="1" applyBorder="1" applyAlignment="1">
      <alignment horizontal="center"/>
    </xf>
    <xf numFmtId="49" fontId="15" fillId="7" borderId="12" xfId="0" applyNumberFormat="1" applyFont="1" applyFill="1" applyBorder="1" applyAlignment="1">
      <alignment horizontal="center"/>
    </xf>
    <xf numFmtId="49" fontId="14" fillId="9" borderId="10" xfId="0" applyNumberFormat="1" applyFont="1" applyFill="1" applyBorder="1" applyAlignment="1">
      <alignment horizontal="center"/>
    </xf>
    <xf numFmtId="0" fontId="14" fillId="9" borderId="12" xfId="0" applyFont="1" applyFill="1" applyBorder="1" applyAlignment="1">
      <alignment horizontal="center"/>
    </xf>
    <xf numFmtId="49" fontId="15" fillId="7" borderId="10" xfId="0" applyNumberFormat="1" applyFont="1" applyFill="1" applyBorder="1" applyAlignment="1">
      <alignment horizontal="center" wrapText="1"/>
    </xf>
    <xf numFmtId="0" fontId="15" fillId="7" borderId="12" xfId="0" applyFont="1" applyFill="1" applyBorder="1" applyAlignment="1">
      <alignment horizontal="center" wrapText="1"/>
    </xf>
    <xf numFmtId="0" fontId="15" fillId="7" borderId="12" xfId="0" applyFont="1" applyFill="1" applyBorder="1" applyAlignment="1">
      <alignment horizontal="center"/>
    </xf>
    <xf numFmtId="49" fontId="15" fillId="7" borderId="14" xfId="0" applyNumberFormat="1" applyFont="1" applyFill="1" applyBorder="1" applyAlignment="1">
      <alignment horizontal="center"/>
    </xf>
    <xf numFmtId="0" fontId="15" fillId="7" borderId="34" xfId="0" applyFont="1" applyFill="1" applyBorder="1" applyAlignment="1">
      <alignment horizontal="center"/>
    </xf>
  </cellXfs>
  <cellStyles count="3">
    <cellStyle name="Currency" xfId="1" builtinId="4"/>
    <cellStyle name="Hyperlink" xfId="2" builtinId="8"/>
    <cellStyle name="Normal" xfId="0" builtinId="0"/>
  </cellStyles>
  <dxfs count="184">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ont>
        <b/>
        <i val="0"/>
      </font>
      <fill>
        <patternFill>
          <bgColor theme="9" tint="0.39994506668294322"/>
        </patternFill>
      </fill>
    </dxf>
    <dxf>
      <font>
        <b/>
        <i val="0"/>
      </font>
      <fill>
        <patternFill>
          <bgColor rgb="FFFF0000"/>
        </patternFill>
      </fill>
    </dxf>
    <dxf>
      <fill>
        <patternFill>
          <bgColor theme="0"/>
        </patternFill>
      </fill>
    </dxf>
    <dxf>
      <font>
        <b/>
        <i val="0"/>
        <color rgb="FFC00000"/>
      </font>
      <fill>
        <patternFill>
          <bgColor theme="7" tint="0.59996337778862885"/>
        </patternFill>
      </fill>
    </dxf>
    <dxf>
      <font>
        <color rgb="FF7030A0"/>
      </font>
      <fill>
        <patternFill>
          <bgColor rgb="FF7030A0"/>
        </patternFill>
      </fill>
    </dxf>
    <dxf>
      <font>
        <b/>
        <i val="0"/>
        <color rgb="FFC00000"/>
      </font>
      <fill>
        <patternFill>
          <bgColor theme="7" tint="0.59996337778862885"/>
        </patternFill>
      </fill>
    </dxf>
    <dxf>
      <font>
        <color theme="0"/>
      </font>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ill>
        <patternFill>
          <bgColor rgb="FFFF0000"/>
        </patternFill>
      </fill>
    </dxf>
    <dxf>
      <fill>
        <patternFill>
          <bgColor theme="8" tint="0.39994506668294322"/>
        </patternFill>
      </fill>
    </dxf>
    <dxf>
      <fill>
        <patternFill>
          <bgColor rgb="FFFFC000"/>
        </patternFill>
      </fill>
    </dxf>
    <dxf>
      <fill>
        <patternFill>
          <bgColor rgb="FFFF0000"/>
        </patternFill>
      </fill>
    </dxf>
    <dxf>
      <fill>
        <patternFill>
          <fgColor theme="0"/>
        </patternFill>
      </fill>
    </dxf>
    <dxf>
      <font>
        <color theme="0"/>
      </font>
      <fill>
        <patternFill>
          <bgColor rgb="FF7030A0"/>
        </patternFill>
      </fill>
    </dxf>
    <dxf>
      <fill>
        <patternFill>
          <bgColor rgb="FFFF0000"/>
        </patternFill>
      </fill>
    </dxf>
    <dxf>
      <fill>
        <patternFill>
          <bgColor theme="8" tint="0.39994506668294322"/>
        </patternFill>
      </fill>
    </dxf>
    <dxf>
      <fill>
        <patternFill>
          <bgColor rgb="FFFF0000"/>
        </patternFill>
      </fill>
    </dxf>
    <dxf>
      <fill>
        <patternFill>
          <bgColor theme="8" tint="0.39994506668294322"/>
        </patternFill>
      </fill>
    </dxf>
    <dxf>
      <font>
        <strike val="0"/>
        <color theme="6" tint="0.59996337778862885"/>
      </font>
    </dxf>
  </dxfs>
  <tableStyles count="0" defaultTableStyle="TableStyleMedium2" defaultPivotStyle="PivotStyleLight16"/>
  <colors>
    <mruColors>
      <color rgb="FFFF99FF"/>
      <color rgb="FFFF00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78441</xdr:colOff>
      <xdr:row>1</xdr:row>
      <xdr:rowOff>71717</xdr:rowOff>
    </xdr:from>
    <xdr:to>
      <xdr:col>6</xdr:col>
      <xdr:colOff>1389530</xdr:colOff>
      <xdr:row>1</xdr:row>
      <xdr:rowOff>457199</xdr:rowOff>
    </xdr:to>
    <xdr:sp macro="" textlink="">
      <xdr:nvSpPr>
        <xdr:cNvPr id="2" name="TextBox 1">
          <a:extLst>
            <a:ext uri="{FF2B5EF4-FFF2-40B4-BE49-F238E27FC236}">
              <a16:creationId xmlns:a16="http://schemas.microsoft.com/office/drawing/2014/main" id="{709D2845-3C52-F15B-4693-7BF981407951}"/>
            </a:ext>
          </a:extLst>
        </xdr:cNvPr>
        <xdr:cNvSpPr txBox="1"/>
      </xdr:nvSpPr>
      <xdr:spPr>
        <a:xfrm>
          <a:off x="78441" y="374276"/>
          <a:ext cx="8135471"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Arial Black" panose="020B0A04020102020204" pitchFamily="34" charset="0"/>
            </a:rPr>
            <a:t>When</a:t>
          </a:r>
          <a:r>
            <a:rPr lang="en-US" sz="1400" baseline="0">
              <a:solidFill>
                <a:srgbClr val="FF0000"/>
              </a:solidFill>
              <a:latin typeface="Arial Black" panose="020B0A04020102020204" pitchFamily="34" charset="0"/>
            </a:rPr>
            <a:t> completing this form, do not delete or alter any columns or workbook tabs.</a:t>
          </a:r>
          <a:endParaRPr lang="en-US" sz="1400">
            <a:solidFill>
              <a:srgbClr val="FF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S58"/>
  <sheetViews>
    <sheetView tabSelected="1" zoomScaleNormal="100" workbookViewId="0">
      <selection sqref="A1:Q18"/>
    </sheetView>
  </sheetViews>
  <sheetFormatPr defaultColWidth="9.140625" defaultRowHeight="15" x14ac:dyDescent="0.25"/>
  <cols>
    <col min="1" max="1" width="7.85546875" style="5" bestFit="1" customWidth="1"/>
    <col min="2" max="2" width="7.85546875" style="4" bestFit="1" customWidth="1"/>
    <col min="3" max="3" width="6.7109375" style="8" customWidth="1"/>
    <col min="4" max="4" width="47.140625" style="2" customWidth="1"/>
    <col min="5" max="5" width="18.7109375" style="1" customWidth="1"/>
    <col min="6" max="6" width="19" style="1" customWidth="1"/>
    <col min="7" max="7" width="21.42578125" style="1" customWidth="1"/>
    <col min="8" max="10" width="8.7109375" style="1" customWidth="1"/>
    <col min="11" max="11" width="26.5703125" style="1" customWidth="1"/>
    <col min="12" max="12" width="22.28515625" style="1" customWidth="1"/>
    <col min="13" max="13" width="1.28515625" style="1" customWidth="1"/>
    <col min="14" max="17" width="20.140625" style="1" customWidth="1"/>
    <col min="18" max="18" width="11.28515625" style="7" hidden="1" customWidth="1"/>
    <col min="19" max="19" width="12.5703125" style="7" hidden="1" customWidth="1"/>
    <col min="20" max="16384" width="9.140625" style="1"/>
  </cols>
  <sheetData>
    <row r="1" spans="1:19" ht="24" customHeight="1" x14ac:dyDescent="0.4">
      <c r="A1" s="104" t="s">
        <v>119</v>
      </c>
      <c r="B1" s="105"/>
      <c r="C1" s="105"/>
      <c r="D1" s="105"/>
      <c r="E1" s="105"/>
      <c r="F1" s="105"/>
      <c r="G1" s="105"/>
      <c r="H1" s="105"/>
      <c r="I1" s="105"/>
      <c r="J1" s="105"/>
      <c r="K1" s="105"/>
      <c r="L1" s="105"/>
      <c r="M1" s="105"/>
      <c r="N1" s="105"/>
      <c r="O1" s="105"/>
      <c r="P1" s="105"/>
      <c r="Q1" s="105"/>
      <c r="R1" s="97" t="s">
        <v>0</v>
      </c>
      <c r="S1" s="97" t="s">
        <v>1</v>
      </c>
    </row>
    <row r="2" spans="1:19" ht="174.75" customHeight="1" x14ac:dyDescent="0.25">
      <c r="A2" s="108" t="s">
        <v>2</v>
      </c>
      <c r="B2" s="108" t="s">
        <v>3</v>
      </c>
      <c r="C2" s="106" t="s">
        <v>4</v>
      </c>
      <c r="D2" s="106" t="s">
        <v>5</v>
      </c>
      <c r="E2" s="106" t="s">
        <v>6</v>
      </c>
      <c r="F2" s="106" t="s">
        <v>7</v>
      </c>
      <c r="G2" s="106" t="s">
        <v>8</v>
      </c>
      <c r="H2" s="106" t="str">
        <f>IF(R1="Housing","Nominal Dimensions
For Information Only
Provide dimensions in Inches","HIDE THESE COLUMNS")</f>
        <v>Nominal Dimensions
For Information Only
Provide dimensions in Inches</v>
      </c>
      <c r="I2" s="107"/>
      <c r="J2" s="107"/>
      <c r="K2" s="116" t="str">
        <f>IF(S1="GSA","GSA Contract Number OR 
Open Market","Hide this column")</f>
        <v>GSA Contract Number OR 
Open Market</v>
      </c>
      <c r="L2" s="117"/>
      <c r="M2" s="118"/>
      <c r="N2" s="106" t="str">
        <f>IF(S1="GSA","GSA Contract Unit Cost")</f>
        <v>GSA Contract Unit Cost</v>
      </c>
      <c r="O2" s="106" t="str">
        <f>IF(S1="GSA","GSA Contract Total Cost","Hide this column")</f>
        <v>GSA Contract Total Cost</v>
      </c>
      <c r="P2" s="106" t="s">
        <v>9</v>
      </c>
      <c r="Q2" s="106" t="s">
        <v>10</v>
      </c>
      <c r="R2" s="110" t="s">
        <v>11</v>
      </c>
      <c r="S2" s="111"/>
    </row>
    <row r="3" spans="1:19" ht="16.5" customHeight="1" x14ac:dyDescent="0.25">
      <c r="A3" s="109"/>
      <c r="B3" s="109"/>
      <c r="C3" s="106"/>
      <c r="D3" s="106"/>
      <c r="E3" s="106"/>
      <c r="F3" s="106"/>
      <c r="G3" s="106"/>
      <c r="H3" s="88" t="str">
        <f>IF($R$1="Admin","","W")</f>
        <v>W</v>
      </c>
      <c r="I3" s="88" t="s">
        <v>12</v>
      </c>
      <c r="J3" s="88" t="s">
        <v>13</v>
      </c>
      <c r="K3" s="119"/>
      <c r="L3" s="120"/>
      <c r="M3" s="121"/>
      <c r="N3" s="106"/>
      <c r="O3" s="106"/>
      <c r="P3" s="106"/>
      <c r="Q3" s="106"/>
      <c r="R3" s="98" t="s">
        <v>14</v>
      </c>
      <c r="S3" s="77" t="s">
        <v>15</v>
      </c>
    </row>
    <row r="4" spans="1:19" ht="30" customHeight="1" x14ac:dyDescent="0.25">
      <c r="A4" s="85">
        <v>1</v>
      </c>
      <c r="B4" s="101">
        <v>100</v>
      </c>
      <c r="C4" s="102" t="s">
        <v>120</v>
      </c>
      <c r="D4" s="103" t="s">
        <v>16</v>
      </c>
      <c r="E4" s="86"/>
      <c r="F4" s="86"/>
      <c r="G4" s="86"/>
      <c r="H4" s="86"/>
      <c r="I4" s="86"/>
      <c r="J4" s="86"/>
      <c r="K4" s="122"/>
      <c r="L4" s="123"/>
      <c r="M4" s="124"/>
      <c r="N4" s="87"/>
      <c r="O4" s="100">
        <f>SUM($N4*$B4)</f>
        <v>0</v>
      </c>
      <c r="P4" s="87"/>
      <c r="Q4" s="100">
        <f>SUM($P4*$B4)</f>
        <v>0</v>
      </c>
      <c r="R4" s="99">
        <f>IF(LEFT($K4,2)="OP",$Q4,0)</f>
        <v>0</v>
      </c>
      <c r="S4" s="99" t="str">
        <f>IF($S$1="SAM","",IF(N4="","",P4-N4))</f>
        <v/>
      </c>
    </row>
    <row r="5" spans="1:19" ht="30" customHeight="1" x14ac:dyDescent="0.25">
      <c r="A5" s="85">
        <v>2</v>
      </c>
      <c r="B5" s="101">
        <v>10</v>
      </c>
      <c r="C5" s="102" t="s">
        <v>121</v>
      </c>
      <c r="D5" s="103" t="s">
        <v>17</v>
      </c>
      <c r="E5" s="86"/>
      <c r="F5" s="86"/>
      <c r="G5" s="86"/>
      <c r="H5" s="86"/>
      <c r="I5" s="86"/>
      <c r="J5" s="86"/>
      <c r="K5" s="122"/>
      <c r="L5" s="123"/>
      <c r="M5" s="124"/>
      <c r="N5" s="87"/>
      <c r="O5" s="100">
        <f>SUM($N5*$B5)</f>
        <v>0</v>
      </c>
      <c r="P5" s="87"/>
      <c r="Q5" s="100">
        <f>SUM($P5*$B5)</f>
        <v>0</v>
      </c>
      <c r="R5" s="99">
        <f>IF(LEFT($K5,2)="OP",$Q5,0)</f>
        <v>0</v>
      </c>
      <c r="S5" s="99" t="str">
        <f>IF($S$1="SAM","",IF(N5="","",P5-N5))</f>
        <v/>
      </c>
    </row>
    <row r="6" spans="1:19" ht="30" customHeight="1" x14ac:dyDescent="0.25">
      <c r="A6" s="85">
        <v>3</v>
      </c>
      <c r="B6" s="101">
        <v>150</v>
      </c>
      <c r="C6" s="102" t="s">
        <v>18</v>
      </c>
      <c r="D6" s="103" t="s">
        <v>19</v>
      </c>
      <c r="E6" s="86"/>
      <c r="F6" s="86"/>
      <c r="G6" s="86"/>
      <c r="H6" s="86"/>
      <c r="I6" s="86"/>
      <c r="J6" s="86"/>
      <c r="K6" s="122"/>
      <c r="L6" s="123"/>
      <c r="M6" s="124"/>
      <c r="N6" s="87"/>
      <c r="O6" s="100">
        <f>SUM($N6*$B6)</f>
        <v>0</v>
      </c>
      <c r="P6" s="87"/>
      <c r="Q6" s="100">
        <f>SUM($P6*$B6)</f>
        <v>0</v>
      </c>
      <c r="R6" s="99">
        <f>IF(LEFT($K6,2)="OP",$Q6,0)</f>
        <v>0</v>
      </c>
      <c r="S6" s="99" t="str">
        <f>IF($S$1="SAM","",IF(N6="","",P6-N6))</f>
        <v/>
      </c>
    </row>
    <row r="7" spans="1:19" ht="30" customHeight="1" x14ac:dyDescent="0.25">
      <c r="A7" s="85">
        <v>4</v>
      </c>
      <c r="B7" s="101">
        <v>130</v>
      </c>
      <c r="C7" s="102" t="s">
        <v>122</v>
      </c>
      <c r="D7" s="103" t="s">
        <v>20</v>
      </c>
      <c r="E7" s="86"/>
      <c r="F7" s="86"/>
      <c r="G7" s="86"/>
      <c r="H7" s="86"/>
      <c r="I7" s="86"/>
      <c r="J7" s="86"/>
      <c r="K7" s="122"/>
      <c r="L7" s="123"/>
      <c r="M7" s="124"/>
      <c r="N7" s="87"/>
      <c r="O7" s="100">
        <f>SUM($N7*$B7)</f>
        <v>0</v>
      </c>
      <c r="P7" s="87"/>
      <c r="Q7" s="100">
        <f>SUM($P7*$B7)</f>
        <v>0</v>
      </c>
      <c r="R7" s="99">
        <f>IF(LEFT($K7,2)="OP",$Q7,0)</f>
        <v>0</v>
      </c>
      <c r="S7" s="99" t="str">
        <f>IF($S$1="SAM","",IF(N7="","",P7-N7))</f>
        <v/>
      </c>
    </row>
    <row r="8" spans="1:19" ht="30" customHeight="1" x14ac:dyDescent="0.25">
      <c r="A8" s="114" t="s">
        <v>21</v>
      </c>
      <c r="B8" s="115"/>
      <c r="C8" s="115"/>
      <c r="D8" s="115"/>
      <c r="E8" s="89"/>
      <c r="F8" s="90"/>
      <c r="G8" s="125" t="str">
        <f>IF(S1="GSA","Open Market:","")</f>
        <v>Open Market:</v>
      </c>
      <c r="H8" s="126"/>
      <c r="I8" s="126"/>
      <c r="J8" s="126"/>
      <c r="K8" s="127"/>
      <c r="L8" s="91">
        <f>IF(S1="GSA",R8,"")</f>
        <v>0</v>
      </c>
      <c r="M8" s="92"/>
      <c r="N8" s="93" t="s">
        <v>22</v>
      </c>
      <c r="O8" s="92">
        <f>SUM(O4:O7)</f>
        <v>0</v>
      </c>
      <c r="P8" s="94">
        <f>SUM(P4:P7)</f>
        <v>0</v>
      </c>
      <c r="Q8" s="95">
        <f>SUM(Q4:Q7)</f>
        <v>0</v>
      </c>
      <c r="R8" s="96">
        <f>SUM(R4:R7)</f>
        <v>0</v>
      </c>
      <c r="S8" s="73"/>
    </row>
    <row r="9" spans="1:19" ht="24.75" customHeight="1" x14ac:dyDescent="0.25">
      <c r="A9" s="128" t="str">
        <f>IF(S1="GSA","Please note, if one or more of the boxes above are in amber or red, please refer to RFQ, Sect. J, Instruction to Quoters for requirements for Open Market items.","")</f>
        <v>Please note, if one or more of the boxes above are in amber or red, please refer to RFQ, Sect. J, Instruction to Quoters for requirements for Open Market items.</v>
      </c>
      <c r="B9" s="129"/>
      <c r="C9" s="129"/>
      <c r="D9" s="129"/>
      <c r="E9" s="129"/>
      <c r="F9" s="129"/>
      <c r="G9" s="129"/>
      <c r="H9" s="129"/>
      <c r="I9" s="129"/>
      <c r="J9" s="129"/>
      <c r="K9" s="129"/>
      <c r="L9" s="130"/>
      <c r="M9" s="130"/>
      <c r="N9" s="129"/>
      <c r="O9" s="129"/>
      <c r="P9" s="129"/>
      <c r="Q9" s="131"/>
      <c r="R9" s="112" t="s">
        <v>23</v>
      </c>
      <c r="S9" s="113"/>
    </row>
    <row r="10" spans="1:19" ht="15.75" x14ac:dyDescent="0.25">
      <c r="A10" s="132" t="s">
        <v>24</v>
      </c>
      <c r="B10" s="133"/>
      <c r="C10" s="133"/>
      <c r="D10" s="133"/>
      <c r="E10" s="134"/>
      <c r="F10" s="134"/>
      <c r="G10" s="134"/>
      <c r="H10" s="134"/>
      <c r="I10" s="134"/>
      <c r="J10" s="134"/>
      <c r="K10" s="134"/>
      <c r="L10" s="134"/>
      <c r="M10" s="134"/>
      <c r="N10" s="134"/>
      <c r="O10" s="134"/>
      <c r="P10" s="134"/>
      <c r="Q10" s="135"/>
      <c r="R10" s="80"/>
      <c r="S10" s="76"/>
    </row>
    <row r="11" spans="1:19" ht="15.75" customHeight="1" x14ac:dyDescent="0.25">
      <c r="A11" s="143" t="s">
        <v>25</v>
      </c>
      <c r="B11" s="144"/>
      <c r="C11" s="144"/>
      <c r="D11" s="144"/>
      <c r="E11" s="144"/>
      <c r="F11" s="144"/>
      <c r="G11" s="144"/>
      <c r="H11" s="144"/>
      <c r="I11" s="144"/>
      <c r="J11" s="144"/>
      <c r="K11" s="144"/>
      <c r="L11" s="144"/>
      <c r="M11" s="144"/>
      <c r="N11" s="144"/>
      <c r="O11" s="144"/>
      <c r="P11" s="144"/>
      <c r="Q11" s="60"/>
      <c r="R11" s="81"/>
      <c r="S11" s="77"/>
    </row>
    <row r="12" spans="1:19" ht="15.75" customHeight="1" x14ac:dyDescent="0.25">
      <c r="A12" s="141" t="s">
        <v>26</v>
      </c>
      <c r="B12" s="142"/>
      <c r="C12" s="142" t="s">
        <v>27</v>
      </c>
      <c r="D12" s="142"/>
      <c r="E12" s="142"/>
      <c r="F12" s="142"/>
      <c r="G12" s="142"/>
      <c r="H12" s="142"/>
      <c r="I12" s="142"/>
      <c r="J12" s="142"/>
      <c r="K12" s="142"/>
      <c r="L12" s="142"/>
      <c r="M12" s="142"/>
      <c r="N12" s="142"/>
      <c r="O12" s="142"/>
      <c r="P12" s="142"/>
      <c r="Q12" s="60"/>
      <c r="R12" s="81"/>
      <c r="S12" s="77"/>
    </row>
    <row r="13" spans="1:19" ht="15.75" customHeight="1" x14ac:dyDescent="0.25">
      <c r="A13" s="141" t="s">
        <v>28</v>
      </c>
      <c r="B13" s="142"/>
      <c r="C13" s="142"/>
      <c r="D13" s="142"/>
      <c r="E13" s="142"/>
      <c r="F13" s="142"/>
      <c r="G13" s="142"/>
      <c r="H13" s="142"/>
      <c r="I13" s="142"/>
      <c r="J13" s="142"/>
      <c r="K13" s="142"/>
      <c r="L13" s="142"/>
      <c r="M13" s="142"/>
      <c r="N13" s="142"/>
      <c r="O13" s="142"/>
      <c r="P13" s="142"/>
      <c r="Q13" s="61"/>
      <c r="R13" s="82"/>
      <c r="S13" s="78"/>
    </row>
    <row r="14" spans="1:19" ht="15.75" x14ac:dyDescent="0.25">
      <c r="A14" s="145" t="s">
        <v>29</v>
      </c>
      <c r="B14" s="146"/>
      <c r="C14" s="146"/>
      <c r="D14" s="146"/>
      <c r="E14" s="146"/>
      <c r="F14" s="146"/>
      <c r="G14" s="146"/>
      <c r="H14" s="146"/>
      <c r="I14" s="146"/>
      <c r="J14" s="146"/>
      <c r="K14" s="146"/>
      <c r="L14" s="146"/>
      <c r="M14" s="146"/>
      <c r="N14" s="146"/>
      <c r="O14" s="146"/>
      <c r="P14" s="146"/>
      <c r="Q14" s="60"/>
      <c r="R14" s="83" t="s">
        <v>0</v>
      </c>
      <c r="S14" s="79"/>
    </row>
    <row r="15" spans="1:19" ht="36.75" customHeight="1" x14ac:dyDescent="0.25">
      <c r="A15" s="147" t="s">
        <v>30</v>
      </c>
      <c r="B15" s="148"/>
      <c r="C15" s="148"/>
      <c r="D15" s="148"/>
      <c r="E15" s="148"/>
      <c r="F15" s="148"/>
      <c r="G15" s="148"/>
      <c r="H15" s="148"/>
      <c r="I15" s="148"/>
      <c r="J15" s="148"/>
      <c r="K15" s="148"/>
      <c r="L15" s="148"/>
      <c r="M15" s="148"/>
      <c r="N15" s="148"/>
      <c r="O15" s="148"/>
      <c r="P15" s="148"/>
      <c r="Q15" s="84">
        <f>SUM(Q8:Q14)</f>
        <v>0</v>
      </c>
      <c r="R15" s="82"/>
      <c r="S15" s="78"/>
    </row>
    <row r="16" spans="1:19" x14ac:dyDescent="0.25">
      <c r="A16" s="136" t="s">
        <v>31</v>
      </c>
      <c r="B16" s="139"/>
      <c r="C16" s="139"/>
      <c r="D16" s="139"/>
      <c r="E16" s="139"/>
      <c r="F16" s="139"/>
      <c r="G16" s="139"/>
      <c r="H16" s="139"/>
      <c r="I16" s="139"/>
      <c r="J16" s="139"/>
      <c r="K16" s="139"/>
      <c r="L16" s="139"/>
      <c r="M16" s="139"/>
      <c r="N16" s="139"/>
      <c r="O16" s="139"/>
      <c r="P16" s="139"/>
      <c r="Q16" s="140"/>
      <c r="R16" s="83"/>
      <c r="S16" s="79"/>
    </row>
    <row r="17" spans="1:19" x14ac:dyDescent="0.25">
      <c r="A17" s="136" t="s">
        <v>32</v>
      </c>
      <c r="B17" s="139"/>
      <c r="C17" s="139"/>
      <c r="D17" s="139"/>
      <c r="E17" s="139"/>
      <c r="F17" s="139"/>
      <c r="G17" s="139"/>
      <c r="H17" s="139"/>
      <c r="I17" s="139"/>
      <c r="J17" s="139"/>
      <c r="K17" s="139"/>
      <c r="L17" s="139"/>
      <c r="M17" s="139"/>
      <c r="N17" s="139"/>
      <c r="O17" s="139"/>
      <c r="P17" s="139"/>
      <c r="Q17" s="140"/>
      <c r="R17" s="83" t="s">
        <v>33</v>
      </c>
      <c r="S17" s="79"/>
    </row>
    <row r="18" spans="1:19" x14ac:dyDescent="0.25">
      <c r="A18" s="136" t="s">
        <v>34</v>
      </c>
      <c r="B18" s="137"/>
      <c r="C18" s="137"/>
      <c r="D18" s="137"/>
      <c r="E18" s="137"/>
      <c r="F18" s="137"/>
      <c r="G18" s="137"/>
      <c r="H18" s="137"/>
      <c r="I18" s="137"/>
      <c r="J18" s="137"/>
      <c r="K18" s="137"/>
      <c r="L18" s="137"/>
      <c r="M18" s="137"/>
      <c r="N18" s="137"/>
      <c r="O18" s="137"/>
      <c r="P18" s="137"/>
      <c r="Q18" s="138"/>
      <c r="R18" s="83" t="s">
        <v>1</v>
      </c>
      <c r="S18" s="79"/>
    </row>
    <row r="19" spans="1:19" x14ac:dyDescent="0.25">
      <c r="A19" s="3"/>
    </row>
    <row r="20" spans="1:19" x14ac:dyDescent="0.25">
      <c r="A20" s="3"/>
    </row>
    <row r="21" spans="1:19" x14ac:dyDescent="0.25">
      <c r="A21" s="3"/>
    </row>
    <row r="22" spans="1:19" x14ac:dyDescent="0.25">
      <c r="A22" s="3"/>
    </row>
    <row r="23" spans="1:19" x14ac:dyDescent="0.25">
      <c r="A23" s="3"/>
    </row>
    <row r="24" spans="1:19" x14ac:dyDescent="0.25">
      <c r="A24" s="3"/>
    </row>
    <row r="25" spans="1:19" x14ac:dyDescent="0.25">
      <c r="A25" s="3"/>
    </row>
    <row r="26" spans="1:19" x14ac:dyDescent="0.25">
      <c r="A26" s="3"/>
    </row>
    <row r="27" spans="1:19" x14ac:dyDescent="0.25">
      <c r="A27" s="3"/>
    </row>
    <row r="28" spans="1:19" x14ac:dyDescent="0.25">
      <c r="A28" s="3"/>
    </row>
    <row r="29" spans="1:19" x14ac:dyDescent="0.25">
      <c r="A29" s="3"/>
    </row>
    <row r="30" spans="1:19" x14ac:dyDescent="0.25">
      <c r="A30" s="3"/>
    </row>
    <row r="31" spans="1:19" x14ac:dyDescent="0.25">
      <c r="A31" s="3"/>
    </row>
    <row r="32" spans="1:19"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sheetData>
  <sheetProtection formatCells="0" formatColumns="0" formatRows="0" insertColumns="0" insertRows="0" insertHyperlinks="0" deleteColumns="0" deleteRows="0" sort="0" autoFilter="0" pivotTables="0"/>
  <customSheetViews>
    <customSheetView guid="{68E7B74C-C3B2-4B0B-8DBB-C6EB7678BF05}" showPageBreaks="1" printArea="1">
      <selection activeCell="H8" sqref="H8"/>
      <pageMargins left="0" right="0" top="0" bottom="0" header="0" footer="0"/>
      <pageSetup scale="75" fitToWidth="2" fitToHeight="3" orientation="landscape"/>
    </customSheetView>
    <customSheetView guid="{056DF672-C699-49F3-9F8F-FF611E6486A3}" showPageBreaks="1" printArea="1" topLeftCell="I1">
      <selection activeCell="R1" sqref="R1:CW83"/>
      <pageMargins left="0" right="0" top="0" bottom="0" header="0" footer="0"/>
      <pageSetup scale="70" fitToWidth="4" fitToHeight="2" orientation="landscape"/>
    </customSheetView>
  </customSheetViews>
  <mergeCells count="32">
    <mergeCell ref="A10:Q10"/>
    <mergeCell ref="A18:Q18"/>
    <mergeCell ref="A17:Q17"/>
    <mergeCell ref="A13:P13"/>
    <mergeCell ref="A11:P11"/>
    <mergeCell ref="A12:P12"/>
    <mergeCell ref="A16:Q16"/>
    <mergeCell ref="A14:P14"/>
    <mergeCell ref="A15:P15"/>
    <mergeCell ref="R2:S2"/>
    <mergeCell ref="R9:S9"/>
    <mergeCell ref="A2:A3"/>
    <mergeCell ref="A8:D8"/>
    <mergeCell ref="K2:M3"/>
    <mergeCell ref="K4:M4"/>
    <mergeCell ref="K5:M5"/>
    <mergeCell ref="K6:M6"/>
    <mergeCell ref="K7:M7"/>
    <mergeCell ref="F2:F3"/>
    <mergeCell ref="G8:K8"/>
    <mergeCell ref="A9:Q9"/>
    <mergeCell ref="A1:Q1"/>
    <mergeCell ref="H2:J2"/>
    <mergeCell ref="N2:N3"/>
    <mergeCell ref="O2:O3"/>
    <mergeCell ref="P2:P3"/>
    <mergeCell ref="G2:G3"/>
    <mergeCell ref="B2:B3"/>
    <mergeCell ref="C2:C3"/>
    <mergeCell ref="Q2:Q3"/>
    <mergeCell ref="D2:D3"/>
    <mergeCell ref="E2:E3"/>
  </mergeCells>
  <phoneticPr fontId="15" type="noConversion"/>
  <conditionalFormatting sqref="A4:A7">
    <cfRule type="expression" dxfId="183" priority="33">
      <formula>#REF!=A3</formula>
    </cfRule>
  </conditionalFormatting>
  <conditionalFormatting sqref="G8">
    <cfRule type="expression" dxfId="182" priority="584">
      <formula>S1="SAM"</formula>
    </cfRule>
    <cfRule type="expression" dxfId="181" priority="585">
      <formula>R8&gt;25000</formula>
    </cfRule>
  </conditionalFormatting>
  <conditionalFormatting sqref="H8:J8">
    <cfRule type="expression" dxfId="180" priority="580">
      <formula>#REF!="SAM"</formula>
    </cfRule>
    <cfRule type="expression" dxfId="179" priority="581">
      <formula>#REF!&gt;25000</formula>
    </cfRule>
  </conditionalFormatting>
  <conditionalFormatting sqref="K2">
    <cfRule type="expression" dxfId="178" priority="575">
      <formula>$S$1="SAM"</formula>
    </cfRule>
  </conditionalFormatting>
  <conditionalFormatting sqref="K4:K7">
    <cfRule type="expression" dxfId="177" priority="570" stopIfTrue="1">
      <formula>$S$1="SAM"</formula>
    </cfRule>
    <cfRule type="expression" dxfId="176" priority="571">
      <formula>#REF!&gt;25000</formula>
    </cfRule>
    <cfRule type="expression" dxfId="175" priority="572">
      <formula>#REF!&gt;10000</formula>
    </cfRule>
  </conditionalFormatting>
  <conditionalFormatting sqref="K8">
    <cfRule type="expression" dxfId="174" priority="589">
      <formula>A3="SAM"</formula>
    </cfRule>
    <cfRule type="expression" dxfId="173" priority="590">
      <formula>A8&gt;25000</formula>
    </cfRule>
  </conditionalFormatting>
  <conditionalFormatting sqref="N2">
    <cfRule type="expression" dxfId="172" priority="577">
      <formula>S1="SAM"</formula>
    </cfRule>
  </conditionalFormatting>
  <conditionalFormatting sqref="N3">
    <cfRule type="expression" dxfId="171" priority="557">
      <formula>#REF!="SAM"</formula>
    </cfRule>
  </conditionalFormatting>
  <conditionalFormatting sqref="O2">
    <cfRule type="expression" dxfId="170" priority="579">
      <formula>S1="SAM"</formula>
    </cfRule>
  </conditionalFormatting>
  <conditionalFormatting sqref="O2:O3">
    <cfRule type="expression" dxfId="169" priority="558">
      <formula>#REF!="SAM"</formula>
    </cfRule>
  </conditionalFormatting>
  <conditionalFormatting sqref="R4:R7">
    <cfRule type="expression" dxfId="168" priority="31">
      <formula>#REF!=0</formula>
    </cfRule>
    <cfRule type="expression" dxfId="167" priority="543">
      <formula>#REF!&gt;10000</formula>
    </cfRule>
  </conditionalFormatting>
  <conditionalFormatting sqref="R4:S7">
    <cfRule type="expression" dxfId="166" priority="4">
      <formula>#REF!=0</formula>
    </cfRule>
  </conditionalFormatting>
  <conditionalFormatting sqref="R8:S8">
    <cfRule type="expression" dxfId="165" priority="30">
      <formula>R8&gt;25000</formula>
    </cfRule>
  </conditionalFormatting>
  <conditionalFormatting sqref="S4:S7">
    <cfRule type="expression" dxfId="164" priority="5">
      <formula>#REF!=0</formula>
    </cfRule>
    <cfRule type="expression" dxfId="163" priority="6">
      <formula>#REF!&lt;#REF!</formula>
    </cfRule>
    <cfRule type="expression" dxfId="162" priority="27">
      <formula>#REF!&gt;#REF!</formula>
    </cfRule>
  </conditionalFormatting>
  <dataValidations count="2">
    <dataValidation type="list" allowBlank="1" showInputMessage="1" showErrorMessage="1" sqref="S1" xr:uid="{A9D4E61F-802F-403A-8349-C0A1CC4EEEAB}">
      <formula1>$R$19:$R$20</formula1>
    </dataValidation>
    <dataValidation type="list" allowBlank="1" showInputMessage="1" showErrorMessage="1" sqref="R1" xr:uid="{EF7C85CC-247A-4AFF-BCEB-BE1D9B313658}">
      <formula1>$R$15:$R$16</formula1>
    </dataValidation>
  </dataValidations>
  <pageMargins left="0.7" right="0.7" top="0.75" bottom="0.75" header="0.3" footer="0.3"/>
  <pageSetup scale="75" fitToWidth="2" fitToHeight="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249977111117893"/>
    <pageSetUpPr autoPageBreaks="0"/>
  </sheetPr>
  <dimension ref="A1:D1134"/>
  <sheetViews>
    <sheetView zoomScale="160" zoomScaleNormal="160" workbookViewId="0">
      <selection activeCell="A85" sqref="A85:C85"/>
    </sheetView>
  </sheetViews>
  <sheetFormatPr defaultColWidth="8.85546875" defaultRowHeight="15" x14ac:dyDescent="0.25"/>
  <cols>
    <col min="1" max="1" width="5.7109375" style="20" customWidth="1"/>
    <col min="2" max="2" width="15.85546875" style="20" customWidth="1"/>
    <col min="3" max="3" width="109.5703125" style="20" customWidth="1"/>
    <col min="4" max="4" width="8.85546875" style="10" customWidth="1"/>
    <col min="5" max="16384" width="8.85546875" style="10"/>
  </cols>
  <sheetData>
    <row r="1" spans="1:4" s="9" customFormat="1" ht="15.75" x14ac:dyDescent="0.2">
      <c r="A1" s="14">
        <f>IF(RFQ!D4="",0,RFQ!A4)</f>
        <v>1</v>
      </c>
      <c r="B1" s="14" t="str">
        <f>IF(C1=0,0,"FID "&amp;RFQ!C4)</f>
        <v>FID 8.2.a</v>
      </c>
      <c r="C1" s="22" t="str">
        <f>RFQ!D4</f>
        <v>AP03: Refrigerator Freezer, 10 cu.ft.</v>
      </c>
    </row>
    <row r="2" spans="1:4" ht="15.75" customHeight="1" x14ac:dyDescent="0.25">
      <c r="A2" s="157" t="s">
        <v>35</v>
      </c>
      <c r="B2" s="158"/>
      <c r="C2" s="15">
        <f>RFQ!E4</f>
        <v>0</v>
      </c>
    </row>
    <row r="3" spans="1:4" x14ac:dyDescent="0.25">
      <c r="A3" s="159" t="s">
        <v>36</v>
      </c>
      <c r="B3" s="160"/>
      <c r="C3" s="21">
        <f>RFQ!F4</f>
        <v>0</v>
      </c>
    </row>
    <row r="4" spans="1:4" x14ac:dyDescent="0.25">
      <c r="A4" s="159" t="s">
        <v>37</v>
      </c>
      <c r="B4" s="160"/>
      <c r="C4" s="21">
        <f>RFQ!G4</f>
        <v>0</v>
      </c>
    </row>
    <row r="5" spans="1:4" x14ac:dyDescent="0.25">
      <c r="A5" s="159" t="s">
        <v>38</v>
      </c>
      <c r="B5" s="160"/>
      <c r="C5" s="19">
        <f>RFQ!K4</f>
        <v>0</v>
      </c>
      <c r="D5" s="11"/>
    </row>
    <row r="6" spans="1:4" x14ac:dyDescent="0.25">
      <c r="A6" s="155" t="s">
        <v>39</v>
      </c>
      <c r="B6" s="156"/>
      <c r="C6" s="18"/>
      <c r="D6" s="11"/>
    </row>
    <row r="7" spans="1:4" ht="15.75" x14ac:dyDescent="0.3">
      <c r="A7" s="153" t="s">
        <v>40</v>
      </c>
      <c r="B7" s="154"/>
      <c r="C7" s="35"/>
      <c r="D7" s="12"/>
    </row>
    <row r="8" spans="1:4" ht="15.75" x14ac:dyDescent="0.3">
      <c r="A8" s="151" t="s">
        <v>41</v>
      </c>
      <c r="B8" s="152"/>
      <c r="C8" s="13"/>
      <c r="D8" s="12"/>
    </row>
    <row r="9" spans="1:4" x14ac:dyDescent="0.25">
      <c r="A9" s="153" t="s">
        <v>42</v>
      </c>
      <c r="B9" s="154"/>
      <c r="C9" s="36"/>
    </row>
    <row r="10" spans="1:4" x14ac:dyDescent="0.25">
      <c r="A10" s="151" t="s">
        <v>43</v>
      </c>
      <c r="B10" s="152"/>
      <c r="C10" s="13"/>
    </row>
    <row r="11" spans="1:4" x14ac:dyDescent="0.25">
      <c r="A11" s="153" t="s">
        <v>44</v>
      </c>
      <c r="B11" s="154"/>
      <c r="C11" s="36"/>
    </row>
    <row r="12" spans="1:4" x14ac:dyDescent="0.25">
      <c r="A12" s="151" t="s">
        <v>45</v>
      </c>
      <c r="B12" s="152"/>
      <c r="C12" s="13"/>
    </row>
    <row r="13" spans="1:4" x14ac:dyDescent="0.25">
      <c r="A13" s="149" t="s">
        <v>46</v>
      </c>
      <c r="B13" s="150"/>
      <c r="C13" s="37"/>
    </row>
    <row r="14" spans="1:4" x14ac:dyDescent="0.25">
      <c r="A14" s="151" t="s">
        <v>47</v>
      </c>
      <c r="B14" s="152"/>
      <c r="C14" s="13"/>
    </row>
    <row r="15" spans="1:4" s="9" customFormat="1" ht="15.75" x14ac:dyDescent="0.2">
      <c r="A15" s="14">
        <f>IF(RFQ!D5="",0,RFQ!A5)</f>
        <v>2</v>
      </c>
      <c r="B15" s="14" t="str">
        <f>IF(C15=0,0,"FID "&amp;RFQ!C5)</f>
        <v>FID 8.3.a</v>
      </c>
      <c r="C15" s="22" t="str">
        <f>RFQ!D5</f>
        <v>AP04: Refrigerator Freezer, 18-19.5 cu.ft.</v>
      </c>
    </row>
    <row r="16" spans="1:4" x14ac:dyDescent="0.25">
      <c r="A16" s="157" t="s">
        <v>35</v>
      </c>
      <c r="B16" s="158"/>
      <c r="C16" s="15">
        <f>RFQ!E5</f>
        <v>0</v>
      </c>
    </row>
    <row r="17" spans="1:4" x14ac:dyDescent="0.25">
      <c r="A17" s="159" t="s">
        <v>36</v>
      </c>
      <c r="B17" s="160"/>
      <c r="C17" s="21">
        <f>RFQ!F5</f>
        <v>0</v>
      </c>
    </row>
    <row r="18" spans="1:4" x14ac:dyDescent="0.25">
      <c r="A18" s="159" t="s">
        <v>37</v>
      </c>
      <c r="B18" s="160"/>
      <c r="C18" s="21">
        <f>RFQ!G5</f>
        <v>0</v>
      </c>
    </row>
    <row r="19" spans="1:4" x14ac:dyDescent="0.25">
      <c r="A19" s="159" t="s">
        <v>38</v>
      </c>
      <c r="B19" s="160"/>
      <c r="C19" s="21">
        <f>RFQ!K5</f>
        <v>0</v>
      </c>
      <c r="D19" s="11"/>
    </row>
    <row r="20" spans="1:4" x14ac:dyDescent="0.25">
      <c r="A20" s="155" t="s">
        <v>39</v>
      </c>
      <c r="B20" s="156"/>
      <c r="C20" s="18"/>
      <c r="D20" s="11"/>
    </row>
    <row r="21" spans="1:4" ht="15.75" x14ac:dyDescent="0.3">
      <c r="A21" s="153" t="s">
        <v>40</v>
      </c>
      <c r="B21" s="154"/>
      <c r="C21" s="35"/>
      <c r="D21" s="12"/>
    </row>
    <row r="22" spans="1:4" ht="15.75" x14ac:dyDescent="0.3">
      <c r="A22" s="151" t="s">
        <v>41</v>
      </c>
      <c r="B22" s="152"/>
      <c r="C22" s="13"/>
      <c r="D22" s="12"/>
    </row>
    <row r="23" spans="1:4" x14ac:dyDescent="0.25">
      <c r="A23" s="153" t="s">
        <v>42</v>
      </c>
      <c r="B23" s="154"/>
      <c r="C23" s="36"/>
    </row>
    <row r="24" spans="1:4" x14ac:dyDescent="0.25">
      <c r="A24" s="151" t="s">
        <v>43</v>
      </c>
      <c r="B24" s="152"/>
      <c r="C24" s="13"/>
    </row>
    <row r="25" spans="1:4" x14ac:dyDescent="0.25">
      <c r="A25" s="153" t="s">
        <v>44</v>
      </c>
      <c r="B25" s="154"/>
      <c r="C25" s="36"/>
    </row>
    <row r="26" spans="1:4" x14ac:dyDescent="0.25">
      <c r="A26" s="151" t="s">
        <v>45</v>
      </c>
      <c r="B26" s="152"/>
      <c r="C26" s="13"/>
    </row>
    <row r="27" spans="1:4" x14ac:dyDescent="0.25">
      <c r="A27" s="149" t="s">
        <v>46</v>
      </c>
      <c r="B27" s="150"/>
      <c r="C27" s="37"/>
    </row>
    <row r="28" spans="1:4" x14ac:dyDescent="0.25">
      <c r="A28" s="151" t="s">
        <v>47</v>
      </c>
      <c r="B28" s="152"/>
      <c r="C28" s="13"/>
    </row>
    <row r="29" spans="1:4" s="9" customFormat="1" ht="15.75" x14ac:dyDescent="0.2">
      <c r="A29" s="14">
        <f>IF(RFQ!D6="",0,RFQ!A6)</f>
        <v>3</v>
      </c>
      <c r="B29" s="14" t="str">
        <f>IF(C29=0,0,"FID "&amp;RFQ!C6)</f>
        <v>FID 8.7</v>
      </c>
      <c r="C29" s="22" t="str">
        <f>RFQ!D6</f>
        <v>AP16: Top Load Washing Machine</v>
      </c>
    </row>
    <row r="30" spans="1:4" x14ac:dyDescent="0.25">
      <c r="A30" s="157" t="s">
        <v>35</v>
      </c>
      <c r="B30" s="158"/>
      <c r="C30" s="15">
        <f>RFQ!E6</f>
        <v>0</v>
      </c>
    </row>
    <row r="31" spans="1:4" x14ac:dyDescent="0.25">
      <c r="A31" s="159" t="s">
        <v>36</v>
      </c>
      <c r="B31" s="160"/>
      <c r="C31" s="19">
        <f>RFQ!F6</f>
        <v>0</v>
      </c>
    </row>
    <row r="32" spans="1:4" x14ac:dyDescent="0.25">
      <c r="A32" s="159" t="s">
        <v>37</v>
      </c>
      <c r="B32" s="160"/>
      <c r="C32" s="19">
        <f>RFQ!G6</f>
        <v>0</v>
      </c>
    </row>
    <row r="33" spans="1:4" x14ac:dyDescent="0.25">
      <c r="A33" s="159" t="s">
        <v>38</v>
      </c>
      <c r="B33" s="160"/>
      <c r="C33" s="19">
        <f>RFQ!K6</f>
        <v>0</v>
      </c>
      <c r="D33" s="11"/>
    </row>
    <row r="34" spans="1:4" x14ac:dyDescent="0.25">
      <c r="A34" s="155" t="s">
        <v>39</v>
      </c>
      <c r="B34" s="156"/>
      <c r="C34" s="16"/>
      <c r="D34" s="11"/>
    </row>
    <row r="35" spans="1:4" ht="15.75" x14ac:dyDescent="0.3">
      <c r="A35" s="153" t="s">
        <v>40</v>
      </c>
      <c r="B35" s="154"/>
      <c r="C35" s="35"/>
      <c r="D35" s="12"/>
    </row>
    <row r="36" spans="1:4" ht="15.75" x14ac:dyDescent="0.3">
      <c r="A36" s="151" t="s">
        <v>41</v>
      </c>
      <c r="B36" s="152"/>
      <c r="C36" s="13"/>
      <c r="D36" s="12"/>
    </row>
    <row r="37" spans="1:4" x14ac:dyDescent="0.25">
      <c r="A37" s="153" t="s">
        <v>42</v>
      </c>
      <c r="B37" s="154"/>
      <c r="C37" s="36"/>
    </row>
    <row r="38" spans="1:4" x14ac:dyDescent="0.25">
      <c r="A38" s="151" t="s">
        <v>43</v>
      </c>
      <c r="B38" s="152"/>
      <c r="C38" s="13"/>
    </row>
    <row r="39" spans="1:4" x14ac:dyDescent="0.25">
      <c r="A39" s="153" t="s">
        <v>44</v>
      </c>
      <c r="B39" s="154"/>
      <c r="C39" s="36"/>
    </row>
    <row r="40" spans="1:4" x14ac:dyDescent="0.25">
      <c r="A40" s="151" t="s">
        <v>45</v>
      </c>
      <c r="B40" s="152"/>
      <c r="C40" s="13"/>
    </row>
    <row r="41" spans="1:4" x14ac:dyDescent="0.25">
      <c r="A41" s="149" t="s">
        <v>46</v>
      </c>
      <c r="B41" s="150"/>
      <c r="C41" s="37"/>
    </row>
    <row r="42" spans="1:4" x14ac:dyDescent="0.25">
      <c r="A42" s="151" t="s">
        <v>47</v>
      </c>
      <c r="B42" s="152"/>
      <c r="C42" s="13"/>
    </row>
    <row r="43" spans="1:4" s="9" customFormat="1" ht="15.75" x14ac:dyDescent="0.2">
      <c r="A43" s="14">
        <f>IF(RFQ!D7="",0,RFQ!A7)</f>
        <v>4</v>
      </c>
      <c r="B43" s="14" t="str">
        <f>IF(C43=0,0,"FID "&amp;RFQ!C7)</f>
        <v>FID 8.8.a</v>
      </c>
      <c r="C43" s="22" t="str">
        <f>RFQ!D7</f>
        <v>AP18: Electric Dryer</v>
      </c>
    </row>
    <row r="44" spans="1:4" x14ac:dyDescent="0.25">
      <c r="A44" s="157" t="s">
        <v>35</v>
      </c>
      <c r="B44" s="158"/>
      <c r="C44" s="15">
        <f>RFQ!E7</f>
        <v>0</v>
      </c>
    </row>
    <row r="45" spans="1:4" x14ac:dyDescent="0.25">
      <c r="A45" s="159" t="s">
        <v>36</v>
      </c>
      <c r="B45" s="160"/>
      <c r="C45" s="19">
        <f>RFQ!F7</f>
        <v>0</v>
      </c>
    </row>
    <row r="46" spans="1:4" x14ac:dyDescent="0.25">
      <c r="A46" s="159" t="s">
        <v>37</v>
      </c>
      <c r="B46" s="160"/>
      <c r="C46" s="19">
        <f>RFQ!G7</f>
        <v>0</v>
      </c>
    </row>
    <row r="47" spans="1:4" x14ac:dyDescent="0.25">
      <c r="A47" s="159" t="s">
        <v>38</v>
      </c>
      <c r="B47" s="160"/>
      <c r="C47" s="19">
        <f>RFQ!K7</f>
        <v>0</v>
      </c>
      <c r="D47" s="11"/>
    </row>
    <row r="48" spans="1:4" x14ac:dyDescent="0.25">
      <c r="A48" s="155" t="s">
        <v>39</v>
      </c>
      <c r="B48" s="156"/>
      <c r="C48" s="16"/>
      <c r="D48" s="11"/>
    </row>
    <row r="49" spans="1:4" ht="15.75" x14ac:dyDescent="0.3">
      <c r="A49" s="153" t="s">
        <v>40</v>
      </c>
      <c r="B49" s="154"/>
      <c r="C49" s="36"/>
      <c r="D49" s="12"/>
    </row>
    <row r="50" spans="1:4" ht="15.75" x14ac:dyDescent="0.3">
      <c r="A50" s="151" t="s">
        <v>41</v>
      </c>
      <c r="B50" s="152"/>
      <c r="C50" s="38"/>
      <c r="D50" s="12"/>
    </row>
    <row r="51" spans="1:4" x14ac:dyDescent="0.25">
      <c r="A51" s="153" t="s">
        <v>42</v>
      </c>
      <c r="B51" s="154"/>
      <c r="C51" s="36"/>
    </row>
    <row r="52" spans="1:4" x14ac:dyDescent="0.25">
      <c r="A52" s="151" t="s">
        <v>43</v>
      </c>
      <c r="B52" s="152"/>
      <c r="C52" s="38"/>
    </row>
    <row r="53" spans="1:4" x14ac:dyDescent="0.25">
      <c r="A53" s="153" t="s">
        <v>44</v>
      </c>
      <c r="B53" s="154"/>
      <c r="C53" s="36"/>
    </row>
    <row r="54" spans="1:4" x14ac:dyDescent="0.25">
      <c r="A54" s="151" t="s">
        <v>45</v>
      </c>
      <c r="B54" s="152"/>
      <c r="C54" s="38"/>
    </row>
    <row r="55" spans="1:4" x14ac:dyDescent="0.25">
      <c r="A55" s="149" t="s">
        <v>46</v>
      </c>
      <c r="B55" s="150"/>
      <c r="C55" s="39"/>
    </row>
    <row r="56" spans="1:4" x14ac:dyDescent="0.25">
      <c r="A56" s="151" t="s">
        <v>47</v>
      </c>
      <c r="B56" s="152"/>
      <c r="C56" s="38"/>
    </row>
    <row r="57" spans="1:4" s="9" customFormat="1" ht="15.75" x14ac:dyDescent="0.2">
      <c r="A57" s="14" t="e">
        <f>IF(RFQ!#REF!="",0,RFQ!#REF!)</f>
        <v>#REF!</v>
      </c>
      <c r="B57" s="14" t="e">
        <f>IF(C57=0,0,"FID "&amp;RFQ!#REF!)</f>
        <v>#REF!</v>
      </c>
      <c r="C57" s="22" t="e">
        <f>RFQ!#REF!</f>
        <v>#REF!</v>
      </c>
    </row>
    <row r="58" spans="1:4" x14ac:dyDescent="0.25">
      <c r="A58" s="157" t="s">
        <v>35</v>
      </c>
      <c r="B58" s="158"/>
      <c r="C58" s="15" t="e">
        <f>RFQ!#REF!</f>
        <v>#REF!</v>
      </c>
    </row>
    <row r="59" spans="1:4" x14ac:dyDescent="0.25">
      <c r="A59" s="159" t="s">
        <v>36</v>
      </c>
      <c r="B59" s="160"/>
      <c r="C59" s="19" t="e">
        <f>RFQ!#REF!</f>
        <v>#REF!</v>
      </c>
    </row>
    <row r="60" spans="1:4" x14ac:dyDescent="0.25">
      <c r="A60" s="159" t="s">
        <v>37</v>
      </c>
      <c r="B60" s="160"/>
      <c r="C60" s="19" t="e">
        <f>RFQ!#REF!</f>
        <v>#REF!</v>
      </c>
    </row>
    <row r="61" spans="1:4" x14ac:dyDescent="0.25">
      <c r="A61" s="159" t="s">
        <v>38</v>
      </c>
      <c r="B61" s="160"/>
      <c r="C61" s="19" t="e">
        <f>RFQ!#REF!</f>
        <v>#REF!</v>
      </c>
      <c r="D61" s="11"/>
    </row>
    <row r="62" spans="1:4" x14ac:dyDescent="0.25">
      <c r="A62" s="155" t="s">
        <v>39</v>
      </c>
      <c r="B62" s="156"/>
      <c r="C62" s="16"/>
      <c r="D62" s="11"/>
    </row>
    <row r="63" spans="1:4" ht="15.75" x14ac:dyDescent="0.3">
      <c r="A63" s="153" t="s">
        <v>40</v>
      </c>
      <c r="B63" s="154"/>
      <c r="C63" s="36"/>
      <c r="D63" s="12"/>
    </row>
    <row r="64" spans="1:4" ht="15.75" x14ac:dyDescent="0.3">
      <c r="A64" s="151" t="s">
        <v>41</v>
      </c>
      <c r="B64" s="152"/>
      <c r="C64" s="38"/>
      <c r="D64" s="12"/>
    </row>
    <row r="65" spans="1:4" x14ac:dyDescent="0.25">
      <c r="A65" s="153" t="s">
        <v>42</v>
      </c>
      <c r="B65" s="154"/>
      <c r="C65" s="36"/>
    </row>
    <row r="66" spans="1:4" x14ac:dyDescent="0.25">
      <c r="A66" s="151" t="s">
        <v>43</v>
      </c>
      <c r="B66" s="152"/>
      <c r="C66" s="38"/>
    </row>
    <row r="67" spans="1:4" x14ac:dyDescent="0.25">
      <c r="A67" s="153" t="s">
        <v>44</v>
      </c>
      <c r="B67" s="154"/>
      <c r="C67" s="36"/>
    </row>
    <row r="68" spans="1:4" x14ac:dyDescent="0.25">
      <c r="A68" s="151" t="s">
        <v>45</v>
      </c>
      <c r="B68" s="152"/>
      <c r="C68" s="38"/>
    </row>
    <row r="69" spans="1:4" x14ac:dyDescent="0.25">
      <c r="A69" s="149" t="s">
        <v>46</v>
      </c>
      <c r="B69" s="150"/>
      <c r="C69" s="39"/>
    </row>
    <row r="70" spans="1:4" x14ac:dyDescent="0.25">
      <c r="A70" s="151" t="s">
        <v>47</v>
      </c>
      <c r="B70" s="152"/>
      <c r="C70" s="38"/>
    </row>
    <row r="71" spans="1:4" s="9" customFormat="1" ht="15.75" x14ac:dyDescent="0.2">
      <c r="A71" s="14" t="e">
        <f>IF(RFQ!#REF!="",0,RFQ!#REF!)</f>
        <v>#REF!</v>
      </c>
      <c r="B71" s="14" t="e">
        <f>IF(C71=0,0,"FID "&amp;RFQ!#REF!)</f>
        <v>#REF!</v>
      </c>
      <c r="C71" s="22" t="e">
        <f>RFQ!#REF!</f>
        <v>#REF!</v>
      </c>
    </row>
    <row r="72" spans="1:4" x14ac:dyDescent="0.25">
      <c r="A72" s="157" t="s">
        <v>35</v>
      </c>
      <c r="B72" s="158"/>
      <c r="C72" s="15" t="e">
        <f>RFQ!#REF!</f>
        <v>#REF!</v>
      </c>
    </row>
    <row r="73" spans="1:4" x14ac:dyDescent="0.25">
      <c r="A73" s="159" t="s">
        <v>36</v>
      </c>
      <c r="B73" s="160"/>
      <c r="C73" s="19" t="e">
        <f>RFQ!#REF!</f>
        <v>#REF!</v>
      </c>
    </row>
    <row r="74" spans="1:4" x14ac:dyDescent="0.25">
      <c r="A74" s="159" t="s">
        <v>37</v>
      </c>
      <c r="B74" s="160"/>
      <c r="C74" s="19" t="e">
        <f>RFQ!#REF!</f>
        <v>#REF!</v>
      </c>
    </row>
    <row r="75" spans="1:4" x14ac:dyDescent="0.25">
      <c r="A75" s="159" t="s">
        <v>38</v>
      </c>
      <c r="B75" s="160"/>
      <c r="C75" s="19" t="e">
        <f>RFQ!#REF!</f>
        <v>#REF!</v>
      </c>
      <c r="D75" s="11"/>
    </row>
    <row r="76" spans="1:4" x14ac:dyDescent="0.25">
      <c r="A76" s="155" t="s">
        <v>39</v>
      </c>
      <c r="B76" s="156"/>
      <c r="C76" s="16"/>
      <c r="D76" s="11"/>
    </row>
    <row r="77" spans="1:4" ht="15.75" x14ac:dyDescent="0.3">
      <c r="A77" s="153" t="s">
        <v>40</v>
      </c>
      <c r="B77" s="154"/>
      <c r="C77" s="36"/>
      <c r="D77" s="12"/>
    </row>
    <row r="78" spans="1:4" ht="15.75" x14ac:dyDescent="0.3">
      <c r="A78" s="151" t="s">
        <v>41</v>
      </c>
      <c r="B78" s="152"/>
      <c r="C78" s="38"/>
      <c r="D78" s="12"/>
    </row>
    <row r="79" spans="1:4" x14ac:dyDescent="0.25">
      <c r="A79" s="153" t="s">
        <v>42</v>
      </c>
      <c r="B79" s="154"/>
      <c r="C79" s="36"/>
    </row>
    <row r="80" spans="1:4" x14ac:dyDescent="0.25">
      <c r="A80" s="151" t="s">
        <v>43</v>
      </c>
      <c r="B80" s="152"/>
      <c r="C80" s="38"/>
    </row>
    <row r="81" spans="1:4" x14ac:dyDescent="0.25">
      <c r="A81" s="153" t="s">
        <v>44</v>
      </c>
      <c r="B81" s="154"/>
      <c r="C81" s="36"/>
    </row>
    <row r="82" spans="1:4" x14ac:dyDescent="0.25">
      <c r="A82" s="151" t="s">
        <v>45</v>
      </c>
      <c r="B82" s="152"/>
      <c r="C82" s="38"/>
    </row>
    <row r="83" spans="1:4" x14ac:dyDescent="0.25">
      <c r="A83" s="149" t="s">
        <v>46</v>
      </c>
      <c r="B83" s="150"/>
      <c r="C83" s="39"/>
    </row>
    <row r="84" spans="1:4" x14ac:dyDescent="0.25">
      <c r="A84" s="151" t="s">
        <v>47</v>
      </c>
      <c r="B84" s="152"/>
      <c r="C84" s="38"/>
    </row>
    <row r="85" spans="1:4" s="9" customFormat="1" ht="15.75" x14ac:dyDescent="0.2">
      <c r="A85" s="14" t="e">
        <f>IF(RFQ!#REF!="",0,RFQ!#REF!)</f>
        <v>#REF!</v>
      </c>
      <c r="B85" s="17" t="e">
        <f>IF(C85=0,0,"FID "&amp;RFQ!#REF!)</f>
        <v>#REF!</v>
      </c>
      <c r="C85" s="22" t="e">
        <f>RFQ!#REF!</f>
        <v>#REF!</v>
      </c>
    </row>
    <row r="86" spans="1:4" x14ac:dyDescent="0.25">
      <c r="A86" s="157" t="s">
        <v>35</v>
      </c>
      <c r="B86" s="158"/>
      <c r="C86" s="15" t="e">
        <f>RFQ!#REF!</f>
        <v>#REF!</v>
      </c>
    </row>
    <row r="87" spans="1:4" x14ac:dyDescent="0.25">
      <c r="A87" s="159" t="s">
        <v>36</v>
      </c>
      <c r="B87" s="160"/>
      <c r="C87" s="19" t="e">
        <f>RFQ!#REF!</f>
        <v>#REF!</v>
      </c>
    </row>
    <row r="88" spans="1:4" x14ac:dyDescent="0.25">
      <c r="A88" s="159" t="s">
        <v>37</v>
      </c>
      <c r="B88" s="160"/>
      <c r="C88" s="19" t="e">
        <f>RFQ!#REF!</f>
        <v>#REF!</v>
      </c>
    </row>
    <row r="89" spans="1:4" x14ac:dyDescent="0.25">
      <c r="A89" s="159" t="s">
        <v>38</v>
      </c>
      <c r="B89" s="160"/>
      <c r="C89" s="19" t="e">
        <f>RFQ!#REF!</f>
        <v>#REF!</v>
      </c>
      <c r="D89" s="11"/>
    </row>
    <row r="90" spans="1:4" x14ac:dyDescent="0.25">
      <c r="A90" s="155" t="s">
        <v>39</v>
      </c>
      <c r="B90" s="156"/>
      <c r="C90" s="16"/>
      <c r="D90" s="11"/>
    </row>
    <row r="91" spans="1:4" ht="15.75" x14ac:dyDescent="0.3">
      <c r="A91" s="153" t="s">
        <v>40</v>
      </c>
      <c r="B91" s="154"/>
      <c r="C91" s="36"/>
      <c r="D91" s="12"/>
    </row>
    <row r="92" spans="1:4" ht="15.75" x14ac:dyDescent="0.3">
      <c r="A92" s="151" t="s">
        <v>41</v>
      </c>
      <c r="B92" s="152"/>
      <c r="C92" s="38"/>
      <c r="D92" s="12"/>
    </row>
    <row r="93" spans="1:4" x14ac:dyDescent="0.25">
      <c r="A93" s="153" t="s">
        <v>42</v>
      </c>
      <c r="B93" s="154"/>
      <c r="C93" s="36"/>
    </row>
    <row r="94" spans="1:4" x14ac:dyDescent="0.25">
      <c r="A94" s="151" t="s">
        <v>43</v>
      </c>
      <c r="B94" s="152"/>
      <c r="C94" s="38"/>
    </row>
    <row r="95" spans="1:4" x14ac:dyDescent="0.25">
      <c r="A95" s="153" t="s">
        <v>44</v>
      </c>
      <c r="B95" s="154"/>
      <c r="C95" s="36"/>
    </row>
    <row r="96" spans="1:4" x14ac:dyDescent="0.25">
      <c r="A96" s="151" t="s">
        <v>45</v>
      </c>
      <c r="B96" s="152"/>
      <c r="C96" s="38"/>
    </row>
    <row r="97" spans="1:4" x14ac:dyDescent="0.25">
      <c r="A97" s="149" t="s">
        <v>46</v>
      </c>
      <c r="B97" s="150"/>
      <c r="C97" s="39"/>
    </row>
    <row r="98" spans="1:4" x14ac:dyDescent="0.25">
      <c r="A98" s="151" t="s">
        <v>47</v>
      </c>
      <c r="B98" s="152"/>
      <c r="C98" s="38"/>
    </row>
    <row r="99" spans="1:4" s="9" customFormat="1" ht="15.75" x14ac:dyDescent="0.2">
      <c r="A99" s="14" t="e">
        <f>IF(RFQ!#REF!="",0,RFQ!#REF!)</f>
        <v>#REF!</v>
      </c>
      <c r="B99" s="14" t="e">
        <f>IF(C99=0,0,"FID "&amp;RFQ!#REF!)</f>
        <v>#REF!</v>
      </c>
      <c r="C99" s="22" t="e">
        <f>RFQ!#REF!</f>
        <v>#REF!</v>
      </c>
    </row>
    <row r="100" spans="1:4" x14ac:dyDescent="0.25">
      <c r="A100" s="157" t="s">
        <v>35</v>
      </c>
      <c r="B100" s="158"/>
      <c r="C100" s="15" t="e">
        <f>RFQ!#REF!</f>
        <v>#REF!</v>
      </c>
    </row>
    <row r="101" spans="1:4" x14ac:dyDescent="0.25">
      <c r="A101" s="159" t="s">
        <v>36</v>
      </c>
      <c r="B101" s="160"/>
      <c r="C101" s="19" t="e">
        <f>RFQ!#REF!</f>
        <v>#REF!</v>
      </c>
    </row>
    <row r="102" spans="1:4" x14ac:dyDescent="0.25">
      <c r="A102" s="159" t="s">
        <v>37</v>
      </c>
      <c r="B102" s="160"/>
      <c r="C102" s="19" t="e">
        <f>RFQ!#REF!</f>
        <v>#REF!</v>
      </c>
    </row>
    <row r="103" spans="1:4" x14ac:dyDescent="0.25">
      <c r="A103" s="159" t="s">
        <v>38</v>
      </c>
      <c r="B103" s="160"/>
      <c r="C103" s="19" t="e">
        <f>RFQ!#REF!</f>
        <v>#REF!</v>
      </c>
      <c r="D103" s="11"/>
    </row>
    <row r="104" spans="1:4" x14ac:dyDescent="0.25">
      <c r="A104" s="155" t="s">
        <v>39</v>
      </c>
      <c r="B104" s="156"/>
      <c r="C104" s="16"/>
      <c r="D104" s="11"/>
    </row>
    <row r="105" spans="1:4" ht="15.75" x14ac:dyDescent="0.3">
      <c r="A105" s="153" t="s">
        <v>40</v>
      </c>
      <c r="B105" s="154"/>
      <c r="C105" s="36"/>
      <c r="D105" s="12"/>
    </row>
    <row r="106" spans="1:4" ht="15.75" x14ac:dyDescent="0.3">
      <c r="A106" s="151" t="s">
        <v>41</v>
      </c>
      <c r="B106" s="152"/>
      <c r="C106" s="38"/>
      <c r="D106" s="12"/>
    </row>
    <row r="107" spans="1:4" x14ac:dyDescent="0.25">
      <c r="A107" s="153" t="s">
        <v>42</v>
      </c>
      <c r="B107" s="154"/>
      <c r="C107" s="36"/>
    </row>
    <row r="108" spans="1:4" x14ac:dyDescent="0.25">
      <c r="A108" s="151" t="s">
        <v>43</v>
      </c>
      <c r="B108" s="152"/>
      <c r="C108" s="38"/>
    </row>
    <row r="109" spans="1:4" x14ac:dyDescent="0.25">
      <c r="A109" s="153" t="s">
        <v>44</v>
      </c>
      <c r="B109" s="154"/>
      <c r="C109" s="36"/>
    </row>
    <row r="110" spans="1:4" x14ac:dyDescent="0.25">
      <c r="A110" s="151" t="s">
        <v>45</v>
      </c>
      <c r="B110" s="152"/>
      <c r="C110" s="38"/>
    </row>
    <row r="111" spans="1:4" x14ac:dyDescent="0.25">
      <c r="A111" s="149" t="s">
        <v>46</v>
      </c>
      <c r="B111" s="150"/>
      <c r="C111" s="39"/>
    </row>
    <row r="112" spans="1:4" x14ac:dyDescent="0.25">
      <c r="A112" s="151" t="s">
        <v>47</v>
      </c>
      <c r="B112" s="152"/>
      <c r="C112" s="38"/>
    </row>
    <row r="113" spans="1:4" s="9" customFormat="1" ht="15.75" x14ac:dyDescent="0.2">
      <c r="A113" s="14" t="e">
        <f>IF(RFQ!#REF!="",0,RFQ!#REF!)</f>
        <v>#REF!</v>
      </c>
      <c r="B113" s="14" t="e">
        <f>IF(C113=0,0,"FID "&amp;RFQ!#REF!)</f>
        <v>#REF!</v>
      </c>
      <c r="C113" s="22" t="e">
        <f>RFQ!#REF!</f>
        <v>#REF!</v>
      </c>
    </row>
    <row r="114" spans="1:4" x14ac:dyDescent="0.25">
      <c r="A114" s="157" t="s">
        <v>35</v>
      </c>
      <c r="B114" s="158"/>
      <c r="C114" s="15" t="e">
        <f>RFQ!#REF!</f>
        <v>#REF!</v>
      </c>
    </row>
    <row r="115" spans="1:4" x14ac:dyDescent="0.25">
      <c r="A115" s="159" t="s">
        <v>36</v>
      </c>
      <c r="B115" s="160"/>
      <c r="C115" s="19" t="e">
        <f>RFQ!#REF!</f>
        <v>#REF!</v>
      </c>
    </row>
    <row r="116" spans="1:4" x14ac:dyDescent="0.25">
      <c r="A116" s="159" t="s">
        <v>37</v>
      </c>
      <c r="B116" s="160"/>
      <c r="C116" s="19" t="e">
        <f>RFQ!#REF!</f>
        <v>#REF!</v>
      </c>
    </row>
    <row r="117" spans="1:4" x14ac:dyDescent="0.25">
      <c r="A117" s="159" t="s">
        <v>38</v>
      </c>
      <c r="B117" s="160"/>
      <c r="C117" s="19" t="e">
        <f>RFQ!#REF!</f>
        <v>#REF!</v>
      </c>
      <c r="D117" s="11"/>
    </row>
    <row r="118" spans="1:4" x14ac:dyDescent="0.25">
      <c r="A118" s="155" t="s">
        <v>39</v>
      </c>
      <c r="B118" s="156"/>
      <c r="C118" s="16"/>
      <c r="D118" s="11"/>
    </row>
    <row r="119" spans="1:4" ht="15.75" x14ac:dyDescent="0.3">
      <c r="A119" s="153" t="s">
        <v>40</v>
      </c>
      <c r="B119" s="154"/>
      <c r="C119" s="36"/>
      <c r="D119" s="12"/>
    </row>
    <row r="120" spans="1:4" ht="15.75" x14ac:dyDescent="0.3">
      <c r="A120" s="151" t="s">
        <v>41</v>
      </c>
      <c r="B120" s="152"/>
      <c r="C120" s="38"/>
      <c r="D120" s="12"/>
    </row>
    <row r="121" spans="1:4" x14ac:dyDescent="0.25">
      <c r="A121" s="153" t="s">
        <v>42</v>
      </c>
      <c r="B121" s="154"/>
      <c r="C121" s="36"/>
    </row>
    <row r="122" spans="1:4" x14ac:dyDescent="0.25">
      <c r="A122" s="151" t="s">
        <v>43</v>
      </c>
      <c r="B122" s="152"/>
      <c r="C122" s="38"/>
    </row>
    <row r="123" spans="1:4" x14ac:dyDescent="0.25">
      <c r="A123" s="153" t="s">
        <v>44</v>
      </c>
      <c r="B123" s="154"/>
      <c r="C123" s="36"/>
    </row>
    <row r="124" spans="1:4" x14ac:dyDescent="0.25">
      <c r="A124" s="151" t="s">
        <v>45</v>
      </c>
      <c r="B124" s="152"/>
      <c r="C124" s="38"/>
    </row>
    <row r="125" spans="1:4" x14ac:dyDescent="0.25">
      <c r="A125" s="149" t="s">
        <v>46</v>
      </c>
      <c r="B125" s="150"/>
      <c r="C125" s="39"/>
    </row>
    <row r="126" spans="1:4" x14ac:dyDescent="0.25">
      <c r="A126" s="151" t="s">
        <v>47</v>
      </c>
      <c r="B126" s="152"/>
      <c r="C126" s="38"/>
    </row>
    <row r="127" spans="1:4" s="9" customFormat="1" ht="15.75" x14ac:dyDescent="0.2">
      <c r="A127" s="14" t="e">
        <f>IF(RFQ!#REF!="",0,RFQ!#REF!)</f>
        <v>#REF!</v>
      </c>
      <c r="B127" s="14" t="e">
        <f>IF(C127=0,0,"FID "&amp;RFQ!#REF!)</f>
        <v>#REF!</v>
      </c>
      <c r="C127" s="22" t="e">
        <f>RFQ!#REF!</f>
        <v>#REF!</v>
      </c>
    </row>
    <row r="128" spans="1:4" x14ac:dyDescent="0.25">
      <c r="A128" s="157" t="s">
        <v>35</v>
      </c>
      <c r="B128" s="158"/>
      <c r="C128" s="15" t="e">
        <f>RFQ!#REF!</f>
        <v>#REF!</v>
      </c>
    </row>
    <row r="129" spans="1:4" x14ac:dyDescent="0.25">
      <c r="A129" s="159" t="s">
        <v>36</v>
      </c>
      <c r="B129" s="160"/>
      <c r="C129" s="19" t="e">
        <f>RFQ!#REF!</f>
        <v>#REF!</v>
      </c>
    </row>
    <row r="130" spans="1:4" x14ac:dyDescent="0.25">
      <c r="A130" s="159" t="s">
        <v>37</v>
      </c>
      <c r="B130" s="160"/>
      <c r="C130" s="19" t="e">
        <f>RFQ!#REF!</f>
        <v>#REF!</v>
      </c>
    </row>
    <row r="131" spans="1:4" x14ac:dyDescent="0.25">
      <c r="A131" s="159" t="s">
        <v>38</v>
      </c>
      <c r="B131" s="160"/>
      <c r="C131" s="19" t="e">
        <f>RFQ!#REF!</f>
        <v>#REF!</v>
      </c>
      <c r="D131" s="11"/>
    </row>
    <row r="132" spans="1:4" x14ac:dyDescent="0.25">
      <c r="A132" s="155" t="s">
        <v>39</v>
      </c>
      <c r="B132" s="156"/>
      <c r="C132" s="16"/>
      <c r="D132" s="11"/>
    </row>
    <row r="133" spans="1:4" ht="15.75" x14ac:dyDescent="0.3">
      <c r="A133" s="153" t="s">
        <v>40</v>
      </c>
      <c r="B133" s="154"/>
      <c r="C133" s="36"/>
      <c r="D133" s="12"/>
    </row>
    <row r="134" spans="1:4" ht="15.75" x14ac:dyDescent="0.3">
      <c r="A134" s="151" t="s">
        <v>41</v>
      </c>
      <c r="B134" s="152"/>
      <c r="C134" s="38"/>
      <c r="D134" s="12"/>
    </row>
    <row r="135" spans="1:4" x14ac:dyDescent="0.25">
      <c r="A135" s="153" t="s">
        <v>42</v>
      </c>
      <c r="B135" s="154"/>
      <c r="C135" s="36"/>
    </row>
    <row r="136" spans="1:4" x14ac:dyDescent="0.25">
      <c r="A136" s="151" t="s">
        <v>43</v>
      </c>
      <c r="B136" s="152"/>
      <c r="C136" s="38"/>
    </row>
    <row r="137" spans="1:4" x14ac:dyDescent="0.25">
      <c r="A137" s="153" t="s">
        <v>44</v>
      </c>
      <c r="B137" s="154"/>
      <c r="C137" s="36"/>
    </row>
    <row r="138" spans="1:4" x14ac:dyDescent="0.25">
      <c r="A138" s="151" t="s">
        <v>45</v>
      </c>
      <c r="B138" s="152"/>
      <c r="C138" s="38"/>
    </row>
    <row r="139" spans="1:4" x14ac:dyDescent="0.25">
      <c r="A139" s="149" t="s">
        <v>46</v>
      </c>
      <c r="B139" s="150"/>
      <c r="C139" s="39"/>
    </row>
    <row r="140" spans="1:4" ht="15.75" customHeight="1" x14ac:dyDescent="0.25">
      <c r="A140" s="163" t="s">
        <v>47</v>
      </c>
      <c r="B140" s="164"/>
      <c r="C140" s="38"/>
    </row>
    <row r="141" spans="1:4" s="9" customFormat="1" ht="15.75" x14ac:dyDescent="0.2">
      <c r="A141" s="14" t="e">
        <f>IF(RFQ!#REF!="",0,RFQ!#REF!)</f>
        <v>#REF!</v>
      </c>
      <c r="B141" s="14" t="e">
        <f>IF(C141=0,0,"FID "&amp;RFQ!#REF!)</f>
        <v>#REF!</v>
      </c>
      <c r="C141" s="22" t="e">
        <f>RFQ!#REF!</f>
        <v>#REF!</v>
      </c>
    </row>
    <row r="142" spans="1:4" x14ac:dyDescent="0.25">
      <c r="A142" s="157" t="s">
        <v>35</v>
      </c>
      <c r="B142" s="158"/>
      <c r="C142" s="15" t="e">
        <f>RFQ!#REF!</f>
        <v>#REF!</v>
      </c>
    </row>
    <row r="143" spans="1:4" x14ac:dyDescent="0.25">
      <c r="A143" s="159" t="s">
        <v>36</v>
      </c>
      <c r="B143" s="160"/>
      <c r="C143" s="19" t="e">
        <f>RFQ!#REF!</f>
        <v>#REF!</v>
      </c>
    </row>
    <row r="144" spans="1:4" x14ac:dyDescent="0.25">
      <c r="A144" s="159" t="s">
        <v>37</v>
      </c>
      <c r="B144" s="160"/>
      <c r="C144" s="19" t="e">
        <f>RFQ!#REF!</f>
        <v>#REF!</v>
      </c>
    </row>
    <row r="145" spans="1:4" x14ac:dyDescent="0.25">
      <c r="A145" s="159" t="s">
        <v>38</v>
      </c>
      <c r="B145" s="160"/>
      <c r="C145" s="19" t="e">
        <f>RFQ!#REF!</f>
        <v>#REF!</v>
      </c>
      <c r="D145" s="11"/>
    </row>
    <row r="146" spans="1:4" x14ac:dyDescent="0.25">
      <c r="A146" s="155" t="s">
        <v>39</v>
      </c>
      <c r="B146" s="156"/>
      <c r="C146" s="16"/>
      <c r="D146" s="11"/>
    </row>
    <row r="147" spans="1:4" ht="15.75" x14ac:dyDescent="0.3">
      <c r="A147" s="153" t="s">
        <v>40</v>
      </c>
      <c r="B147" s="154"/>
      <c r="C147" s="36"/>
      <c r="D147" s="12"/>
    </row>
    <row r="148" spans="1:4" ht="15.75" x14ac:dyDescent="0.3">
      <c r="A148" s="151" t="s">
        <v>41</v>
      </c>
      <c r="B148" s="152"/>
      <c r="C148" s="38"/>
      <c r="D148" s="12"/>
    </row>
    <row r="149" spans="1:4" x14ac:dyDescent="0.25">
      <c r="A149" s="153" t="s">
        <v>42</v>
      </c>
      <c r="B149" s="154"/>
      <c r="C149" s="36"/>
    </row>
    <row r="150" spans="1:4" x14ac:dyDescent="0.25">
      <c r="A150" s="151" t="s">
        <v>43</v>
      </c>
      <c r="B150" s="152"/>
      <c r="C150" s="38"/>
    </row>
    <row r="151" spans="1:4" x14ac:dyDescent="0.25">
      <c r="A151" s="153" t="s">
        <v>44</v>
      </c>
      <c r="B151" s="154"/>
      <c r="C151" s="36"/>
    </row>
    <row r="152" spans="1:4" x14ac:dyDescent="0.25">
      <c r="A152" s="151" t="s">
        <v>45</v>
      </c>
      <c r="B152" s="152"/>
      <c r="C152" s="38"/>
    </row>
    <row r="153" spans="1:4" x14ac:dyDescent="0.25">
      <c r="A153" s="149" t="s">
        <v>46</v>
      </c>
      <c r="B153" s="150"/>
      <c r="C153" s="39"/>
    </row>
    <row r="154" spans="1:4" x14ac:dyDescent="0.25">
      <c r="A154" s="151" t="s">
        <v>47</v>
      </c>
      <c r="B154" s="152"/>
      <c r="C154" s="38"/>
    </row>
    <row r="155" spans="1:4" s="9" customFormat="1" ht="15.75" x14ac:dyDescent="0.2">
      <c r="A155" s="14" t="e">
        <f>IF(RFQ!#REF!="",0,RFQ!#REF!)</f>
        <v>#REF!</v>
      </c>
      <c r="B155" s="14" t="e">
        <f>IF(C155=0,0,"FID "&amp;RFQ!#REF!)</f>
        <v>#REF!</v>
      </c>
      <c r="C155" s="22" t="e">
        <f>RFQ!#REF!</f>
        <v>#REF!</v>
      </c>
    </row>
    <row r="156" spans="1:4" x14ac:dyDescent="0.25">
      <c r="A156" s="157" t="s">
        <v>35</v>
      </c>
      <c r="B156" s="158"/>
      <c r="C156" s="15" t="e">
        <f>RFQ!#REF!</f>
        <v>#REF!</v>
      </c>
    </row>
    <row r="157" spans="1:4" x14ac:dyDescent="0.25">
      <c r="A157" s="159" t="s">
        <v>36</v>
      </c>
      <c r="B157" s="160"/>
      <c r="C157" s="19" t="e">
        <f>RFQ!#REF!</f>
        <v>#REF!</v>
      </c>
    </row>
    <row r="158" spans="1:4" x14ac:dyDescent="0.25">
      <c r="A158" s="159" t="s">
        <v>37</v>
      </c>
      <c r="B158" s="160"/>
      <c r="C158" s="19" t="e">
        <f>RFQ!#REF!</f>
        <v>#REF!</v>
      </c>
    </row>
    <row r="159" spans="1:4" x14ac:dyDescent="0.25">
      <c r="A159" s="159" t="s">
        <v>38</v>
      </c>
      <c r="B159" s="160"/>
      <c r="C159" s="19" t="e">
        <f>RFQ!#REF!</f>
        <v>#REF!</v>
      </c>
      <c r="D159" s="11"/>
    </row>
    <row r="160" spans="1:4" x14ac:dyDescent="0.25">
      <c r="A160" s="155" t="s">
        <v>39</v>
      </c>
      <c r="B160" s="156"/>
      <c r="C160" s="16"/>
      <c r="D160" s="11"/>
    </row>
    <row r="161" spans="1:4" ht="15.75" x14ac:dyDescent="0.3">
      <c r="A161" s="153" t="s">
        <v>40</v>
      </c>
      <c r="B161" s="154"/>
      <c r="C161" s="36"/>
      <c r="D161" s="12"/>
    </row>
    <row r="162" spans="1:4" ht="15.75" x14ac:dyDescent="0.3">
      <c r="A162" s="151" t="s">
        <v>41</v>
      </c>
      <c r="B162" s="152"/>
      <c r="C162" s="38"/>
      <c r="D162" s="12"/>
    </row>
    <row r="163" spans="1:4" x14ac:dyDescent="0.25">
      <c r="A163" s="153" t="s">
        <v>42</v>
      </c>
      <c r="B163" s="154"/>
      <c r="C163" s="36"/>
    </row>
    <row r="164" spans="1:4" x14ac:dyDescent="0.25">
      <c r="A164" s="151" t="s">
        <v>43</v>
      </c>
      <c r="B164" s="152"/>
      <c r="C164" s="38"/>
    </row>
    <row r="165" spans="1:4" x14ac:dyDescent="0.25">
      <c r="A165" s="153" t="s">
        <v>44</v>
      </c>
      <c r="B165" s="154"/>
      <c r="C165" s="36"/>
    </row>
    <row r="166" spans="1:4" x14ac:dyDescent="0.25">
      <c r="A166" s="151" t="s">
        <v>45</v>
      </c>
      <c r="B166" s="152"/>
      <c r="C166" s="38"/>
    </row>
    <row r="167" spans="1:4" x14ac:dyDescent="0.25">
      <c r="A167" s="149" t="s">
        <v>46</v>
      </c>
      <c r="B167" s="150"/>
      <c r="C167" s="39"/>
    </row>
    <row r="168" spans="1:4" x14ac:dyDescent="0.25">
      <c r="A168" s="151" t="s">
        <v>47</v>
      </c>
      <c r="B168" s="152"/>
      <c r="C168" s="38"/>
    </row>
    <row r="169" spans="1:4" s="9" customFormat="1" ht="15.75" x14ac:dyDescent="0.2">
      <c r="A169" s="14" t="e">
        <f>IF(RFQ!#REF!="",0,RFQ!#REF!)</f>
        <v>#REF!</v>
      </c>
      <c r="B169" s="14" t="e">
        <f>IF(C169=0,0,"FID "&amp;RFQ!#REF!)</f>
        <v>#REF!</v>
      </c>
      <c r="C169" s="22" t="e">
        <f>RFQ!#REF!</f>
        <v>#REF!</v>
      </c>
    </row>
    <row r="170" spans="1:4" x14ac:dyDescent="0.25">
      <c r="A170" s="157" t="s">
        <v>35</v>
      </c>
      <c r="B170" s="158"/>
      <c r="C170" s="15" t="e">
        <f>RFQ!#REF!</f>
        <v>#REF!</v>
      </c>
    </row>
    <row r="171" spans="1:4" x14ac:dyDescent="0.25">
      <c r="A171" s="159" t="s">
        <v>36</v>
      </c>
      <c r="B171" s="160"/>
      <c r="C171" s="19" t="e">
        <f>RFQ!#REF!</f>
        <v>#REF!</v>
      </c>
    </row>
    <row r="172" spans="1:4" x14ac:dyDescent="0.25">
      <c r="A172" s="159" t="s">
        <v>37</v>
      </c>
      <c r="B172" s="160"/>
      <c r="C172" s="19" t="e">
        <f>RFQ!#REF!</f>
        <v>#REF!</v>
      </c>
    </row>
    <row r="173" spans="1:4" x14ac:dyDescent="0.25">
      <c r="A173" s="159" t="s">
        <v>38</v>
      </c>
      <c r="B173" s="160"/>
      <c r="C173" s="19" t="e">
        <f>RFQ!#REF!</f>
        <v>#REF!</v>
      </c>
      <c r="D173" s="11"/>
    </row>
    <row r="174" spans="1:4" x14ac:dyDescent="0.25">
      <c r="A174" s="155" t="s">
        <v>39</v>
      </c>
      <c r="B174" s="156"/>
      <c r="C174" s="16"/>
      <c r="D174" s="11"/>
    </row>
    <row r="175" spans="1:4" ht="15.75" x14ac:dyDescent="0.3">
      <c r="A175" s="153" t="s">
        <v>40</v>
      </c>
      <c r="B175" s="154"/>
      <c r="C175" s="36"/>
      <c r="D175" s="12"/>
    </row>
    <row r="176" spans="1:4" ht="15.75" x14ac:dyDescent="0.3">
      <c r="A176" s="151" t="s">
        <v>41</v>
      </c>
      <c r="B176" s="152"/>
      <c r="C176" s="38"/>
      <c r="D176" s="12"/>
    </row>
    <row r="177" spans="1:4" x14ac:dyDescent="0.25">
      <c r="A177" s="153" t="s">
        <v>42</v>
      </c>
      <c r="B177" s="154"/>
      <c r="C177" s="36"/>
    </row>
    <row r="178" spans="1:4" x14ac:dyDescent="0.25">
      <c r="A178" s="151" t="s">
        <v>43</v>
      </c>
      <c r="B178" s="152"/>
      <c r="C178" s="38"/>
    </row>
    <row r="179" spans="1:4" x14ac:dyDescent="0.25">
      <c r="A179" s="153" t="s">
        <v>44</v>
      </c>
      <c r="B179" s="154"/>
      <c r="C179" s="36"/>
    </row>
    <row r="180" spans="1:4" x14ac:dyDescent="0.25">
      <c r="A180" s="151" t="s">
        <v>45</v>
      </c>
      <c r="B180" s="152"/>
      <c r="C180" s="38"/>
    </row>
    <row r="181" spans="1:4" x14ac:dyDescent="0.25">
      <c r="A181" s="149" t="s">
        <v>46</v>
      </c>
      <c r="B181" s="150"/>
      <c r="C181" s="39"/>
    </row>
    <row r="182" spans="1:4" x14ac:dyDescent="0.25">
      <c r="A182" s="151" t="s">
        <v>47</v>
      </c>
      <c r="B182" s="152"/>
      <c r="C182" s="38"/>
    </row>
    <row r="183" spans="1:4" s="9" customFormat="1" ht="15.75" x14ac:dyDescent="0.2">
      <c r="A183" s="14" t="e">
        <f>IF(RFQ!#REF!="",0,RFQ!#REF!)</f>
        <v>#REF!</v>
      </c>
      <c r="B183" s="14" t="e">
        <f>IF(C183=0,0,"FID "&amp;RFQ!#REF!)</f>
        <v>#REF!</v>
      </c>
      <c r="C183" s="22" t="e">
        <f>RFQ!#REF!</f>
        <v>#REF!</v>
      </c>
    </row>
    <row r="184" spans="1:4" x14ac:dyDescent="0.25">
      <c r="A184" s="157" t="s">
        <v>35</v>
      </c>
      <c r="B184" s="158"/>
      <c r="C184" s="15" t="e">
        <f>RFQ!#REF!</f>
        <v>#REF!</v>
      </c>
    </row>
    <row r="185" spans="1:4" x14ac:dyDescent="0.25">
      <c r="A185" s="159" t="s">
        <v>36</v>
      </c>
      <c r="B185" s="160"/>
      <c r="C185" s="19" t="e">
        <f>RFQ!#REF!</f>
        <v>#REF!</v>
      </c>
    </row>
    <row r="186" spans="1:4" x14ac:dyDescent="0.25">
      <c r="A186" s="159" t="s">
        <v>37</v>
      </c>
      <c r="B186" s="160"/>
      <c r="C186" s="19" t="e">
        <f>RFQ!#REF!</f>
        <v>#REF!</v>
      </c>
    </row>
    <row r="187" spans="1:4" x14ac:dyDescent="0.25">
      <c r="A187" s="159" t="s">
        <v>38</v>
      </c>
      <c r="B187" s="160"/>
      <c r="C187" s="19" t="e">
        <f>RFQ!#REF!</f>
        <v>#REF!</v>
      </c>
      <c r="D187" s="11"/>
    </row>
    <row r="188" spans="1:4" x14ac:dyDescent="0.25">
      <c r="A188" s="155" t="s">
        <v>39</v>
      </c>
      <c r="B188" s="156"/>
      <c r="C188" s="16"/>
      <c r="D188" s="11"/>
    </row>
    <row r="189" spans="1:4" ht="15.75" x14ac:dyDescent="0.3">
      <c r="A189" s="153" t="s">
        <v>40</v>
      </c>
      <c r="B189" s="154"/>
      <c r="C189" s="36"/>
      <c r="D189" s="12"/>
    </row>
    <row r="190" spans="1:4" ht="15.75" x14ac:dyDescent="0.3">
      <c r="A190" s="151" t="s">
        <v>41</v>
      </c>
      <c r="B190" s="152"/>
      <c r="C190" s="38"/>
      <c r="D190" s="12"/>
    </row>
    <row r="191" spans="1:4" x14ac:dyDescent="0.25">
      <c r="A191" s="153" t="s">
        <v>42</v>
      </c>
      <c r="B191" s="154"/>
      <c r="C191" s="36"/>
    </row>
    <row r="192" spans="1:4" x14ac:dyDescent="0.25">
      <c r="A192" s="151" t="s">
        <v>43</v>
      </c>
      <c r="B192" s="152"/>
      <c r="C192" s="38"/>
    </row>
    <row r="193" spans="1:4" x14ac:dyDescent="0.25">
      <c r="A193" s="153" t="s">
        <v>44</v>
      </c>
      <c r="B193" s="154"/>
      <c r="C193" s="36"/>
    </row>
    <row r="194" spans="1:4" x14ac:dyDescent="0.25">
      <c r="A194" s="151" t="s">
        <v>45</v>
      </c>
      <c r="B194" s="152"/>
      <c r="C194" s="38"/>
    </row>
    <row r="195" spans="1:4" x14ac:dyDescent="0.25">
      <c r="A195" s="149" t="s">
        <v>46</v>
      </c>
      <c r="B195" s="150"/>
      <c r="C195" s="39"/>
    </row>
    <row r="196" spans="1:4" x14ac:dyDescent="0.25">
      <c r="A196" s="151" t="s">
        <v>47</v>
      </c>
      <c r="B196" s="152"/>
      <c r="C196" s="38"/>
    </row>
    <row r="197" spans="1:4" s="9" customFormat="1" ht="15.75" x14ac:dyDescent="0.2">
      <c r="A197" s="14" t="e">
        <f>IF(RFQ!#REF!="",0,RFQ!#REF!)</f>
        <v>#REF!</v>
      </c>
      <c r="B197" s="14" t="e">
        <f>IF(C197=0,0,"FID "&amp;RFQ!#REF!)</f>
        <v>#REF!</v>
      </c>
      <c r="C197" s="22" t="e">
        <f>RFQ!#REF!</f>
        <v>#REF!</v>
      </c>
    </row>
    <row r="198" spans="1:4" x14ac:dyDescent="0.25">
      <c r="A198" s="157" t="s">
        <v>35</v>
      </c>
      <c r="B198" s="158"/>
      <c r="C198" s="15" t="e">
        <f>RFQ!#REF!</f>
        <v>#REF!</v>
      </c>
    </row>
    <row r="199" spans="1:4" x14ac:dyDescent="0.25">
      <c r="A199" s="159" t="s">
        <v>36</v>
      </c>
      <c r="B199" s="160"/>
      <c r="C199" s="19" t="e">
        <f>RFQ!#REF!</f>
        <v>#REF!</v>
      </c>
    </row>
    <row r="200" spans="1:4" x14ac:dyDescent="0.25">
      <c r="A200" s="159" t="s">
        <v>37</v>
      </c>
      <c r="B200" s="160"/>
      <c r="C200" s="19" t="e">
        <f>RFQ!#REF!</f>
        <v>#REF!</v>
      </c>
    </row>
    <row r="201" spans="1:4" x14ac:dyDescent="0.25">
      <c r="A201" s="159" t="s">
        <v>38</v>
      </c>
      <c r="B201" s="160"/>
      <c r="C201" s="19" t="e">
        <f>RFQ!#REF!</f>
        <v>#REF!</v>
      </c>
      <c r="D201" s="11"/>
    </row>
    <row r="202" spans="1:4" x14ac:dyDescent="0.25">
      <c r="A202" s="155" t="s">
        <v>39</v>
      </c>
      <c r="B202" s="156"/>
      <c r="C202" s="16"/>
      <c r="D202" s="11"/>
    </row>
    <row r="203" spans="1:4" ht="15.75" x14ac:dyDescent="0.3">
      <c r="A203" s="153" t="s">
        <v>40</v>
      </c>
      <c r="B203" s="154"/>
      <c r="C203" s="36"/>
      <c r="D203" s="12"/>
    </row>
    <row r="204" spans="1:4" ht="15.75" x14ac:dyDescent="0.3">
      <c r="A204" s="151" t="s">
        <v>41</v>
      </c>
      <c r="B204" s="152"/>
      <c r="C204" s="38"/>
      <c r="D204" s="12"/>
    </row>
    <row r="205" spans="1:4" x14ac:dyDescent="0.25">
      <c r="A205" s="153" t="s">
        <v>42</v>
      </c>
      <c r="B205" s="154"/>
      <c r="C205" s="36"/>
    </row>
    <row r="206" spans="1:4" x14ac:dyDescent="0.25">
      <c r="A206" s="151" t="s">
        <v>43</v>
      </c>
      <c r="B206" s="152"/>
      <c r="C206" s="38"/>
    </row>
    <row r="207" spans="1:4" x14ac:dyDescent="0.25">
      <c r="A207" s="153" t="s">
        <v>44</v>
      </c>
      <c r="B207" s="154"/>
      <c r="C207" s="36"/>
    </row>
    <row r="208" spans="1:4" x14ac:dyDescent="0.25">
      <c r="A208" s="151" t="s">
        <v>45</v>
      </c>
      <c r="B208" s="152"/>
      <c r="C208" s="38"/>
    </row>
    <row r="209" spans="1:4" x14ac:dyDescent="0.25">
      <c r="A209" s="149" t="s">
        <v>46</v>
      </c>
      <c r="B209" s="150"/>
      <c r="C209" s="39"/>
    </row>
    <row r="210" spans="1:4" x14ac:dyDescent="0.25">
      <c r="A210" s="151" t="s">
        <v>47</v>
      </c>
      <c r="B210" s="152"/>
      <c r="C210" s="38"/>
    </row>
    <row r="211" spans="1:4" s="9" customFormat="1" ht="15.75" x14ac:dyDescent="0.2">
      <c r="A211" s="14" t="e">
        <f>IF(RFQ!#REF!="",0,RFQ!#REF!)</f>
        <v>#REF!</v>
      </c>
      <c r="B211" s="14" t="e">
        <f>IF(C211=0,0,"FID "&amp;RFQ!#REF!)</f>
        <v>#REF!</v>
      </c>
      <c r="C211" s="22" t="e">
        <f>RFQ!#REF!</f>
        <v>#REF!</v>
      </c>
    </row>
    <row r="212" spans="1:4" x14ac:dyDescent="0.25">
      <c r="A212" s="157" t="s">
        <v>35</v>
      </c>
      <c r="B212" s="158"/>
      <c r="C212" s="15" t="e">
        <f>RFQ!#REF!</f>
        <v>#REF!</v>
      </c>
    </row>
    <row r="213" spans="1:4" x14ac:dyDescent="0.25">
      <c r="A213" s="159" t="s">
        <v>36</v>
      </c>
      <c r="B213" s="160"/>
      <c r="C213" s="19" t="e">
        <f>RFQ!#REF!</f>
        <v>#REF!</v>
      </c>
    </row>
    <row r="214" spans="1:4" x14ac:dyDescent="0.25">
      <c r="A214" s="159" t="s">
        <v>37</v>
      </c>
      <c r="B214" s="160"/>
      <c r="C214" s="19" t="e">
        <f>RFQ!#REF!</f>
        <v>#REF!</v>
      </c>
    </row>
    <row r="215" spans="1:4" x14ac:dyDescent="0.25">
      <c r="A215" s="159" t="s">
        <v>38</v>
      </c>
      <c r="B215" s="160"/>
      <c r="C215" s="19" t="e">
        <f>RFQ!#REF!</f>
        <v>#REF!</v>
      </c>
      <c r="D215" s="11"/>
    </row>
    <row r="216" spans="1:4" x14ac:dyDescent="0.25">
      <c r="A216" s="155" t="s">
        <v>39</v>
      </c>
      <c r="B216" s="156"/>
      <c r="C216" s="16"/>
      <c r="D216" s="11"/>
    </row>
    <row r="217" spans="1:4" ht="15.75" x14ac:dyDescent="0.3">
      <c r="A217" s="153" t="s">
        <v>40</v>
      </c>
      <c r="B217" s="154"/>
      <c r="C217" s="36"/>
      <c r="D217" s="12"/>
    </row>
    <row r="218" spans="1:4" ht="15.75" x14ac:dyDescent="0.3">
      <c r="A218" s="151" t="s">
        <v>41</v>
      </c>
      <c r="B218" s="152"/>
      <c r="C218" s="38"/>
      <c r="D218" s="12"/>
    </row>
    <row r="219" spans="1:4" x14ac:dyDescent="0.25">
      <c r="A219" s="153" t="s">
        <v>42</v>
      </c>
      <c r="B219" s="154"/>
      <c r="C219" s="36"/>
    </row>
    <row r="220" spans="1:4" x14ac:dyDescent="0.25">
      <c r="A220" s="151" t="s">
        <v>43</v>
      </c>
      <c r="B220" s="152"/>
      <c r="C220" s="38"/>
    </row>
    <row r="221" spans="1:4" x14ac:dyDescent="0.25">
      <c r="A221" s="153" t="s">
        <v>44</v>
      </c>
      <c r="B221" s="154"/>
      <c r="C221" s="36"/>
    </row>
    <row r="222" spans="1:4" x14ac:dyDescent="0.25">
      <c r="A222" s="151" t="s">
        <v>45</v>
      </c>
      <c r="B222" s="152"/>
      <c r="C222" s="38"/>
    </row>
    <row r="223" spans="1:4" x14ac:dyDescent="0.25">
      <c r="A223" s="149" t="s">
        <v>46</v>
      </c>
      <c r="B223" s="150"/>
      <c r="C223" s="39"/>
    </row>
    <row r="224" spans="1:4" x14ac:dyDescent="0.25">
      <c r="A224" s="151" t="s">
        <v>47</v>
      </c>
      <c r="B224" s="152"/>
      <c r="C224" s="38"/>
    </row>
    <row r="225" spans="1:4" s="9" customFormat="1" ht="15.75" x14ac:dyDescent="0.2">
      <c r="A225" s="14" t="e">
        <f>IF(RFQ!#REF!="",0,RFQ!#REF!)</f>
        <v>#REF!</v>
      </c>
      <c r="B225" s="14" t="e">
        <f>IF(C225=0,0,"FID "&amp;RFQ!#REF!)</f>
        <v>#REF!</v>
      </c>
      <c r="C225" s="22" t="e">
        <f>RFQ!#REF!</f>
        <v>#REF!</v>
      </c>
    </row>
    <row r="226" spans="1:4" x14ac:dyDescent="0.25">
      <c r="A226" s="157" t="s">
        <v>35</v>
      </c>
      <c r="B226" s="158"/>
      <c r="C226" s="15" t="e">
        <f>RFQ!#REF!</f>
        <v>#REF!</v>
      </c>
    </row>
    <row r="227" spans="1:4" x14ac:dyDescent="0.25">
      <c r="A227" s="159" t="s">
        <v>36</v>
      </c>
      <c r="B227" s="160"/>
      <c r="C227" s="19" t="e">
        <f>RFQ!#REF!</f>
        <v>#REF!</v>
      </c>
    </row>
    <row r="228" spans="1:4" x14ac:dyDescent="0.25">
      <c r="A228" s="159" t="s">
        <v>37</v>
      </c>
      <c r="B228" s="160"/>
      <c r="C228" s="19" t="e">
        <f>RFQ!#REF!</f>
        <v>#REF!</v>
      </c>
    </row>
    <row r="229" spans="1:4" x14ac:dyDescent="0.25">
      <c r="A229" s="159" t="s">
        <v>38</v>
      </c>
      <c r="B229" s="160"/>
      <c r="C229" s="19" t="e">
        <f>RFQ!#REF!</f>
        <v>#REF!</v>
      </c>
      <c r="D229" s="11"/>
    </row>
    <row r="230" spans="1:4" x14ac:dyDescent="0.25">
      <c r="A230" s="155" t="s">
        <v>39</v>
      </c>
      <c r="B230" s="156"/>
      <c r="C230" s="16"/>
      <c r="D230" s="11"/>
    </row>
    <row r="231" spans="1:4" ht="15.75" x14ac:dyDescent="0.3">
      <c r="A231" s="153" t="s">
        <v>40</v>
      </c>
      <c r="B231" s="154"/>
      <c r="C231" s="36"/>
      <c r="D231" s="12"/>
    </row>
    <row r="232" spans="1:4" ht="15.75" x14ac:dyDescent="0.3">
      <c r="A232" s="151" t="s">
        <v>41</v>
      </c>
      <c r="B232" s="152"/>
      <c r="C232" s="38"/>
      <c r="D232" s="12"/>
    </row>
    <row r="233" spans="1:4" x14ac:dyDescent="0.25">
      <c r="A233" s="153" t="s">
        <v>42</v>
      </c>
      <c r="B233" s="154"/>
      <c r="C233" s="36"/>
    </row>
    <row r="234" spans="1:4" x14ac:dyDescent="0.25">
      <c r="A234" s="151" t="s">
        <v>43</v>
      </c>
      <c r="B234" s="152"/>
      <c r="C234" s="38"/>
    </row>
    <row r="235" spans="1:4" x14ac:dyDescent="0.25">
      <c r="A235" s="153" t="s">
        <v>44</v>
      </c>
      <c r="B235" s="154"/>
      <c r="C235" s="36"/>
    </row>
    <row r="236" spans="1:4" x14ac:dyDescent="0.25">
      <c r="A236" s="151" t="s">
        <v>45</v>
      </c>
      <c r="B236" s="152"/>
      <c r="C236" s="38"/>
    </row>
    <row r="237" spans="1:4" x14ac:dyDescent="0.25">
      <c r="A237" s="149" t="s">
        <v>46</v>
      </c>
      <c r="B237" s="150"/>
      <c r="C237" s="39"/>
    </row>
    <row r="238" spans="1:4" x14ac:dyDescent="0.25">
      <c r="A238" s="151" t="s">
        <v>47</v>
      </c>
      <c r="B238" s="152"/>
      <c r="C238" s="38"/>
    </row>
    <row r="239" spans="1:4" s="9" customFormat="1" ht="15.75" x14ac:dyDescent="0.2">
      <c r="A239" s="14" t="e">
        <f>IF(RFQ!#REF!="",0,RFQ!#REF!)</f>
        <v>#REF!</v>
      </c>
      <c r="B239" s="14" t="e">
        <f>IF(C239=0,0,"FID "&amp;RFQ!#REF!)</f>
        <v>#REF!</v>
      </c>
      <c r="C239" s="22" t="e">
        <f>RFQ!#REF!</f>
        <v>#REF!</v>
      </c>
    </row>
    <row r="240" spans="1:4" x14ac:dyDescent="0.25">
      <c r="A240" s="157" t="s">
        <v>35</v>
      </c>
      <c r="B240" s="158"/>
      <c r="C240" s="15" t="e">
        <f>RFQ!#REF!</f>
        <v>#REF!</v>
      </c>
    </row>
    <row r="241" spans="1:4" x14ac:dyDescent="0.25">
      <c r="A241" s="159" t="s">
        <v>36</v>
      </c>
      <c r="B241" s="160"/>
      <c r="C241" s="19" t="e">
        <f>RFQ!#REF!</f>
        <v>#REF!</v>
      </c>
    </row>
    <row r="242" spans="1:4" x14ac:dyDescent="0.25">
      <c r="A242" s="159" t="s">
        <v>37</v>
      </c>
      <c r="B242" s="160"/>
      <c r="C242" s="19" t="e">
        <f>RFQ!#REF!</f>
        <v>#REF!</v>
      </c>
    </row>
    <row r="243" spans="1:4" x14ac:dyDescent="0.25">
      <c r="A243" s="159" t="s">
        <v>38</v>
      </c>
      <c r="B243" s="160"/>
      <c r="C243" s="19" t="e">
        <f>RFQ!#REF!</f>
        <v>#REF!</v>
      </c>
      <c r="D243" s="11"/>
    </row>
    <row r="244" spans="1:4" x14ac:dyDescent="0.25">
      <c r="A244" s="155" t="s">
        <v>39</v>
      </c>
      <c r="B244" s="156"/>
      <c r="C244" s="16"/>
      <c r="D244" s="11"/>
    </row>
    <row r="245" spans="1:4" ht="15.75" x14ac:dyDescent="0.3">
      <c r="A245" s="153" t="s">
        <v>40</v>
      </c>
      <c r="B245" s="154"/>
      <c r="C245" s="36"/>
      <c r="D245" s="12"/>
    </row>
    <row r="246" spans="1:4" ht="15.75" x14ac:dyDescent="0.3">
      <c r="A246" s="151" t="s">
        <v>41</v>
      </c>
      <c r="B246" s="152"/>
      <c r="C246" s="38"/>
      <c r="D246" s="12"/>
    </row>
    <row r="247" spans="1:4" x14ac:dyDescent="0.25">
      <c r="A247" s="153" t="s">
        <v>42</v>
      </c>
      <c r="B247" s="154"/>
      <c r="C247" s="36"/>
    </row>
    <row r="248" spans="1:4" x14ac:dyDescent="0.25">
      <c r="A248" s="151" t="s">
        <v>43</v>
      </c>
      <c r="B248" s="152"/>
      <c r="C248" s="38"/>
    </row>
    <row r="249" spans="1:4" x14ac:dyDescent="0.25">
      <c r="A249" s="153" t="s">
        <v>44</v>
      </c>
      <c r="B249" s="154"/>
      <c r="C249" s="36"/>
    </row>
    <row r="250" spans="1:4" x14ac:dyDescent="0.25">
      <c r="A250" s="151" t="s">
        <v>45</v>
      </c>
      <c r="B250" s="152"/>
      <c r="C250" s="38"/>
    </row>
    <row r="251" spans="1:4" x14ac:dyDescent="0.25">
      <c r="A251" s="149" t="s">
        <v>46</v>
      </c>
      <c r="B251" s="150"/>
      <c r="C251" s="39"/>
    </row>
    <row r="252" spans="1:4" x14ac:dyDescent="0.25">
      <c r="A252" s="151" t="s">
        <v>47</v>
      </c>
      <c r="B252" s="152"/>
      <c r="C252" s="38"/>
    </row>
    <row r="253" spans="1:4" s="9" customFormat="1" ht="15.75" x14ac:dyDescent="0.2">
      <c r="A253" s="14" t="e">
        <f>IF(RFQ!#REF!="",0,RFQ!#REF!)</f>
        <v>#REF!</v>
      </c>
      <c r="B253" s="14" t="e">
        <f>IF(C253=0,0,"FID "&amp;RFQ!#REF!)</f>
        <v>#REF!</v>
      </c>
      <c r="C253" s="22" t="e">
        <f>RFQ!#REF!</f>
        <v>#REF!</v>
      </c>
    </row>
    <row r="254" spans="1:4" x14ac:dyDescent="0.25">
      <c r="A254" s="157" t="s">
        <v>35</v>
      </c>
      <c r="B254" s="158"/>
      <c r="C254" s="15" t="e">
        <f>RFQ!#REF!</f>
        <v>#REF!</v>
      </c>
    </row>
    <row r="255" spans="1:4" x14ac:dyDescent="0.25">
      <c r="A255" s="159" t="s">
        <v>36</v>
      </c>
      <c r="B255" s="160"/>
      <c r="C255" s="19" t="e">
        <f>RFQ!#REF!</f>
        <v>#REF!</v>
      </c>
    </row>
    <row r="256" spans="1:4" x14ac:dyDescent="0.25">
      <c r="A256" s="159" t="s">
        <v>37</v>
      </c>
      <c r="B256" s="160"/>
      <c r="C256" s="19" t="e">
        <f>RFQ!#REF!</f>
        <v>#REF!</v>
      </c>
    </row>
    <row r="257" spans="1:4" x14ac:dyDescent="0.25">
      <c r="A257" s="159" t="s">
        <v>38</v>
      </c>
      <c r="B257" s="160"/>
      <c r="C257" s="19" t="e">
        <f>RFQ!#REF!</f>
        <v>#REF!</v>
      </c>
      <c r="D257" s="11"/>
    </row>
    <row r="258" spans="1:4" x14ac:dyDescent="0.25">
      <c r="A258" s="155" t="s">
        <v>39</v>
      </c>
      <c r="B258" s="156"/>
      <c r="C258" s="16"/>
      <c r="D258" s="11"/>
    </row>
    <row r="259" spans="1:4" ht="15.75" x14ac:dyDescent="0.3">
      <c r="A259" s="153" t="s">
        <v>40</v>
      </c>
      <c r="B259" s="154"/>
      <c r="C259" s="36"/>
      <c r="D259" s="12"/>
    </row>
    <row r="260" spans="1:4" ht="15.75" x14ac:dyDescent="0.3">
      <c r="A260" s="151" t="s">
        <v>41</v>
      </c>
      <c r="B260" s="152"/>
      <c r="C260" s="38"/>
      <c r="D260" s="12"/>
    </row>
    <row r="261" spans="1:4" x14ac:dyDescent="0.25">
      <c r="A261" s="153" t="s">
        <v>42</v>
      </c>
      <c r="B261" s="154"/>
      <c r="C261" s="36"/>
    </row>
    <row r="262" spans="1:4" x14ac:dyDescent="0.25">
      <c r="A262" s="151" t="s">
        <v>43</v>
      </c>
      <c r="B262" s="152"/>
      <c r="C262" s="38"/>
    </row>
    <row r="263" spans="1:4" x14ac:dyDescent="0.25">
      <c r="A263" s="153" t="s">
        <v>44</v>
      </c>
      <c r="B263" s="154"/>
      <c r="C263" s="36"/>
    </row>
    <row r="264" spans="1:4" x14ac:dyDescent="0.25">
      <c r="A264" s="151" t="s">
        <v>45</v>
      </c>
      <c r="B264" s="152"/>
      <c r="C264" s="38"/>
    </row>
    <row r="265" spans="1:4" x14ac:dyDescent="0.25">
      <c r="A265" s="149" t="s">
        <v>46</v>
      </c>
      <c r="B265" s="150"/>
      <c r="C265" s="39"/>
    </row>
    <row r="266" spans="1:4" x14ac:dyDescent="0.25">
      <c r="A266" s="151" t="s">
        <v>47</v>
      </c>
      <c r="B266" s="152"/>
      <c r="C266" s="38"/>
    </row>
    <row r="267" spans="1:4" s="9" customFormat="1" ht="15.75" x14ac:dyDescent="0.2">
      <c r="A267" s="14" t="e">
        <f>IF(RFQ!#REF!="",0,RFQ!#REF!)</f>
        <v>#REF!</v>
      </c>
      <c r="B267" s="14" t="e">
        <f>IF(C267=0,0,"FID "&amp;RFQ!#REF!)</f>
        <v>#REF!</v>
      </c>
      <c r="C267" s="22" t="e">
        <f>RFQ!#REF!</f>
        <v>#REF!</v>
      </c>
    </row>
    <row r="268" spans="1:4" x14ac:dyDescent="0.25">
      <c r="A268" s="157" t="s">
        <v>35</v>
      </c>
      <c r="B268" s="158"/>
      <c r="C268" s="15" t="e">
        <f>RFQ!#REF!</f>
        <v>#REF!</v>
      </c>
    </row>
    <row r="269" spans="1:4" x14ac:dyDescent="0.25">
      <c r="A269" s="159" t="s">
        <v>36</v>
      </c>
      <c r="B269" s="160"/>
      <c r="C269" s="19" t="e">
        <f>RFQ!#REF!</f>
        <v>#REF!</v>
      </c>
    </row>
    <row r="270" spans="1:4" x14ac:dyDescent="0.25">
      <c r="A270" s="159" t="s">
        <v>37</v>
      </c>
      <c r="B270" s="160"/>
      <c r="C270" s="19" t="e">
        <f>RFQ!#REF!</f>
        <v>#REF!</v>
      </c>
    </row>
    <row r="271" spans="1:4" x14ac:dyDescent="0.25">
      <c r="A271" s="159" t="s">
        <v>38</v>
      </c>
      <c r="B271" s="160"/>
      <c r="C271" s="19" t="e">
        <f>RFQ!#REF!</f>
        <v>#REF!</v>
      </c>
      <c r="D271" s="11"/>
    </row>
    <row r="272" spans="1:4" x14ac:dyDescent="0.25">
      <c r="A272" s="155" t="s">
        <v>39</v>
      </c>
      <c r="B272" s="156"/>
      <c r="C272" s="16"/>
      <c r="D272" s="11"/>
    </row>
    <row r="273" spans="1:4" ht="15.75" x14ac:dyDescent="0.3">
      <c r="A273" s="153" t="s">
        <v>40</v>
      </c>
      <c r="B273" s="154"/>
      <c r="C273" s="36"/>
      <c r="D273" s="12"/>
    </row>
    <row r="274" spans="1:4" ht="15.75" x14ac:dyDescent="0.3">
      <c r="A274" s="151" t="s">
        <v>41</v>
      </c>
      <c r="B274" s="152"/>
      <c r="C274" s="38"/>
      <c r="D274" s="12"/>
    </row>
    <row r="275" spans="1:4" x14ac:dyDescent="0.25">
      <c r="A275" s="153" t="s">
        <v>42</v>
      </c>
      <c r="B275" s="154"/>
      <c r="C275" s="36"/>
    </row>
    <row r="276" spans="1:4" x14ac:dyDescent="0.25">
      <c r="A276" s="151" t="s">
        <v>43</v>
      </c>
      <c r="B276" s="152"/>
      <c r="C276" s="38"/>
    </row>
    <row r="277" spans="1:4" x14ac:dyDescent="0.25">
      <c r="A277" s="153" t="s">
        <v>44</v>
      </c>
      <c r="B277" s="154"/>
      <c r="C277" s="36"/>
    </row>
    <row r="278" spans="1:4" x14ac:dyDescent="0.25">
      <c r="A278" s="151" t="s">
        <v>45</v>
      </c>
      <c r="B278" s="152"/>
      <c r="C278" s="38"/>
    </row>
    <row r="279" spans="1:4" x14ac:dyDescent="0.25">
      <c r="A279" s="149" t="s">
        <v>46</v>
      </c>
      <c r="B279" s="150"/>
      <c r="C279" s="39"/>
    </row>
    <row r="280" spans="1:4" x14ac:dyDescent="0.25">
      <c r="A280" s="151" t="s">
        <v>47</v>
      </c>
      <c r="B280" s="152"/>
      <c r="C280" s="38"/>
    </row>
    <row r="281" spans="1:4" s="9" customFormat="1" ht="15.75" x14ac:dyDescent="0.2">
      <c r="A281" s="14" t="e">
        <f>IF(RFQ!#REF!="",0,RFQ!#REF!)</f>
        <v>#REF!</v>
      </c>
      <c r="B281" s="14" t="e">
        <f>IF(C281=0,0,"FID "&amp;RFQ!#REF!)</f>
        <v>#REF!</v>
      </c>
      <c r="C281" s="22" t="e">
        <f>RFQ!#REF!</f>
        <v>#REF!</v>
      </c>
    </row>
    <row r="282" spans="1:4" x14ac:dyDescent="0.25">
      <c r="A282" s="157" t="s">
        <v>35</v>
      </c>
      <c r="B282" s="158"/>
      <c r="C282" s="15" t="e">
        <f>RFQ!#REF!</f>
        <v>#REF!</v>
      </c>
    </row>
    <row r="283" spans="1:4" x14ac:dyDescent="0.25">
      <c r="A283" s="159" t="s">
        <v>36</v>
      </c>
      <c r="B283" s="160"/>
      <c r="C283" s="19" t="e">
        <f>RFQ!#REF!</f>
        <v>#REF!</v>
      </c>
    </row>
    <row r="284" spans="1:4" x14ac:dyDescent="0.25">
      <c r="A284" s="159" t="s">
        <v>37</v>
      </c>
      <c r="B284" s="160"/>
      <c r="C284" s="19" t="e">
        <f>RFQ!#REF!</f>
        <v>#REF!</v>
      </c>
    </row>
    <row r="285" spans="1:4" x14ac:dyDescent="0.25">
      <c r="A285" s="159" t="s">
        <v>38</v>
      </c>
      <c r="B285" s="160"/>
      <c r="C285" s="19" t="e">
        <f>RFQ!#REF!</f>
        <v>#REF!</v>
      </c>
      <c r="D285" s="11"/>
    </row>
    <row r="286" spans="1:4" x14ac:dyDescent="0.25">
      <c r="A286" s="155" t="s">
        <v>39</v>
      </c>
      <c r="B286" s="156"/>
      <c r="C286" s="16"/>
      <c r="D286" s="11"/>
    </row>
    <row r="287" spans="1:4" ht="15.75" x14ac:dyDescent="0.3">
      <c r="A287" s="153" t="s">
        <v>40</v>
      </c>
      <c r="B287" s="154"/>
      <c r="C287" s="36"/>
      <c r="D287" s="12"/>
    </row>
    <row r="288" spans="1:4" ht="15.75" x14ac:dyDescent="0.3">
      <c r="A288" s="151" t="s">
        <v>41</v>
      </c>
      <c r="B288" s="152"/>
      <c r="C288" s="38"/>
      <c r="D288" s="12"/>
    </row>
    <row r="289" spans="1:4" x14ac:dyDescent="0.25">
      <c r="A289" s="153" t="s">
        <v>42</v>
      </c>
      <c r="B289" s="154"/>
      <c r="C289" s="36"/>
    </row>
    <row r="290" spans="1:4" x14ac:dyDescent="0.25">
      <c r="A290" s="151" t="s">
        <v>43</v>
      </c>
      <c r="B290" s="152"/>
      <c r="C290" s="38"/>
    </row>
    <row r="291" spans="1:4" x14ac:dyDescent="0.25">
      <c r="A291" s="153" t="s">
        <v>44</v>
      </c>
      <c r="B291" s="154"/>
      <c r="C291" s="36"/>
    </row>
    <row r="292" spans="1:4" x14ac:dyDescent="0.25">
      <c r="A292" s="151" t="s">
        <v>45</v>
      </c>
      <c r="B292" s="152"/>
      <c r="C292" s="38"/>
    </row>
    <row r="293" spans="1:4" x14ac:dyDescent="0.25">
      <c r="A293" s="149" t="s">
        <v>46</v>
      </c>
      <c r="B293" s="150"/>
      <c r="C293" s="39"/>
    </row>
    <row r="294" spans="1:4" x14ac:dyDescent="0.25">
      <c r="A294" s="151" t="s">
        <v>47</v>
      </c>
      <c r="B294" s="152"/>
      <c r="C294" s="38"/>
    </row>
    <row r="295" spans="1:4" s="9" customFormat="1" ht="15.75" x14ac:dyDescent="0.2">
      <c r="A295" s="14" t="e">
        <f>IF(RFQ!#REF!="",0,RFQ!#REF!)</f>
        <v>#REF!</v>
      </c>
      <c r="B295" s="14" t="e">
        <f>IF(C295=0,0,"FID "&amp;RFQ!#REF!)</f>
        <v>#REF!</v>
      </c>
      <c r="C295" s="22" t="e">
        <f>RFQ!#REF!</f>
        <v>#REF!</v>
      </c>
    </row>
    <row r="296" spans="1:4" x14ac:dyDescent="0.25">
      <c r="A296" s="157" t="s">
        <v>35</v>
      </c>
      <c r="B296" s="158"/>
      <c r="C296" s="15" t="e">
        <f>RFQ!#REF!</f>
        <v>#REF!</v>
      </c>
    </row>
    <row r="297" spans="1:4" x14ac:dyDescent="0.25">
      <c r="A297" s="159" t="s">
        <v>36</v>
      </c>
      <c r="B297" s="160"/>
      <c r="C297" s="19" t="e">
        <f>RFQ!#REF!</f>
        <v>#REF!</v>
      </c>
    </row>
    <row r="298" spans="1:4" x14ac:dyDescent="0.25">
      <c r="A298" s="159" t="s">
        <v>37</v>
      </c>
      <c r="B298" s="160"/>
      <c r="C298" s="19" t="e">
        <f>RFQ!#REF!</f>
        <v>#REF!</v>
      </c>
    </row>
    <row r="299" spans="1:4" x14ac:dyDescent="0.25">
      <c r="A299" s="159" t="s">
        <v>38</v>
      </c>
      <c r="B299" s="160"/>
      <c r="C299" s="19" t="e">
        <f>RFQ!#REF!</f>
        <v>#REF!</v>
      </c>
      <c r="D299" s="11"/>
    </row>
    <row r="300" spans="1:4" x14ac:dyDescent="0.25">
      <c r="A300" s="155" t="s">
        <v>39</v>
      </c>
      <c r="B300" s="156"/>
      <c r="C300" s="16"/>
      <c r="D300" s="11"/>
    </row>
    <row r="301" spans="1:4" ht="15.75" x14ac:dyDescent="0.3">
      <c r="A301" s="153" t="s">
        <v>40</v>
      </c>
      <c r="B301" s="154"/>
      <c r="C301" s="36"/>
      <c r="D301" s="12"/>
    </row>
    <row r="302" spans="1:4" ht="15.75" x14ac:dyDescent="0.3">
      <c r="A302" s="151" t="s">
        <v>41</v>
      </c>
      <c r="B302" s="152"/>
      <c r="C302" s="38"/>
      <c r="D302" s="12"/>
    </row>
    <row r="303" spans="1:4" x14ac:dyDescent="0.25">
      <c r="A303" s="153" t="s">
        <v>42</v>
      </c>
      <c r="B303" s="154"/>
      <c r="C303" s="36"/>
    </row>
    <row r="304" spans="1:4" x14ac:dyDescent="0.25">
      <c r="A304" s="151" t="s">
        <v>43</v>
      </c>
      <c r="B304" s="152"/>
      <c r="C304" s="38"/>
    </row>
    <row r="305" spans="1:4" x14ac:dyDescent="0.25">
      <c r="A305" s="153" t="s">
        <v>44</v>
      </c>
      <c r="B305" s="154"/>
      <c r="C305" s="36"/>
    </row>
    <row r="306" spans="1:4" x14ac:dyDescent="0.25">
      <c r="A306" s="151" t="s">
        <v>45</v>
      </c>
      <c r="B306" s="152"/>
      <c r="C306" s="38"/>
    </row>
    <row r="307" spans="1:4" x14ac:dyDescent="0.25">
      <c r="A307" s="149" t="s">
        <v>46</v>
      </c>
      <c r="B307" s="150"/>
      <c r="C307" s="39"/>
    </row>
    <row r="308" spans="1:4" x14ac:dyDescent="0.25">
      <c r="A308" s="151" t="s">
        <v>47</v>
      </c>
      <c r="B308" s="152"/>
      <c r="C308" s="38"/>
    </row>
    <row r="309" spans="1:4" s="9" customFormat="1" ht="15.75" x14ac:dyDescent="0.2">
      <c r="A309" s="14" t="e">
        <f>IF(RFQ!#REF!="",0,RFQ!#REF!)</f>
        <v>#REF!</v>
      </c>
      <c r="B309" s="14" t="e">
        <f>IF(C309=0,0,"FID "&amp;RFQ!#REF!)</f>
        <v>#REF!</v>
      </c>
      <c r="C309" s="22" t="e">
        <f>RFQ!#REF!</f>
        <v>#REF!</v>
      </c>
    </row>
    <row r="310" spans="1:4" x14ac:dyDescent="0.25">
      <c r="A310" s="157" t="s">
        <v>35</v>
      </c>
      <c r="B310" s="158"/>
      <c r="C310" s="15" t="e">
        <f>RFQ!#REF!</f>
        <v>#REF!</v>
      </c>
    </row>
    <row r="311" spans="1:4" x14ac:dyDescent="0.25">
      <c r="A311" s="159" t="s">
        <v>36</v>
      </c>
      <c r="B311" s="160"/>
      <c r="C311" s="19" t="e">
        <f>RFQ!#REF!</f>
        <v>#REF!</v>
      </c>
    </row>
    <row r="312" spans="1:4" x14ac:dyDescent="0.25">
      <c r="A312" s="159" t="s">
        <v>37</v>
      </c>
      <c r="B312" s="160"/>
      <c r="C312" s="19" t="e">
        <f>RFQ!#REF!</f>
        <v>#REF!</v>
      </c>
    </row>
    <row r="313" spans="1:4" x14ac:dyDescent="0.25">
      <c r="A313" s="159" t="s">
        <v>38</v>
      </c>
      <c r="B313" s="160"/>
      <c r="C313" s="19" t="e">
        <f>RFQ!#REF!</f>
        <v>#REF!</v>
      </c>
      <c r="D313" s="11"/>
    </row>
    <row r="314" spans="1:4" x14ac:dyDescent="0.25">
      <c r="A314" s="155" t="s">
        <v>39</v>
      </c>
      <c r="B314" s="156"/>
      <c r="C314" s="16"/>
      <c r="D314" s="11"/>
    </row>
    <row r="315" spans="1:4" ht="15.75" x14ac:dyDescent="0.3">
      <c r="A315" s="153" t="s">
        <v>40</v>
      </c>
      <c r="B315" s="154"/>
      <c r="C315" s="36"/>
      <c r="D315" s="12"/>
    </row>
    <row r="316" spans="1:4" ht="15.75" x14ac:dyDescent="0.3">
      <c r="A316" s="151" t="s">
        <v>41</v>
      </c>
      <c r="B316" s="152"/>
      <c r="C316" s="38"/>
      <c r="D316" s="12"/>
    </row>
    <row r="317" spans="1:4" x14ac:dyDescent="0.25">
      <c r="A317" s="153" t="s">
        <v>42</v>
      </c>
      <c r="B317" s="154"/>
      <c r="C317" s="36"/>
    </row>
    <row r="318" spans="1:4" x14ac:dyDescent="0.25">
      <c r="A318" s="151" t="s">
        <v>43</v>
      </c>
      <c r="B318" s="152"/>
      <c r="C318" s="38"/>
    </row>
    <row r="319" spans="1:4" x14ac:dyDescent="0.25">
      <c r="A319" s="153" t="s">
        <v>44</v>
      </c>
      <c r="B319" s="154"/>
      <c r="C319" s="36"/>
    </row>
    <row r="320" spans="1:4" x14ac:dyDescent="0.25">
      <c r="A320" s="151" t="s">
        <v>45</v>
      </c>
      <c r="B320" s="152"/>
      <c r="C320" s="38"/>
    </row>
    <row r="321" spans="1:4" x14ac:dyDescent="0.25">
      <c r="A321" s="149" t="s">
        <v>46</v>
      </c>
      <c r="B321" s="150"/>
      <c r="C321" s="39"/>
    </row>
    <row r="322" spans="1:4" x14ac:dyDescent="0.25">
      <c r="A322" s="151" t="s">
        <v>47</v>
      </c>
      <c r="B322" s="152"/>
      <c r="C322" s="38"/>
    </row>
    <row r="323" spans="1:4" s="9" customFormat="1" ht="15.75" x14ac:dyDescent="0.2">
      <c r="A323" s="14" t="e">
        <f>IF(RFQ!#REF!="",0,RFQ!#REF!)</f>
        <v>#REF!</v>
      </c>
      <c r="B323" s="14" t="e">
        <f>IF(C323=0,0,"FID "&amp;RFQ!#REF!)</f>
        <v>#REF!</v>
      </c>
      <c r="C323" s="22" t="e">
        <f>RFQ!#REF!</f>
        <v>#REF!</v>
      </c>
    </row>
    <row r="324" spans="1:4" ht="15" customHeight="1" x14ac:dyDescent="0.25">
      <c r="A324" s="161" t="s">
        <v>35</v>
      </c>
      <c r="B324" s="162"/>
      <c r="C324" s="15" t="e">
        <f>RFQ!#REF!</f>
        <v>#REF!</v>
      </c>
    </row>
    <row r="325" spans="1:4" x14ac:dyDescent="0.25">
      <c r="A325" s="159" t="s">
        <v>36</v>
      </c>
      <c r="B325" s="160"/>
      <c r="C325" s="19" t="e">
        <f>RFQ!#REF!</f>
        <v>#REF!</v>
      </c>
    </row>
    <row r="326" spans="1:4" x14ac:dyDescent="0.25">
      <c r="A326" s="159" t="s">
        <v>37</v>
      </c>
      <c r="B326" s="160"/>
      <c r="C326" s="19" t="e">
        <f>RFQ!#REF!</f>
        <v>#REF!</v>
      </c>
    </row>
    <row r="327" spans="1:4" x14ac:dyDescent="0.25">
      <c r="A327" s="159" t="s">
        <v>38</v>
      </c>
      <c r="B327" s="160"/>
      <c r="C327" s="19" t="e">
        <f>RFQ!#REF!</f>
        <v>#REF!</v>
      </c>
      <c r="D327" s="11"/>
    </row>
    <row r="328" spans="1:4" x14ac:dyDescent="0.25">
      <c r="A328" s="155" t="s">
        <v>39</v>
      </c>
      <c r="B328" s="156"/>
      <c r="C328" s="16"/>
      <c r="D328" s="11"/>
    </row>
    <row r="329" spans="1:4" ht="15.75" x14ac:dyDescent="0.3">
      <c r="A329" s="153" t="s">
        <v>40</v>
      </c>
      <c r="B329" s="154"/>
      <c r="C329" s="36"/>
      <c r="D329" s="12"/>
    </row>
    <row r="330" spans="1:4" ht="15.75" x14ac:dyDescent="0.3">
      <c r="A330" s="151" t="s">
        <v>41</v>
      </c>
      <c r="B330" s="152"/>
      <c r="C330" s="38"/>
      <c r="D330" s="12"/>
    </row>
    <row r="331" spans="1:4" x14ac:dyDescent="0.25">
      <c r="A331" s="153" t="s">
        <v>42</v>
      </c>
      <c r="B331" s="154"/>
      <c r="C331" s="36"/>
    </row>
    <row r="332" spans="1:4" x14ac:dyDescent="0.25">
      <c r="A332" s="151" t="s">
        <v>43</v>
      </c>
      <c r="B332" s="152"/>
      <c r="C332" s="38"/>
    </row>
    <row r="333" spans="1:4" x14ac:dyDescent="0.25">
      <c r="A333" s="153" t="s">
        <v>44</v>
      </c>
      <c r="B333" s="154"/>
      <c r="C333" s="36"/>
    </row>
    <row r="334" spans="1:4" x14ac:dyDescent="0.25">
      <c r="A334" s="151" t="s">
        <v>45</v>
      </c>
      <c r="B334" s="152"/>
      <c r="C334" s="38"/>
    </row>
    <row r="335" spans="1:4" x14ac:dyDescent="0.25">
      <c r="A335" s="149" t="s">
        <v>46</v>
      </c>
      <c r="B335" s="150"/>
      <c r="C335" s="39"/>
    </row>
    <row r="336" spans="1:4" x14ac:dyDescent="0.25">
      <c r="A336" s="151" t="s">
        <v>47</v>
      </c>
      <c r="B336" s="152"/>
      <c r="C336" s="38"/>
    </row>
    <row r="337" spans="1:4" s="9" customFormat="1" ht="15.75" x14ac:dyDescent="0.2">
      <c r="A337" s="14" t="e">
        <f>IF(RFQ!#REF!="",0,RFQ!#REF!)</f>
        <v>#REF!</v>
      </c>
      <c r="B337" s="14" t="e">
        <f>IF(C337=0,0,"FID "&amp;RFQ!#REF!)</f>
        <v>#REF!</v>
      </c>
      <c r="C337" s="22" t="e">
        <f>RFQ!#REF!</f>
        <v>#REF!</v>
      </c>
    </row>
    <row r="338" spans="1:4" x14ac:dyDescent="0.25">
      <c r="A338" s="157" t="s">
        <v>35</v>
      </c>
      <c r="B338" s="158"/>
      <c r="C338" s="15" t="e">
        <f>RFQ!#REF!</f>
        <v>#REF!</v>
      </c>
    </row>
    <row r="339" spans="1:4" x14ac:dyDescent="0.25">
      <c r="A339" s="159" t="s">
        <v>36</v>
      </c>
      <c r="B339" s="160"/>
      <c r="C339" s="19" t="e">
        <f>RFQ!#REF!</f>
        <v>#REF!</v>
      </c>
    </row>
    <row r="340" spans="1:4" x14ac:dyDescent="0.25">
      <c r="A340" s="159" t="s">
        <v>37</v>
      </c>
      <c r="B340" s="160"/>
      <c r="C340" s="19" t="e">
        <f>RFQ!#REF!</f>
        <v>#REF!</v>
      </c>
    </row>
    <row r="341" spans="1:4" x14ac:dyDescent="0.25">
      <c r="A341" s="159" t="s">
        <v>38</v>
      </c>
      <c r="B341" s="160"/>
      <c r="C341" s="19" t="e">
        <f>RFQ!#REF!</f>
        <v>#REF!</v>
      </c>
      <c r="D341" s="11"/>
    </row>
    <row r="342" spans="1:4" x14ac:dyDescent="0.25">
      <c r="A342" s="155" t="s">
        <v>39</v>
      </c>
      <c r="B342" s="156"/>
      <c r="C342" s="16"/>
      <c r="D342" s="11"/>
    </row>
    <row r="343" spans="1:4" ht="15.75" x14ac:dyDescent="0.3">
      <c r="A343" s="153" t="s">
        <v>40</v>
      </c>
      <c r="B343" s="154"/>
      <c r="C343" s="36"/>
      <c r="D343" s="12"/>
    </row>
    <row r="344" spans="1:4" ht="15.75" x14ac:dyDescent="0.3">
      <c r="A344" s="151" t="s">
        <v>41</v>
      </c>
      <c r="B344" s="152"/>
      <c r="C344" s="38"/>
      <c r="D344" s="12"/>
    </row>
    <row r="345" spans="1:4" x14ac:dyDescent="0.25">
      <c r="A345" s="153" t="s">
        <v>42</v>
      </c>
      <c r="B345" s="154"/>
      <c r="C345" s="36"/>
    </row>
    <row r="346" spans="1:4" x14ac:dyDescent="0.25">
      <c r="A346" s="151" t="s">
        <v>43</v>
      </c>
      <c r="B346" s="152"/>
      <c r="C346" s="38"/>
    </row>
    <row r="347" spans="1:4" x14ac:dyDescent="0.25">
      <c r="A347" s="153" t="s">
        <v>44</v>
      </c>
      <c r="B347" s="154"/>
      <c r="C347" s="36"/>
    </row>
    <row r="348" spans="1:4" x14ac:dyDescent="0.25">
      <c r="A348" s="151" t="s">
        <v>45</v>
      </c>
      <c r="B348" s="152"/>
      <c r="C348" s="38"/>
    </row>
    <row r="349" spans="1:4" x14ac:dyDescent="0.25">
      <c r="A349" s="149" t="s">
        <v>46</v>
      </c>
      <c r="B349" s="150"/>
      <c r="C349" s="39"/>
    </row>
    <row r="350" spans="1:4" x14ac:dyDescent="0.25">
      <c r="A350" s="151" t="s">
        <v>47</v>
      </c>
      <c r="B350" s="152"/>
      <c r="C350" s="38"/>
    </row>
    <row r="351" spans="1:4" s="9" customFormat="1" ht="15.75" x14ac:dyDescent="0.2">
      <c r="A351" s="14" t="e">
        <f>IF(RFQ!#REF!="",0,RFQ!#REF!)</f>
        <v>#REF!</v>
      </c>
      <c r="B351" s="14" t="e">
        <f>IF(C351=0,0,"FID "&amp;RFQ!#REF!)</f>
        <v>#REF!</v>
      </c>
      <c r="C351" s="22" t="e">
        <f>RFQ!#REF!</f>
        <v>#REF!</v>
      </c>
    </row>
    <row r="352" spans="1:4" x14ac:dyDescent="0.25">
      <c r="A352" s="157" t="s">
        <v>35</v>
      </c>
      <c r="B352" s="158"/>
      <c r="C352" s="15" t="e">
        <f>RFQ!#REF!</f>
        <v>#REF!</v>
      </c>
    </row>
    <row r="353" spans="1:4" x14ac:dyDescent="0.25">
      <c r="A353" s="159" t="s">
        <v>36</v>
      </c>
      <c r="B353" s="160"/>
      <c r="C353" s="19" t="e">
        <f>RFQ!#REF!</f>
        <v>#REF!</v>
      </c>
    </row>
    <row r="354" spans="1:4" x14ac:dyDescent="0.25">
      <c r="A354" s="159" t="s">
        <v>37</v>
      </c>
      <c r="B354" s="160"/>
      <c r="C354" s="19" t="e">
        <f>RFQ!#REF!</f>
        <v>#REF!</v>
      </c>
    </row>
    <row r="355" spans="1:4" x14ac:dyDescent="0.25">
      <c r="A355" s="159" t="s">
        <v>38</v>
      </c>
      <c r="B355" s="160"/>
      <c r="C355" s="19" t="e">
        <f>RFQ!#REF!</f>
        <v>#REF!</v>
      </c>
      <c r="D355" s="11"/>
    </row>
    <row r="356" spans="1:4" x14ac:dyDescent="0.25">
      <c r="A356" s="155" t="s">
        <v>39</v>
      </c>
      <c r="B356" s="156"/>
      <c r="C356" s="16"/>
      <c r="D356" s="11"/>
    </row>
    <row r="357" spans="1:4" ht="15.75" x14ac:dyDescent="0.3">
      <c r="A357" s="153" t="s">
        <v>40</v>
      </c>
      <c r="B357" s="154"/>
      <c r="C357" s="36"/>
      <c r="D357" s="12"/>
    </row>
    <row r="358" spans="1:4" ht="15.75" x14ac:dyDescent="0.3">
      <c r="A358" s="151" t="s">
        <v>41</v>
      </c>
      <c r="B358" s="152"/>
      <c r="C358" s="38"/>
      <c r="D358" s="12"/>
    </row>
    <row r="359" spans="1:4" x14ac:dyDescent="0.25">
      <c r="A359" s="153" t="s">
        <v>42</v>
      </c>
      <c r="B359" s="154"/>
      <c r="C359" s="36"/>
    </row>
    <row r="360" spans="1:4" x14ac:dyDescent="0.25">
      <c r="A360" s="151" t="s">
        <v>43</v>
      </c>
      <c r="B360" s="152"/>
      <c r="C360" s="38"/>
    </row>
    <row r="361" spans="1:4" x14ac:dyDescent="0.25">
      <c r="A361" s="153" t="s">
        <v>44</v>
      </c>
      <c r="B361" s="154"/>
      <c r="C361" s="36"/>
    </row>
    <row r="362" spans="1:4" x14ac:dyDescent="0.25">
      <c r="A362" s="151" t="s">
        <v>45</v>
      </c>
      <c r="B362" s="152"/>
      <c r="C362" s="38"/>
    </row>
    <row r="363" spans="1:4" x14ac:dyDescent="0.25">
      <c r="A363" s="149" t="s">
        <v>46</v>
      </c>
      <c r="B363" s="150"/>
      <c r="C363" s="39"/>
    </row>
    <row r="364" spans="1:4" x14ac:dyDescent="0.25">
      <c r="A364" s="151" t="s">
        <v>47</v>
      </c>
      <c r="B364" s="152"/>
      <c r="C364" s="38"/>
    </row>
    <row r="365" spans="1:4" s="9" customFormat="1" ht="15.75" x14ac:dyDescent="0.2">
      <c r="A365" s="14" t="e">
        <f>IF(RFQ!#REF!="",0,RFQ!#REF!)</f>
        <v>#REF!</v>
      </c>
      <c r="B365" s="14" t="e">
        <f>IF(C365=0,0,"FID "&amp;RFQ!#REF!)</f>
        <v>#REF!</v>
      </c>
      <c r="C365" s="22" t="e">
        <f>RFQ!#REF!</f>
        <v>#REF!</v>
      </c>
    </row>
    <row r="366" spans="1:4" x14ac:dyDescent="0.25">
      <c r="A366" s="157" t="s">
        <v>35</v>
      </c>
      <c r="B366" s="158"/>
      <c r="C366" s="15" t="e">
        <f>RFQ!#REF!</f>
        <v>#REF!</v>
      </c>
    </row>
    <row r="367" spans="1:4" x14ac:dyDescent="0.25">
      <c r="A367" s="159" t="s">
        <v>36</v>
      </c>
      <c r="B367" s="160"/>
      <c r="C367" s="19" t="e">
        <f>RFQ!#REF!</f>
        <v>#REF!</v>
      </c>
    </row>
    <row r="368" spans="1:4" x14ac:dyDescent="0.25">
      <c r="A368" s="159" t="s">
        <v>37</v>
      </c>
      <c r="B368" s="160"/>
      <c r="C368" s="19" t="e">
        <f>RFQ!#REF!</f>
        <v>#REF!</v>
      </c>
    </row>
    <row r="369" spans="1:4" x14ac:dyDescent="0.25">
      <c r="A369" s="159" t="s">
        <v>38</v>
      </c>
      <c r="B369" s="160"/>
      <c r="C369" s="19" t="e">
        <f>RFQ!#REF!</f>
        <v>#REF!</v>
      </c>
      <c r="D369" s="11"/>
    </row>
    <row r="370" spans="1:4" x14ac:dyDescent="0.25">
      <c r="A370" s="155" t="s">
        <v>39</v>
      </c>
      <c r="B370" s="156"/>
      <c r="C370" s="16"/>
      <c r="D370" s="11"/>
    </row>
    <row r="371" spans="1:4" ht="15.75" x14ac:dyDescent="0.3">
      <c r="A371" s="153" t="s">
        <v>40</v>
      </c>
      <c r="B371" s="154"/>
      <c r="C371" s="36"/>
      <c r="D371" s="12"/>
    </row>
    <row r="372" spans="1:4" ht="15.75" x14ac:dyDescent="0.3">
      <c r="A372" s="151" t="s">
        <v>41</v>
      </c>
      <c r="B372" s="152"/>
      <c r="C372" s="38"/>
      <c r="D372" s="12"/>
    </row>
    <row r="373" spans="1:4" x14ac:dyDescent="0.25">
      <c r="A373" s="153" t="s">
        <v>42</v>
      </c>
      <c r="B373" s="154"/>
      <c r="C373" s="36"/>
    </row>
    <row r="374" spans="1:4" x14ac:dyDescent="0.25">
      <c r="A374" s="151" t="s">
        <v>43</v>
      </c>
      <c r="B374" s="152"/>
      <c r="C374" s="38"/>
    </row>
    <row r="375" spans="1:4" x14ac:dyDescent="0.25">
      <c r="A375" s="153" t="s">
        <v>44</v>
      </c>
      <c r="B375" s="154"/>
      <c r="C375" s="36"/>
    </row>
    <row r="376" spans="1:4" x14ac:dyDescent="0.25">
      <c r="A376" s="151" t="s">
        <v>45</v>
      </c>
      <c r="B376" s="152"/>
      <c r="C376" s="38"/>
    </row>
    <row r="377" spans="1:4" x14ac:dyDescent="0.25">
      <c r="A377" s="149" t="s">
        <v>46</v>
      </c>
      <c r="B377" s="150"/>
      <c r="C377" s="39"/>
    </row>
    <row r="378" spans="1:4" x14ac:dyDescent="0.25">
      <c r="A378" s="151" t="s">
        <v>47</v>
      </c>
      <c r="B378" s="152"/>
      <c r="C378" s="38"/>
    </row>
    <row r="379" spans="1:4" s="9" customFormat="1" ht="15.75" x14ac:dyDescent="0.2">
      <c r="A379" s="14" t="e">
        <f>IF(RFQ!#REF!="",0,RFQ!#REF!)</f>
        <v>#REF!</v>
      </c>
      <c r="B379" s="14" t="e">
        <f>IF(C379=0,0,"FID "&amp;RFQ!#REF!)</f>
        <v>#REF!</v>
      </c>
      <c r="C379" s="22" t="e">
        <f>RFQ!#REF!</f>
        <v>#REF!</v>
      </c>
    </row>
    <row r="380" spans="1:4" x14ac:dyDescent="0.25">
      <c r="A380" s="157" t="s">
        <v>35</v>
      </c>
      <c r="B380" s="158"/>
      <c r="C380" s="15" t="e">
        <f>RFQ!#REF!</f>
        <v>#REF!</v>
      </c>
    </row>
    <row r="381" spans="1:4" x14ac:dyDescent="0.25">
      <c r="A381" s="159" t="s">
        <v>36</v>
      </c>
      <c r="B381" s="160"/>
      <c r="C381" s="19" t="e">
        <f>RFQ!#REF!</f>
        <v>#REF!</v>
      </c>
    </row>
    <row r="382" spans="1:4" x14ac:dyDescent="0.25">
      <c r="A382" s="159" t="s">
        <v>37</v>
      </c>
      <c r="B382" s="160"/>
      <c r="C382" s="19" t="e">
        <f>RFQ!#REF!</f>
        <v>#REF!</v>
      </c>
    </row>
    <row r="383" spans="1:4" x14ac:dyDescent="0.25">
      <c r="A383" s="159" t="s">
        <v>38</v>
      </c>
      <c r="B383" s="160"/>
      <c r="C383" s="19" t="e">
        <f>RFQ!#REF!</f>
        <v>#REF!</v>
      </c>
      <c r="D383" s="11"/>
    </row>
    <row r="384" spans="1:4" x14ac:dyDescent="0.25">
      <c r="A384" s="155" t="s">
        <v>39</v>
      </c>
      <c r="B384" s="156"/>
      <c r="C384" s="16"/>
      <c r="D384" s="11"/>
    </row>
    <row r="385" spans="1:4" ht="15.75" x14ac:dyDescent="0.3">
      <c r="A385" s="153" t="s">
        <v>40</v>
      </c>
      <c r="B385" s="154"/>
      <c r="C385" s="36"/>
      <c r="D385" s="12"/>
    </row>
    <row r="386" spans="1:4" ht="15.75" x14ac:dyDescent="0.3">
      <c r="A386" s="151" t="s">
        <v>41</v>
      </c>
      <c r="B386" s="152"/>
      <c r="C386" s="38"/>
      <c r="D386" s="12"/>
    </row>
    <row r="387" spans="1:4" x14ac:dyDescent="0.25">
      <c r="A387" s="153" t="s">
        <v>42</v>
      </c>
      <c r="B387" s="154"/>
      <c r="C387" s="36"/>
    </row>
    <row r="388" spans="1:4" x14ac:dyDescent="0.25">
      <c r="A388" s="151" t="s">
        <v>43</v>
      </c>
      <c r="B388" s="152"/>
      <c r="C388" s="38"/>
    </row>
    <row r="389" spans="1:4" x14ac:dyDescent="0.25">
      <c r="A389" s="153" t="s">
        <v>44</v>
      </c>
      <c r="B389" s="154"/>
      <c r="C389" s="36"/>
    </row>
    <row r="390" spans="1:4" x14ac:dyDescent="0.25">
      <c r="A390" s="151" t="s">
        <v>45</v>
      </c>
      <c r="B390" s="152"/>
      <c r="C390" s="38"/>
    </row>
    <row r="391" spans="1:4" x14ac:dyDescent="0.25">
      <c r="A391" s="149" t="s">
        <v>46</v>
      </c>
      <c r="B391" s="150"/>
      <c r="C391" s="39"/>
    </row>
    <row r="392" spans="1:4" x14ac:dyDescent="0.25">
      <c r="A392" s="151" t="s">
        <v>47</v>
      </c>
      <c r="B392" s="152"/>
      <c r="C392" s="38"/>
    </row>
    <row r="393" spans="1:4" s="9" customFormat="1" ht="15.75" x14ac:dyDescent="0.2">
      <c r="A393" s="14" t="e">
        <f>IF(RFQ!#REF!="",0,RFQ!#REF!)</f>
        <v>#REF!</v>
      </c>
      <c r="B393" s="14" t="e">
        <f>IF(C393=0,0,"FID "&amp;RFQ!#REF!)</f>
        <v>#REF!</v>
      </c>
      <c r="C393" s="22" t="e">
        <f>RFQ!#REF!</f>
        <v>#REF!</v>
      </c>
    </row>
    <row r="394" spans="1:4" x14ac:dyDescent="0.25">
      <c r="A394" s="157" t="s">
        <v>35</v>
      </c>
      <c r="B394" s="158"/>
      <c r="C394" s="15" t="e">
        <f>RFQ!#REF!</f>
        <v>#REF!</v>
      </c>
    </row>
    <row r="395" spans="1:4" x14ac:dyDescent="0.25">
      <c r="A395" s="159" t="s">
        <v>36</v>
      </c>
      <c r="B395" s="160"/>
      <c r="C395" s="19" t="e">
        <f>RFQ!#REF!</f>
        <v>#REF!</v>
      </c>
    </row>
    <row r="396" spans="1:4" x14ac:dyDescent="0.25">
      <c r="A396" s="159" t="s">
        <v>37</v>
      </c>
      <c r="B396" s="160"/>
      <c r="C396" s="19" t="e">
        <f>RFQ!#REF!</f>
        <v>#REF!</v>
      </c>
    </row>
    <row r="397" spans="1:4" x14ac:dyDescent="0.25">
      <c r="A397" s="159" t="s">
        <v>38</v>
      </c>
      <c r="B397" s="160"/>
      <c r="C397" s="19" t="e">
        <f>RFQ!#REF!</f>
        <v>#REF!</v>
      </c>
      <c r="D397" s="11"/>
    </row>
    <row r="398" spans="1:4" x14ac:dyDescent="0.25">
      <c r="A398" s="155" t="s">
        <v>39</v>
      </c>
      <c r="B398" s="156"/>
      <c r="C398" s="16"/>
      <c r="D398" s="11"/>
    </row>
    <row r="399" spans="1:4" ht="15.75" x14ac:dyDescent="0.3">
      <c r="A399" s="153" t="s">
        <v>40</v>
      </c>
      <c r="B399" s="154"/>
      <c r="C399" s="36"/>
      <c r="D399" s="12"/>
    </row>
    <row r="400" spans="1:4" ht="15.75" x14ac:dyDescent="0.3">
      <c r="A400" s="151" t="s">
        <v>41</v>
      </c>
      <c r="B400" s="152"/>
      <c r="C400" s="38"/>
      <c r="D400" s="12"/>
    </row>
    <row r="401" spans="1:4" x14ac:dyDescent="0.25">
      <c r="A401" s="153" t="s">
        <v>42</v>
      </c>
      <c r="B401" s="154"/>
      <c r="C401" s="36"/>
    </row>
    <row r="402" spans="1:4" x14ac:dyDescent="0.25">
      <c r="A402" s="151" t="s">
        <v>43</v>
      </c>
      <c r="B402" s="152"/>
      <c r="C402" s="38"/>
    </row>
    <row r="403" spans="1:4" x14ac:dyDescent="0.25">
      <c r="A403" s="153" t="s">
        <v>44</v>
      </c>
      <c r="B403" s="154"/>
      <c r="C403" s="36"/>
    </row>
    <row r="404" spans="1:4" x14ac:dyDescent="0.25">
      <c r="A404" s="151" t="s">
        <v>45</v>
      </c>
      <c r="B404" s="152"/>
      <c r="C404" s="38"/>
    </row>
    <row r="405" spans="1:4" x14ac:dyDescent="0.25">
      <c r="A405" s="149" t="s">
        <v>46</v>
      </c>
      <c r="B405" s="150"/>
      <c r="C405" s="39"/>
    </row>
    <row r="406" spans="1:4" x14ac:dyDescent="0.25">
      <c r="A406" s="151" t="s">
        <v>47</v>
      </c>
      <c r="B406" s="152"/>
      <c r="C406" s="38"/>
    </row>
    <row r="407" spans="1:4" s="9" customFormat="1" ht="15.75" x14ac:dyDescent="0.2">
      <c r="A407" s="14" t="e">
        <f>IF(RFQ!#REF!="",0,RFQ!#REF!)</f>
        <v>#REF!</v>
      </c>
      <c r="B407" s="14" t="e">
        <f>IF(C407=0,0,"FID "&amp;RFQ!#REF!)</f>
        <v>#REF!</v>
      </c>
      <c r="C407" s="22" t="e">
        <f>RFQ!#REF!</f>
        <v>#REF!</v>
      </c>
    </row>
    <row r="408" spans="1:4" x14ac:dyDescent="0.25">
      <c r="A408" s="157" t="s">
        <v>35</v>
      </c>
      <c r="B408" s="158"/>
      <c r="C408" s="15" t="e">
        <f>RFQ!#REF!</f>
        <v>#REF!</v>
      </c>
    </row>
    <row r="409" spans="1:4" x14ac:dyDescent="0.25">
      <c r="A409" s="159" t="s">
        <v>36</v>
      </c>
      <c r="B409" s="160"/>
      <c r="C409" s="19" t="e">
        <f>RFQ!#REF!</f>
        <v>#REF!</v>
      </c>
    </row>
    <row r="410" spans="1:4" x14ac:dyDescent="0.25">
      <c r="A410" s="159" t="s">
        <v>37</v>
      </c>
      <c r="B410" s="160"/>
      <c r="C410" s="19" t="e">
        <f>RFQ!#REF!</f>
        <v>#REF!</v>
      </c>
    </row>
    <row r="411" spans="1:4" x14ac:dyDescent="0.25">
      <c r="A411" s="159" t="s">
        <v>38</v>
      </c>
      <c r="B411" s="160"/>
      <c r="C411" s="19" t="e">
        <f>RFQ!#REF!</f>
        <v>#REF!</v>
      </c>
      <c r="D411" s="11"/>
    </row>
    <row r="412" spans="1:4" x14ac:dyDescent="0.25">
      <c r="A412" s="155" t="s">
        <v>39</v>
      </c>
      <c r="B412" s="156"/>
      <c r="C412" s="16"/>
      <c r="D412" s="11"/>
    </row>
    <row r="413" spans="1:4" ht="15.75" x14ac:dyDescent="0.3">
      <c r="A413" s="153" t="s">
        <v>40</v>
      </c>
      <c r="B413" s="154"/>
      <c r="C413" s="36"/>
      <c r="D413" s="12"/>
    </row>
    <row r="414" spans="1:4" ht="15.75" x14ac:dyDescent="0.3">
      <c r="A414" s="151" t="s">
        <v>41</v>
      </c>
      <c r="B414" s="152"/>
      <c r="C414" s="38"/>
      <c r="D414" s="12"/>
    </row>
    <row r="415" spans="1:4" x14ac:dyDescent="0.25">
      <c r="A415" s="153" t="s">
        <v>42</v>
      </c>
      <c r="B415" s="154"/>
      <c r="C415" s="36"/>
    </row>
    <row r="416" spans="1:4" x14ac:dyDescent="0.25">
      <c r="A416" s="151" t="s">
        <v>43</v>
      </c>
      <c r="B416" s="152"/>
      <c r="C416" s="38"/>
    </row>
    <row r="417" spans="1:4" x14ac:dyDescent="0.25">
      <c r="A417" s="153" t="s">
        <v>44</v>
      </c>
      <c r="B417" s="154"/>
      <c r="C417" s="36"/>
    </row>
    <row r="418" spans="1:4" x14ac:dyDescent="0.25">
      <c r="A418" s="151" t="s">
        <v>45</v>
      </c>
      <c r="B418" s="152"/>
      <c r="C418" s="38"/>
    </row>
    <row r="419" spans="1:4" x14ac:dyDescent="0.25">
      <c r="A419" s="149" t="s">
        <v>46</v>
      </c>
      <c r="B419" s="150"/>
      <c r="C419" s="39"/>
    </row>
    <row r="420" spans="1:4" x14ac:dyDescent="0.25">
      <c r="A420" s="151" t="s">
        <v>47</v>
      </c>
      <c r="B420" s="152"/>
      <c r="C420" s="38"/>
    </row>
    <row r="421" spans="1:4" s="9" customFormat="1" ht="15.75" x14ac:dyDescent="0.2">
      <c r="A421" s="14" t="e">
        <f>IF(RFQ!#REF!="",0,RFQ!#REF!)</f>
        <v>#REF!</v>
      </c>
      <c r="B421" s="14" t="e">
        <f>IF(C421=0,0,"FID "&amp;RFQ!#REF!)</f>
        <v>#REF!</v>
      </c>
      <c r="C421" s="22" t="e">
        <f>RFQ!#REF!</f>
        <v>#REF!</v>
      </c>
    </row>
    <row r="422" spans="1:4" x14ac:dyDescent="0.25">
      <c r="A422" s="157" t="s">
        <v>35</v>
      </c>
      <c r="B422" s="158"/>
      <c r="C422" s="15" t="e">
        <f>RFQ!#REF!</f>
        <v>#REF!</v>
      </c>
    </row>
    <row r="423" spans="1:4" x14ac:dyDescent="0.25">
      <c r="A423" s="159" t="s">
        <v>36</v>
      </c>
      <c r="B423" s="160"/>
      <c r="C423" s="19" t="e">
        <f>RFQ!#REF!</f>
        <v>#REF!</v>
      </c>
    </row>
    <row r="424" spans="1:4" x14ac:dyDescent="0.25">
      <c r="A424" s="159" t="s">
        <v>37</v>
      </c>
      <c r="B424" s="160"/>
      <c r="C424" s="19" t="e">
        <f>RFQ!#REF!</f>
        <v>#REF!</v>
      </c>
    </row>
    <row r="425" spans="1:4" x14ac:dyDescent="0.25">
      <c r="A425" s="159" t="s">
        <v>38</v>
      </c>
      <c r="B425" s="160"/>
      <c r="C425" s="19" t="e">
        <f>RFQ!#REF!</f>
        <v>#REF!</v>
      </c>
      <c r="D425" s="11"/>
    </row>
    <row r="426" spans="1:4" x14ac:dyDescent="0.25">
      <c r="A426" s="155" t="s">
        <v>39</v>
      </c>
      <c r="B426" s="156"/>
      <c r="C426" s="16"/>
      <c r="D426" s="11"/>
    </row>
    <row r="427" spans="1:4" ht="15.75" x14ac:dyDescent="0.3">
      <c r="A427" s="153" t="s">
        <v>40</v>
      </c>
      <c r="B427" s="154"/>
      <c r="C427" s="36"/>
      <c r="D427" s="12"/>
    </row>
    <row r="428" spans="1:4" ht="15.75" x14ac:dyDescent="0.3">
      <c r="A428" s="151" t="s">
        <v>41</v>
      </c>
      <c r="B428" s="152"/>
      <c r="C428" s="38"/>
      <c r="D428" s="12"/>
    </row>
    <row r="429" spans="1:4" x14ac:dyDescent="0.25">
      <c r="A429" s="153" t="s">
        <v>42</v>
      </c>
      <c r="B429" s="154"/>
      <c r="C429" s="36"/>
    </row>
    <row r="430" spans="1:4" x14ac:dyDescent="0.25">
      <c r="A430" s="151" t="s">
        <v>43</v>
      </c>
      <c r="B430" s="152"/>
      <c r="C430" s="38"/>
    </row>
    <row r="431" spans="1:4" x14ac:dyDescent="0.25">
      <c r="A431" s="153" t="s">
        <v>44</v>
      </c>
      <c r="B431" s="154"/>
      <c r="C431" s="36"/>
    </row>
    <row r="432" spans="1:4" x14ac:dyDescent="0.25">
      <c r="A432" s="151" t="s">
        <v>45</v>
      </c>
      <c r="B432" s="152"/>
      <c r="C432" s="38"/>
    </row>
    <row r="433" spans="1:4" x14ac:dyDescent="0.25">
      <c r="A433" s="149" t="s">
        <v>46</v>
      </c>
      <c r="B433" s="150"/>
      <c r="C433" s="39"/>
    </row>
    <row r="434" spans="1:4" x14ac:dyDescent="0.25">
      <c r="A434" s="151" t="s">
        <v>47</v>
      </c>
      <c r="B434" s="152"/>
      <c r="C434" s="38"/>
    </row>
    <row r="435" spans="1:4" s="9" customFormat="1" ht="15.75" x14ac:dyDescent="0.2">
      <c r="A435" s="14" t="e">
        <f>IF(RFQ!#REF!="",0,RFQ!#REF!)</f>
        <v>#REF!</v>
      </c>
      <c r="B435" s="14" t="e">
        <f>IF(C435=0,0,"FID "&amp;RFQ!#REF!)</f>
        <v>#REF!</v>
      </c>
      <c r="C435" s="22" t="e">
        <f>RFQ!#REF!</f>
        <v>#REF!</v>
      </c>
    </row>
    <row r="436" spans="1:4" x14ac:dyDescent="0.25">
      <c r="A436" s="157" t="s">
        <v>35</v>
      </c>
      <c r="B436" s="158"/>
      <c r="C436" s="15" t="e">
        <f>RFQ!#REF!</f>
        <v>#REF!</v>
      </c>
    </row>
    <row r="437" spans="1:4" x14ac:dyDescent="0.25">
      <c r="A437" s="159" t="s">
        <v>36</v>
      </c>
      <c r="B437" s="160"/>
      <c r="C437" s="19" t="e">
        <f>RFQ!#REF!</f>
        <v>#REF!</v>
      </c>
    </row>
    <row r="438" spans="1:4" x14ac:dyDescent="0.25">
      <c r="A438" s="159" t="s">
        <v>37</v>
      </c>
      <c r="B438" s="160"/>
      <c r="C438" s="19" t="e">
        <f>RFQ!#REF!</f>
        <v>#REF!</v>
      </c>
    </row>
    <row r="439" spans="1:4" x14ac:dyDescent="0.25">
      <c r="A439" s="159" t="s">
        <v>38</v>
      </c>
      <c r="B439" s="160"/>
      <c r="C439" s="19" t="e">
        <f>RFQ!#REF!</f>
        <v>#REF!</v>
      </c>
      <c r="D439" s="11"/>
    </row>
    <row r="440" spans="1:4" x14ac:dyDescent="0.25">
      <c r="A440" s="155" t="s">
        <v>39</v>
      </c>
      <c r="B440" s="156"/>
      <c r="C440" s="16"/>
      <c r="D440" s="11"/>
    </row>
    <row r="441" spans="1:4" ht="15.75" x14ac:dyDescent="0.3">
      <c r="A441" s="153" t="s">
        <v>40</v>
      </c>
      <c r="B441" s="154"/>
      <c r="C441" s="36"/>
      <c r="D441" s="12"/>
    </row>
    <row r="442" spans="1:4" ht="15.75" x14ac:dyDescent="0.3">
      <c r="A442" s="151" t="s">
        <v>41</v>
      </c>
      <c r="B442" s="152"/>
      <c r="C442" s="38"/>
      <c r="D442" s="12"/>
    </row>
    <row r="443" spans="1:4" x14ac:dyDescent="0.25">
      <c r="A443" s="153" t="s">
        <v>42</v>
      </c>
      <c r="B443" s="154"/>
      <c r="C443" s="36"/>
    </row>
    <row r="444" spans="1:4" x14ac:dyDescent="0.25">
      <c r="A444" s="151" t="s">
        <v>43</v>
      </c>
      <c r="B444" s="152"/>
      <c r="C444" s="38"/>
    </row>
    <row r="445" spans="1:4" x14ac:dyDescent="0.25">
      <c r="A445" s="153" t="s">
        <v>44</v>
      </c>
      <c r="B445" s="154"/>
      <c r="C445" s="36"/>
    </row>
    <row r="446" spans="1:4" x14ac:dyDescent="0.25">
      <c r="A446" s="151" t="s">
        <v>45</v>
      </c>
      <c r="B446" s="152"/>
      <c r="C446" s="38"/>
    </row>
    <row r="447" spans="1:4" x14ac:dyDescent="0.25">
      <c r="A447" s="149" t="s">
        <v>46</v>
      </c>
      <c r="B447" s="150"/>
      <c r="C447" s="39"/>
    </row>
    <row r="448" spans="1:4" x14ac:dyDescent="0.25">
      <c r="A448" s="151" t="s">
        <v>47</v>
      </c>
      <c r="B448" s="152"/>
      <c r="C448" s="38"/>
    </row>
    <row r="449" spans="1:4" s="9" customFormat="1" ht="15.75" x14ac:dyDescent="0.2">
      <c r="A449" s="14" t="e">
        <f>IF(RFQ!#REF!="",0,RFQ!#REF!)</f>
        <v>#REF!</v>
      </c>
      <c r="B449" s="14" t="e">
        <f>IF(C449=0,0,"FID "&amp;RFQ!#REF!)</f>
        <v>#REF!</v>
      </c>
      <c r="C449" s="22" t="e">
        <f>RFQ!#REF!</f>
        <v>#REF!</v>
      </c>
    </row>
    <row r="450" spans="1:4" x14ac:dyDescent="0.25">
      <c r="A450" s="157" t="s">
        <v>35</v>
      </c>
      <c r="B450" s="158"/>
      <c r="C450" s="15" t="e">
        <f>RFQ!#REF!</f>
        <v>#REF!</v>
      </c>
    </row>
    <row r="451" spans="1:4" x14ac:dyDescent="0.25">
      <c r="A451" s="159" t="s">
        <v>36</v>
      </c>
      <c r="B451" s="160"/>
      <c r="C451" s="19" t="e">
        <f>RFQ!#REF!</f>
        <v>#REF!</v>
      </c>
    </row>
    <row r="452" spans="1:4" x14ac:dyDescent="0.25">
      <c r="A452" s="159" t="s">
        <v>37</v>
      </c>
      <c r="B452" s="160"/>
      <c r="C452" s="19" t="e">
        <f>RFQ!#REF!</f>
        <v>#REF!</v>
      </c>
    </row>
    <row r="453" spans="1:4" x14ac:dyDescent="0.25">
      <c r="A453" s="159" t="s">
        <v>38</v>
      </c>
      <c r="B453" s="160"/>
      <c r="C453" s="19" t="e">
        <f>RFQ!#REF!</f>
        <v>#REF!</v>
      </c>
      <c r="D453" s="11"/>
    </row>
    <row r="454" spans="1:4" x14ac:dyDescent="0.25">
      <c r="A454" s="155" t="s">
        <v>39</v>
      </c>
      <c r="B454" s="156"/>
      <c r="C454" s="16"/>
      <c r="D454" s="11"/>
    </row>
    <row r="455" spans="1:4" ht="15.75" x14ac:dyDescent="0.3">
      <c r="A455" s="153" t="s">
        <v>40</v>
      </c>
      <c r="B455" s="154"/>
      <c r="C455" s="36"/>
      <c r="D455" s="12"/>
    </row>
    <row r="456" spans="1:4" ht="15.75" x14ac:dyDescent="0.3">
      <c r="A456" s="151" t="s">
        <v>41</v>
      </c>
      <c r="B456" s="152"/>
      <c r="C456" s="38"/>
      <c r="D456" s="12"/>
    </row>
    <row r="457" spans="1:4" x14ac:dyDescent="0.25">
      <c r="A457" s="153" t="s">
        <v>42</v>
      </c>
      <c r="B457" s="154"/>
      <c r="C457" s="36"/>
    </row>
    <row r="458" spans="1:4" x14ac:dyDescent="0.25">
      <c r="A458" s="151" t="s">
        <v>43</v>
      </c>
      <c r="B458" s="152"/>
      <c r="C458" s="38"/>
    </row>
    <row r="459" spans="1:4" x14ac:dyDescent="0.25">
      <c r="A459" s="153" t="s">
        <v>44</v>
      </c>
      <c r="B459" s="154"/>
      <c r="C459" s="36"/>
    </row>
    <row r="460" spans="1:4" x14ac:dyDescent="0.25">
      <c r="A460" s="151" t="s">
        <v>45</v>
      </c>
      <c r="B460" s="152"/>
      <c r="C460" s="38"/>
    </row>
    <row r="461" spans="1:4" x14ac:dyDescent="0.25">
      <c r="A461" s="149" t="s">
        <v>46</v>
      </c>
      <c r="B461" s="150"/>
      <c r="C461" s="39"/>
    </row>
    <row r="462" spans="1:4" x14ac:dyDescent="0.25">
      <c r="A462" s="151" t="s">
        <v>47</v>
      </c>
      <c r="B462" s="152"/>
      <c r="C462" s="38"/>
    </row>
    <row r="463" spans="1:4" s="9" customFormat="1" ht="15.75" x14ac:dyDescent="0.2">
      <c r="A463" s="14" t="e">
        <f>IF(RFQ!#REF!="",0,RFQ!#REF!)</f>
        <v>#REF!</v>
      </c>
      <c r="B463" s="14" t="e">
        <f>IF(C463=0,0,"FID "&amp;RFQ!#REF!)</f>
        <v>#REF!</v>
      </c>
      <c r="C463" s="22" t="e">
        <f>RFQ!#REF!</f>
        <v>#REF!</v>
      </c>
    </row>
    <row r="464" spans="1:4" x14ac:dyDescent="0.25">
      <c r="A464" s="157" t="s">
        <v>35</v>
      </c>
      <c r="B464" s="158"/>
      <c r="C464" s="15" t="e">
        <f>RFQ!#REF!</f>
        <v>#REF!</v>
      </c>
    </row>
    <row r="465" spans="1:4" x14ac:dyDescent="0.25">
      <c r="A465" s="159" t="s">
        <v>36</v>
      </c>
      <c r="B465" s="160"/>
      <c r="C465" s="19" t="e">
        <f>RFQ!#REF!</f>
        <v>#REF!</v>
      </c>
    </row>
    <row r="466" spans="1:4" x14ac:dyDescent="0.25">
      <c r="A466" s="159" t="s">
        <v>37</v>
      </c>
      <c r="B466" s="160"/>
      <c r="C466" s="19" t="e">
        <f>RFQ!#REF!</f>
        <v>#REF!</v>
      </c>
    </row>
    <row r="467" spans="1:4" x14ac:dyDescent="0.25">
      <c r="A467" s="159" t="s">
        <v>38</v>
      </c>
      <c r="B467" s="160"/>
      <c r="C467" s="19" t="e">
        <f>RFQ!#REF!</f>
        <v>#REF!</v>
      </c>
      <c r="D467" s="11"/>
    </row>
    <row r="468" spans="1:4" x14ac:dyDescent="0.25">
      <c r="A468" s="155" t="s">
        <v>39</v>
      </c>
      <c r="B468" s="156"/>
      <c r="C468" s="16"/>
      <c r="D468" s="11"/>
    </row>
    <row r="469" spans="1:4" ht="15.75" x14ac:dyDescent="0.3">
      <c r="A469" s="153" t="s">
        <v>40</v>
      </c>
      <c r="B469" s="154"/>
      <c r="C469" s="36"/>
      <c r="D469" s="12"/>
    </row>
    <row r="470" spans="1:4" ht="15.75" x14ac:dyDescent="0.3">
      <c r="A470" s="151" t="s">
        <v>41</v>
      </c>
      <c r="B470" s="152"/>
      <c r="C470" s="38"/>
      <c r="D470" s="12"/>
    </row>
    <row r="471" spans="1:4" x14ac:dyDescent="0.25">
      <c r="A471" s="153" t="s">
        <v>42</v>
      </c>
      <c r="B471" s="154"/>
      <c r="C471" s="36"/>
    </row>
    <row r="472" spans="1:4" x14ac:dyDescent="0.25">
      <c r="A472" s="151" t="s">
        <v>43</v>
      </c>
      <c r="B472" s="152"/>
      <c r="C472" s="38"/>
    </row>
    <row r="473" spans="1:4" x14ac:dyDescent="0.25">
      <c r="A473" s="153" t="s">
        <v>44</v>
      </c>
      <c r="B473" s="154"/>
      <c r="C473" s="36"/>
    </row>
    <row r="474" spans="1:4" x14ac:dyDescent="0.25">
      <c r="A474" s="151" t="s">
        <v>45</v>
      </c>
      <c r="B474" s="152"/>
      <c r="C474" s="38"/>
    </row>
    <row r="475" spans="1:4" x14ac:dyDescent="0.25">
      <c r="A475" s="149" t="s">
        <v>46</v>
      </c>
      <c r="B475" s="150"/>
      <c r="C475" s="39"/>
    </row>
    <row r="476" spans="1:4" x14ac:dyDescent="0.25">
      <c r="A476" s="151" t="s">
        <v>47</v>
      </c>
      <c r="B476" s="152"/>
      <c r="C476" s="38"/>
    </row>
    <row r="477" spans="1:4" s="9" customFormat="1" ht="15.75" x14ac:dyDescent="0.2">
      <c r="A477" s="14" t="e">
        <f>IF(RFQ!#REF!="",0,RFQ!#REF!)</f>
        <v>#REF!</v>
      </c>
      <c r="B477" s="14" t="e">
        <f>IF(C477=0,0,"FID "&amp;RFQ!#REF!)</f>
        <v>#REF!</v>
      </c>
      <c r="C477" s="22" t="e">
        <f>RFQ!#REF!</f>
        <v>#REF!</v>
      </c>
    </row>
    <row r="478" spans="1:4" x14ac:dyDescent="0.25">
      <c r="A478" s="157" t="s">
        <v>35</v>
      </c>
      <c r="B478" s="158"/>
      <c r="C478" s="15" t="e">
        <f>RFQ!#REF!</f>
        <v>#REF!</v>
      </c>
    </row>
    <row r="479" spans="1:4" x14ac:dyDescent="0.25">
      <c r="A479" s="159" t="s">
        <v>36</v>
      </c>
      <c r="B479" s="160"/>
      <c r="C479" s="19" t="e">
        <f>RFQ!#REF!</f>
        <v>#REF!</v>
      </c>
    </row>
    <row r="480" spans="1:4" x14ac:dyDescent="0.25">
      <c r="A480" s="159" t="s">
        <v>37</v>
      </c>
      <c r="B480" s="160"/>
      <c r="C480" s="19" t="e">
        <f>RFQ!#REF!</f>
        <v>#REF!</v>
      </c>
    </row>
    <row r="481" spans="1:4" x14ac:dyDescent="0.25">
      <c r="A481" s="159" t="s">
        <v>38</v>
      </c>
      <c r="B481" s="160"/>
      <c r="C481" s="19" t="e">
        <f>RFQ!#REF!</f>
        <v>#REF!</v>
      </c>
      <c r="D481" s="11"/>
    </row>
    <row r="482" spans="1:4" x14ac:dyDescent="0.25">
      <c r="A482" s="155" t="s">
        <v>39</v>
      </c>
      <c r="B482" s="156"/>
      <c r="C482" s="16"/>
      <c r="D482" s="11"/>
    </row>
    <row r="483" spans="1:4" ht="15.75" x14ac:dyDescent="0.3">
      <c r="A483" s="153" t="s">
        <v>40</v>
      </c>
      <c r="B483" s="154"/>
      <c r="C483" s="36"/>
      <c r="D483" s="12"/>
    </row>
    <row r="484" spans="1:4" ht="15.75" x14ac:dyDescent="0.3">
      <c r="A484" s="151" t="s">
        <v>41</v>
      </c>
      <c r="B484" s="152"/>
      <c r="C484" s="38"/>
      <c r="D484" s="12"/>
    </row>
    <row r="485" spans="1:4" x14ac:dyDescent="0.25">
      <c r="A485" s="153" t="s">
        <v>42</v>
      </c>
      <c r="B485" s="154"/>
      <c r="C485" s="36"/>
    </row>
    <row r="486" spans="1:4" x14ac:dyDescent="0.25">
      <c r="A486" s="151" t="s">
        <v>43</v>
      </c>
      <c r="B486" s="152"/>
      <c r="C486" s="38"/>
    </row>
    <row r="487" spans="1:4" x14ac:dyDescent="0.25">
      <c r="A487" s="153" t="s">
        <v>44</v>
      </c>
      <c r="B487" s="154"/>
      <c r="C487" s="36"/>
    </row>
    <row r="488" spans="1:4" x14ac:dyDescent="0.25">
      <c r="A488" s="151" t="s">
        <v>45</v>
      </c>
      <c r="B488" s="152"/>
      <c r="C488" s="38"/>
    </row>
    <row r="489" spans="1:4" x14ac:dyDescent="0.25">
      <c r="A489" s="149" t="s">
        <v>46</v>
      </c>
      <c r="B489" s="150"/>
      <c r="C489" s="39"/>
    </row>
    <row r="490" spans="1:4" x14ac:dyDescent="0.25">
      <c r="A490" s="151" t="s">
        <v>47</v>
      </c>
      <c r="B490" s="152"/>
      <c r="C490" s="38"/>
    </row>
    <row r="491" spans="1:4" s="9" customFormat="1" ht="15.75" x14ac:dyDescent="0.2">
      <c r="A491" s="14" t="e">
        <f>IF(RFQ!#REF!="",0,RFQ!#REF!)</f>
        <v>#REF!</v>
      </c>
      <c r="B491" s="14" t="e">
        <f>IF(C491=0,0,"FID "&amp;RFQ!#REF!)</f>
        <v>#REF!</v>
      </c>
      <c r="C491" s="22" t="e">
        <f>RFQ!#REF!</f>
        <v>#REF!</v>
      </c>
    </row>
    <row r="492" spans="1:4" x14ac:dyDescent="0.25">
      <c r="A492" s="157" t="s">
        <v>35</v>
      </c>
      <c r="B492" s="158"/>
      <c r="C492" s="15" t="e">
        <f>RFQ!#REF!</f>
        <v>#REF!</v>
      </c>
    </row>
    <row r="493" spans="1:4" x14ac:dyDescent="0.25">
      <c r="A493" s="159" t="s">
        <v>36</v>
      </c>
      <c r="B493" s="160"/>
      <c r="C493" s="19" t="e">
        <f>RFQ!#REF!</f>
        <v>#REF!</v>
      </c>
    </row>
    <row r="494" spans="1:4" x14ac:dyDescent="0.25">
      <c r="A494" s="159" t="s">
        <v>37</v>
      </c>
      <c r="B494" s="160"/>
      <c r="C494" s="19" t="e">
        <f>RFQ!#REF!</f>
        <v>#REF!</v>
      </c>
    </row>
    <row r="495" spans="1:4" x14ac:dyDescent="0.25">
      <c r="A495" s="159" t="s">
        <v>38</v>
      </c>
      <c r="B495" s="160"/>
      <c r="C495" s="19" t="e">
        <f>RFQ!#REF!</f>
        <v>#REF!</v>
      </c>
      <c r="D495" s="11"/>
    </row>
    <row r="496" spans="1:4" x14ac:dyDescent="0.25">
      <c r="A496" s="155" t="s">
        <v>39</v>
      </c>
      <c r="B496" s="156"/>
      <c r="C496" s="16"/>
      <c r="D496" s="11"/>
    </row>
    <row r="497" spans="1:4" ht="15.75" x14ac:dyDescent="0.3">
      <c r="A497" s="153" t="s">
        <v>40</v>
      </c>
      <c r="B497" s="154"/>
      <c r="C497" s="36"/>
      <c r="D497" s="12"/>
    </row>
    <row r="498" spans="1:4" ht="15.75" x14ac:dyDescent="0.3">
      <c r="A498" s="151" t="s">
        <v>41</v>
      </c>
      <c r="B498" s="152"/>
      <c r="C498" s="38"/>
      <c r="D498" s="12"/>
    </row>
    <row r="499" spans="1:4" x14ac:dyDescent="0.25">
      <c r="A499" s="153" t="s">
        <v>42</v>
      </c>
      <c r="B499" s="154"/>
      <c r="C499" s="36"/>
    </row>
    <row r="500" spans="1:4" x14ac:dyDescent="0.25">
      <c r="A500" s="151" t="s">
        <v>43</v>
      </c>
      <c r="B500" s="152"/>
      <c r="C500" s="38"/>
    </row>
    <row r="501" spans="1:4" x14ac:dyDescent="0.25">
      <c r="A501" s="153" t="s">
        <v>44</v>
      </c>
      <c r="B501" s="154"/>
      <c r="C501" s="36"/>
    </row>
    <row r="502" spans="1:4" x14ac:dyDescent="0.25">
      <c r="A502" s="151" t="s">
        <v>45</v>
      </c>
      <c r="B502" s="152"/>
      <c r="C502" s="38"/>
    </row>
    <row r="503" spans="1:4" x14ac:dyDescent="0.25">
      <c r="A503" s="149" t="s">
        <v>46</v>
      </c>
      <c r="B503" s="150"/>
      <c r="C503" s="39"/>
    </row>
    <row r="504" spans="1:4" x14ac:dyDescent="0.25">
      <c r="A504" s="151" t="s">
        <v>47</v>
      </c>
      <c r="B504" s="152"/>
      <c r="C504" s="38"/>
    </row>
    <row r="505" spans="1:4" s="9" customFormat="1" ht="15.75" x14ac:dyDescent="0.2">
      <c r="A505" s="14" t="e">
        <f>IF(RFQ!#REF!="",0,RFQ!#REF!)</f>
        <v>#REF!</v>
      </c>
      <c r="B505" s="14" t="e">
        <f>IF(C505=0,0,"FID "&amp;RFQ!#REF!)</f>
        <v>#REF!</v>
      </c>
      <c r="C505" s="22" t="e">
        <f>RFQ!#REF!</f>
        <v>#REF!</v>
      </c>
    </row>
    <row r="506" spans="1:4" x14ac:dyDescent="0.25">
      <c r="A506" s="157" t="s">
        <v>35</v>
      </c>
      <c r="B506" s="158"/>
      <c r="C506" s="15" t="e">
        <f>RFQ!#REF!</f>
        <v>#REF!</v>
      </c>
    </row>
    <row r="507" spans="1:4" x14ac:dyDescent="0.25">
      <c r="A507" s="159" t="s">
        <v>36</v>
      </c>
      <c r="B507" s="160"/>
      <c r="C507" s="19" t="e">
        <f>RFQ!#REF!</f>
        <v>#REF!</v>
      </c>
    </row>
    <row r="508" spans="1:4" x14ac:dyDescent="0.25">
      <c r="A508" s="159" t="s">
        <v>37</v>
      </c>
      <c r="B508" s="160"/>
      <c r="C508" s="19" t="e">
        <f>RFQ!#REF!</f>
        <v>#REF!</v>
      </c>
    </row>
    <row r="509" spans="1:4" x14ac:dyDescent="0.25">
      <c r="A509" s="159" t="s">
        <v>38</v>
      </c>
      <c r="B509" s="160"/>
      <c r="C509" s="19" t="e">
        <f>RFQ!#REF!</f>
        <v>#REF!</v>
      </c>
      <c r="D509" s="11"/>
    </row>
    <row r="510" spans="1:4" x14ac:dyDescent="0.25">
      <c r="A510" s="155" t="s">
        <v>39</v>
      </c>
      <c r="B510" s="156"/>
      <c r="C510" s="16"/>
      <c r="D510" s="11"/>
    </row>
    <row r="511" spans="1:4" ht="15.75" x14ac:dyDescent="0.3">
      <c r="A511" s="153" t="s">
        <v>40</v>
      </c>
      <c r="B511" s="154"/>
      <c r="C511" s="36"/>
      <c r="D511" s="12"/>
    </row>
    <row r="512" spans="1:4" ht="15.75" x14ac:dyDescent="0.3">
      <c r="A512" s="151" t="s">
        <v>41</v>
      </c>
      <c r="B512" s="152"/>
      <c r="C512" s="38"/>
      <c r="D512" s="12"/>
    </row>
    <row r="513" spans="1:4" x14ac:dyDescent="0.25">
      <c r="A513" s="153" t="s">
        <v>42</v>
      </c>
      <c r="B513" s="154"/>
      <c r="C513" s="36"/>
    </row>
    <row r="514" spans="1:4" x14ac:dyDescent="0.25">
      <c r="A514" s="151" t="s">
        <v>43</v>
      </c>
      <c r="B514" s="152"/>
      <c r="C514" s="38"/>
    </row>
    <row r="515" spans="1:4" x14ac:dyDescent="0.25">
      <c r="A515" s="153" t="s">
        <v>44</v>
      </c>
      <c r="B515" s="154"/>
      <c r="C515" s="36"/>
    </row>
    <row r="516" spans="1:4" x14ac:dyDescent="0.25">
      <c r="A516" s="151" t="s">
        <v>45</v>
      </c>
      <c r="B516" s="152"/>
      <c r="C516" s="38"/>
    </row>
    <row r="517" spans="1:4" x14ac:dyDescent="0.25">
      <c r="A517" s="149" t="s">
        <v>46</v>
      </c>
      <c r="B517" s="150"/>
      <c r="C517" s="39"/>
    </row>
    <row r="518" spans="1:4" x14ac:dyDescent="0.25">
      <c r="A518" s="151" t="s">
        <v>47</v>
      </c>
      <c r="B518" s="152"/>
      <c r="C518" s="38"/>
    </row>
    <row r="519" spans="1:4" s="9" customFormat="1" ht="15.75" x14ac:dyDescent="0.2">
      <c r="A519" s="14" t="e">
        <f>IF(RFQ!#REF!="",0,RFQ!#REF!)</f>
        <v>#REF!</v>
      </c>
      <c r="B519" s="14" t="e">
        <f>IF(C519=0,0,"FID "&amp;RFQ!#REF!)</f>
        <v>#REF!</v>
      </c>
      <c r="C519" s="22" t="e">
        <f>RFQ!#REF!</f>
        <v>#REF!</v>
      </c>
    </row>
    <row r="520" spans="1:4" x14ac:dyDescent="0.25">
      <c r="A520" s="157" t="s">
        <v>35</v>
      </c>
      <c r="B520" s="158"/>
      <c r="C520" s="15" t="e">
        <f>RFQ!#REF!</f>
        <v>#REF!</v>
      </c>
    </row>
    <row r="521" spans="1:4" x14ac:dyDescent="0.25">
      <c r="A521" s="159" t="s">
        <v>36</v>
      </c>
      <c r="B521" s="160"/>
      <c r="C521" s="19" t="e">
        <f>RFQ!#REF!</f>
        <v>#REF!</v>
      </c>
    </row>
    <row r="522" spans="1:4" x14ac:dyDescent="0.25">
      <c r="A522" s="159" t="s">
        <v>37</v>
      </c>
      <c r="B522" s="160"/>
      <c r="C522" s="19" t="e">
        <f>RFQ!#REF!</f>
        <v>#REF!</v>
      </c>
    </row>
    <row r="523" spans="1:4" x14ac:dyDescent="0.25">
      <c r="A523" s="159" t="s">
        <v>38</v>
      </c>
      <c r="B523" s="160"/>
      <c r="C523" s="19" t="e">
        <f>RFQ!#REF!</f>
        <v>#REF!</v>
      </c>
      <c r="D523" s="11"/>
    </row>
    <row r="524" spans="1:4" x14ac:dyDescent="0.25">
      <c r="A524" s="155" t="s">
        <v>39</v>
      </c>
      <c r="B524" s="156"/>
      <c r="C524" s="16"/>
      <c r="D524" s="11"/>
    </row>
    <row r="525" spans="1:4" ht="15.75" x14ac:dyDescent="0.3">
      <c r="A525" s="153" t="s">
        <v>40</v>
      </c>
      <c r="B525" s="154"/>
      <c r="C525" s="36"/>
      <c r="D525" s="12"/>
    </row>
    <row r="526" spans="1:4" ht="15.75" x14ac:dyDescent="0.3">
      <c r="A526" s="151" t="s">
        <v>41</v>
      </c>
      <c r="B526" s="152"/>
      <c r="C526" s="38"/>
      <c r="D526" s="12"/>
    </row>
    <row r="527" spans="1:4" x14ac:dyDescent="0.25">
      <c r="A527" s="153" t="s">
        <v>42</v>
      </c>
      <c r="B527" s="154"/>
      <c r="C527" s="36"/>
    </row>
    <row r="528" spans="1:4" x14ac:dyDescent="0.25">
      <c r="A528" s="151" t="s">
        <v>43</v>
      </c>
      <c r="B528" s="152"/>
      <c r="C528" s="38"/>
    </row>
    <row r="529" spans="1:4" x14ac:dyDescent="0.25">
      <c r="A529" s="153" t="s">
        <v>44</v>
      </c>
      <c r="B529" s="154"/>
      <c r="C529" s="36"/>
    </row>
    <row r="530" spans="1:4" x14ac:dyDescent="0.25">
      <c r="A530" s="151" t="s">
        <v>45</v>
      </c>
      <c r="B530" s="152"/>
      <c r="C530" s="38"/>
    </row>
    <row r="531" spans="1:4" x14ac:dyDescent="0.25">
      <c r="A531" s="149" t="s">
        <v>46</v>
      </c>
      <c r="B531" s="150"/>
      <c r="C531" s="39"/>
    </row>
    <row r="532" spans="1:4" x14ac:dyDescent="0.25">
      <c r="A532" s="151" t="s">
        <v>47</v>
      </c>
      <c r="B532" s="152"/>
      <c r="C532" s="38"/>
    </row>
    <row r="533" spans="1:4" s="9" customFormat="1" ht="15.75" x14ac:dyDescent="0.2">
      <c r="A533" s="14" t="e">
        <f>IF(RFQ!#REF!="",0,RFQ!#REF!)</f>
        <v>#REF!</v>
      </c>
      <c r="B533" s="14" t="e">
        <f>IF(C533=0,0,"FID "&amp;RFQ!#REF!)</f>
        <v>#REF!</v>
      </c>
      <c r="C533" s="22" t="e">
        <f>RFQ!#REF!</f>
        <v>#REF!</v>
      </c>
    </row>
    <row r="534" spans="1:4" x14ac:dyDescent="0.25">
      <c r="A534" s="157" t="s">
        <v>35</v>
      </c>
      <c r="B534" s="158"/>
      <c r="C534" s="15" t="e">
        <f>RFQ!#REF!</f>
        <v>#REF!</v>
      </c>
    </row>
    <row r="535" spans="1:4" x14ac:dyDescent="0.25">
      <c r="A535" s="159" t="s">
        <v>36</v>
      </c>
      <c r="B535" s="160"/>
      <c r="C535" s="19" t="e">
        <f>RFQ!#REF!</f>
        <v>#REF!</v>
      </c>
    </row>
    <row r="536" spans="1:4" x14ac:dyDescent="0.25">
      <c r="A536" s="159" t="s">
        <v>37</v>
      </c>
      <c r="B536" s="160"/>
      <c r="C536" s="19" t="e">
        <f>RFQ!#REF!</f>
        <v>#REF!</v>
      </c>
    </row>
    <row r="537" spans="1:4" x14ac:dyDescent="0.25">
      <c r="A537" s="159" t="s">
        <v>38</v>
      </c>
      <c r="B537" s="160"/>
      <c r="C537" s="19" t="e">
        <f>RFQ!#REF!</f>
        <v>#REF!</v>
      </c>
      <c r="D537" s="11"/>
    </row>
    <row r="538" spans="1:4" x14ac:dyDescent="0.25">
      <c r="A538" s="155" t="s">
        <v>39</v>
      </c>
      <c r="B538" s="156"/>
      <c r="C538" s="16"/>
      <c r="D538" s="11"/>
    </row>
    <row r="539" spans="1:4" ht="15.75" x14ac:dyDescent="0.3">
      <c r="A539" s="153" t="s">
        <v>40</v>
      </c>
      <c r="B539" s="154"/>
      <c r="C539" s="36"/>
      <c r="D539" s="12"/>
    </row>
    <row r="540" spans="1:4" ht="15.75" x14ac:dyDescent="0.3">
      <c r="A540" s="151" t="s">
        <v>41</v>
      </c>
      <c r="B540" s="152"/>
      <c r="C540" s="38"/>
      <c r="D540" s="12"/>
    </row>
    <row r="541" spans="1:4" x14ac:dyDescent="0.25">
      <c r="A541" s="153" t="s">
        <v>42</v>
      </c>
      <c r="B541" s="154"/>
      <c r="C541" s="36"/>
    </row>
    <row r="542" spans="1:4" x14ac:dyDescent="0.25">
      <c r="A542" s="151" t="s">
        <v>43</v>
      </c>
      <c r="B542" s="152"/>
      <c r="C542" s="38"/>
    </row>
    <row r="543" spans="1:4" x14ac:dyDescent="0.25">
      <c r="A543" s="153" t="s">
        <v>44</v>
      </c>
      <c r="B543" s="154"/>
      <c r="C543" s="36"/>
    </row>
    <row r="544" spans="1:4" x14ac:dyDescent="0.25">
      <c r="A544" s="151" t="s">
        <v>45</v>
      </c>
      <c r="B544" s="152"/>
      <c r="C544" s="38"/>
    </row>
    <row r="545" spans="1:4" x14ac:dyDescent="0.25">
      <c r="A545" s="149" t="s">
        <v>46</v>
      </c>
      <c r="B545" s="150"/>
      <c r="C545" s="39"/>
    </row>
    <row r="546" spans="1:4" x14ac:dyDescent="0.25">
      <c r="A546" s="151" t="s">
        <v>47</v>
      </c>
      <c r="B546" s="152"/>
      <c r="C546" s="38"/>
    </row>
    <row r="547" spans="1:4" s="9" customFormat="1" ht="15.75" x14ac:dyDescent="0.2">
      <c r="A547" s="14" t="e">
        <f>IF(RFQ!#REF!="",0,RFQ!#REF!)</f>
        <v>#REF!</v>
      </c>
      <c r="B547" s="14" t="e">
        <f>IF(C547=0,0,"FID "&amp;RFQ!#REF!)</f>
        <v>#REF!</v>
      </c>
      <c r="C547" s="22" t="e">
        <f>RFQ!#REF!</f>
        <v>#REF!</v>
      </c>
    </row>
    <row r="548" spans="1:4" x14ac:dyDescent="0.25">
      <c r="A548" s="157" t="s">
        <v>35</v>
      </c>
      <c r="B548" s="158"/>
      <c r="C548" s="15" t="e">
        <f>RFQ!#REF!</f>
        <v>#REF!</v>
      </c>
    </row>
    <row r="549" spans="1:4" x14ac:dyDescent="0.25">
      <c r="A549" s="159" t="s">
        <v>36</v>
      </c>
      <c r="B549" s="160"/>
      <c r="C549" s="19" t="e">
        <f>RFQ!#REF!</f>
        <v>#REF!</v>
      </c>
    </row>
    <row r="550" spans="1:4" x14ac:dyDescent="0.25">
      <c r="A550" s="159" t="s">
        <v>37</v>
      </c>
      <c r="B550" s="160"/>
      <c r="C550" s="19" t="e">
        <f>RFQ!#REF!</f>
        <v>#REF!</v>
      </c>
    </row>
    <row r="551" spans="1:4" x14ac:dyDescent="0.25">
      <c r="A551" s="159" t="s">
        <v>38</v>
      </c>
      <c r="B551" s="160"/>
      <c r="C551" s="19" t="e">
        <f>RFQ!#REF!</f>
        <v>#REF!</v>
      </c>
      <c r="D551" s="11"/>
    </row>
    <row r="552" spans="1:4" x14ac:dyDescent="0.25">
      <c r="A552" s="155" t="s">
        <v>39</v>
      </c>
      <c r="B552" s="156"/>
      <c r="C552" s="16"/>
      <c r="D552" s="11"/>
    </row>
    <row r="553" spans="1:4" ht="15.75" x14ac:dyDescent="0.3">
      <c r="A553" s="153" t="s">
        <v>40</v>
      </c>
      <c r="B553" s="154"/>
      <c r="C553" s="36"/>
      <c r="D553" s="12"/>
    </row>
    <row r="554" spans="1:4" ht="15.75" x14ac:dyDescent="0.3">
      <c r="A554" s="151" t="s">
        <v>41</v>
      </c>
      <c r="B554" s="152"/>
      <c r="C554" s="38"/>
      <c r="D554" s="12"/>
    </row>
    <row r="555" spans="1:4" x14ac:dyDescent="0.25">
      <c r="A555" s="153" t="s">
        <v>42</v>
      </c>
      <c r="B555" s="154"/>
      <c r="C555" s="36"/>
    </row>
    <row r="556" spans="1:4" x14ac:dyDescent="0.25">
      <c r="A556" s="151" t="s">
        <v>43</v>
      </c>
      <c r="B556" s="152"/>
      <c r="C556" s="38"/>
    </row>
    <row r="557" spans="1:4" x14ac:dyDescent="0.25">
      <c r="A557" s="153" t="s">
        <v>44</v>
      </c>
      <c r="B557" s="154"/>
      <c r="C557" s="36"/>
    </row>
    <row r="558" spans="1:4" x14ac:dyDescent="0.25">
      <c r="A558" s="151" t="s">
        <v>45</v>
      </c>
      <c r="B558" s="152"/>
      <c r="C558" s="38"/>
    </row>
    <row r="559" spans="1:4" x14ac:dyDescent="0.25">
      <c r="A559" s="149" t="s">
        <v>46</v>
      </c>
      <c r="B559" s="150"/>
      <c r="C559" s="39"/>
    </row>
    <row r="560" spans="1:4" x14ac:dyDescent="0.25">
      <c r="A560" s="151" t="s">
        <v>47</v>
      </c>
      <c r="B560" s="152"/>
      <c r="C560" s="38"/>
    </row>
    <row r="561" spans="1:4" s="9" customFormat="1" ht="15.75" x14ac:dyDescent="0.2">
      <c r="A561" s="14" t="e">
        <f>IF(RFQ!#REF!="",0,RFQ!#REF!)</f>
        <v>#REF!</v>
      </c>
      <c r="B561" s="14" t="e">
        <f>IF(C561=0,0,"FID "&amp;RFQ!#REF!)</f>
        <v>#REF!</v>
      </c>
      <c r="C561" s="22" t="e">
        <f>RFQ!#REF!</f>
        <v>#REF!</v>
      </c>
    </row>
    <row r="562" spans="1:4" x14ac:dyDescent="0.25">
      <c r="A562" s="157" t="s">
        <v>35</v>
      </c>
      <c r="B562" s="158"/>
      <c r="C562" s="15" t="e">
        <f>RFQ!#REF!</f>
        <v>#REF!</v>
      </c>
    </row>
    <row r="563" spans="1:4" x14ac:dyDescent="0.25">
      <c r="A563" s="159" t="s">
        <v>36</v>
      </c>
      <c r="B563" s="160"/>
      <c r="C563" s="19" t="e">
        <f>RFQ!#REF!</f>
        <v>#REF!</v>
      </c>
    </row>
    <row r="564" spans="1:4" x14ac:dyDescent="0.25">
      <c r="A564" s="159" t="s">
        <v>37</v>
      </c>
      <c r="B564" s="160"/>
      <c r="C564" s="19" t="e">
        <f>RFQ!#REF!</f>
        <v>#REF!</v>
      </c>
    </row>
    <row r="565" spans="1:4" x14ac:dyDescent="0.25">
      <c r="A565" s="159" t="s">
        <v>38</v>
      </c>
      <c r="B565" s="160"/>
      <c r="C565" s="19" t="e">
        <f>RFQ!#REF!</f>
        <v>#REF!</v>
      </c>
      <c r="D565" s="11"/>
    </row>
    <row r="566" spans="1:4" x14ac:dyDescent="0.25">
      <c r="A566" s="155" t="s">
        <v>39</v>
      </c>
      <c r="B566" s="156"/>
      <c r="C566" s="16"/>
      <c r="D566" s="11"/>
    </row>
    <row r="567" spans="1:4" ht="15.75" x14ac:dyDescent="0.3">
      <c r="A567" s="153" t="s">
        <v>40</v>
      </c>
      <c r="B567" s="154"/>
      <c r="C567" s="36"/>
      <c r="D567" s="12"/>
    </row>
    <row r="568" spans="1:4" ht="15.75" x14ac:dyDescent="0.3">
      <c r="A568" s="151" t="s">
        <v>41</v>
      </c>
      <c r="B568" s="152"/>
      <c r="C568" s="38"/>
      <c r="D568" s="12"/>
    </row>
    <row r="569" spans="1:4" x14ac:dyDescent="0.25">
      <c r="A569" s="153" t="s">
        <v>42</v>
      </c>
      <c r="B569" s="154"/>
      <c r="C569" s="36"/>
    </row>
    <row r="570" spans="1:4" x14ac:dyDescent="0.25">
      <c r="A570" s="151" t="s">
        <v>43</v>
      </c>
      <c r="B570" s="152"/>
      <c r="C570" s="38"/>
    </row>
    <row r="571" spans="1:4" x14ac:dyDescent="0.25">
      <c r="A571" s="153" t="s">
        <v>44</v>
      </c>
      <c r="B571" s="154"/>
      <c r="C571" s="36"/>
    </row>
    <row r="572" spans="1:4" x14ac:dyDescent="0.25">
      <c r="A572" s="151" t="s">
        <v>45</v>
      </c>
      <c r="B572" s="152"/>
      <c r="C572" s="38"/>
    </row>
    <row r="573" spans="1:4" x14ac:dyDescent="0.25">
      <c r="A573" s="149" t="s">
        <v>46</v>
      </c>
      <c r="B573" s="150"/>
      <c r="C573" s="39"/>
    </row>
    <row r="574" spans="1:4" ht="16.5" customHeight="1" x14ac:dyDescent="0.25">
      <c r="A574" s="151" t="s">
        <v>47</v>
      </c>
      <c r="B574" s="152"/>
      <c r="C574" s="38"/>
    </row>
    <row r="575" spans="1:4" s="9" customFormat="1" ht="15.75" x14ac:dyDescent="0.2">
      <c r="A575" s="14" t="e">
        <f>IF(RFQ!#REF!="",0,RFQ!#REF!)</f>
        <v>#REF!</v>
      </c>
      <c r="B575" s="14" t="e">
        <f>IF(C575=0,0,"FID "&amp;RFQ!#REF!)</f>
        <v>#REF!</v>
      </c>
      <c r="C575" s="22" t="e">
        <f>RFQ!#REF!</f>
        <v>#REF!</v>
      </c>
    </row>
    <row r="576" spans="1:4" x14ac:dyDescent="0.25">
      <c r="A576" s="157" t="s">
        <v>35</v>
      </c>
      <c r="B576" s="158"/>
      <c r="C576" s="15" t="e">
        <f>RFQ!#REF!</f>
        <v>#REF!</v>
      </c>
    </row>
    <row r="577" spans="1:4" x14ac:dyDescent="0.25">
      <c r="A577" s="159" t="s">
        <v>36</v>
      </c>
      <c r="B577" s="160"/>
      <c r="C577" s="19" t="e">
        <f>RFQ!#REF!</f>
        <v>#REF!</v>
      </c>
    </row>
    <row r="578" spans="1:4" x14ac:dyDescent="0.25">
      <c r="A578" s="159" t="s">
        <v>37</v>
      </c>
      <c r="B578" s="160"/>
      <c r="C578" s="19" t="e">
        <f>RFQ!#REF!</f>
        <v>#REF!</v>
      </c>
    </row>
    <row r="579" spans="1:4" x14ac:dyDescent="0.25">
      <c r="A579" s="159" t="s">
        <v>38</v>
      </c>
      <c r="B579" s="160"/>
      <c r="C579" s="19" t="e">
        <f>RFQ!#REF!</f>
        <v>#REF!</v>
      </c>
      <c r="D579" s="11"/>
    </row>
    <row r="580" spans="1:4" x14ac:dyDescent="0.25">
      <c r="A580" s="155" t="s">
        <v>39</v>
      </c>
      <c r="B580" s="156"/>
      <c r="C580" s="16"/>
      <c r="D580" s="11"/>
    </row>
    <row r="581" spans="1:4" ht="15.75" x14ac:dyDescent="0.3">
      <c r="A581" s="153" t="s">
        <v>40</v>
      </c>
      <c r="B581" s="154"/>
      <c r="C581" s="36"/>
      <c r="D581" s="12"/>
    </row>
    <row r="582" spans="1:4" ht="15.75" x14ac:dyDescent="0.3">
      <c r="A582" s="151" t="s">
        <v>41</v>
      </c>
      <c r="B582" s="152"/>
      <c r="C582" s="38"/>
      <c r="D582" s="12"/>
    </row>
    <row r="583" spans="1:4" x14ac:dyDescent="0.25">
      <c r="A583" s="153" t="s">
        <v>42</v>
      </c>
      <c r="B583" s="154"/>
      <c r="C583" s="36"/>
    </row>
    <row r="584" spans="1:4" x14ac:dyDescent="0.25">
      <c r="A584" s="151" t="s">
        <v>43</v>
      </c>
      <c r="B584" s="152"/>
      <c r="C584" s="38"/>
    </row>
    <row r="585" spans="1:4" x14ac:dyDescent="0.25">
      <c r="A585" s="153" t="s">
        <v>44</v>
      </c>
      <c r="B585" s="154"/>
      <c r="C585" s="36"/>
    </row>
    <row r="586" spans="1:4" x14ac:dyDescent="0.25">
      <c r="A586" s="151" t="s">
        <v>45</v>
      </c>
      <c r="B586" s="152"/>
      <c r="C586" s="38"/>
    </row>
    <row r="587" spans="1:4" x14ac:dyDescent="0.25">
      <c r="A587" s="149" t="s">
        <v>46</v>
      </c>
      <c r="B587" s="150"/>
      <c r="C587" s="39"/>
    </row>
    <row r="588" spans="1:4" x14ac:dyDescent="0.25">
      <c r="A588" s="151" t="s">
        <v>47</v>
      </c>
      <c r="B588" s="152"/>
      <c r="C588" s="38"/>
    </row>
    <row r="589" spans="1:4" s="9" customFormat="1" ht="15.75" x14ac:dyDescent="0.2">
      <c r="A589" s="14" t="e">
        <f>IF(RFQ!#REF!="",0,RFQ!#REF!)</f>
        <v>#REF!</v>
      </c>
      <c r="B589" s="14" t="e">
        <f>IF(C589=0,0,"FID "&amp;RFQ!#REF!)</f>
        <v>#REF!</v>
      </c>
      <c r="C589" s="22" t="e">
        <f>RFQ!#REF!</f>
        <v>#REF!</v>
      </c>
    </row>
    <row r="590" spans="1:4" x14ac:dyDescent="0.25">
      <c r="A590" s="157" t="s">
        <v>35</v>
      </c>
      <c r="B590" s="158"/>
      <c r="C590" s="15" t="e">
        <f>RFQ!#REF!</f>
        <v>#REF!</v>
      </c>
    </row>
    <row r="591" spans="1:4" x14ac:dyDescent="0.25">
      <c r="A591" s="159" t="s">
        <v>36</v>
      </c>
      <c r="B591" s="160"/>
      <c r="C591" s="19" t="e">
        <f>RFQ!#REF!</f>
        <v>#REF!</v>
      </c>
    </row>
    <row r="592" spans="1:4" x14ac:dyDescent="0.25">
      <c r="A592" s="159" t="s">
        <v>37</v>
      </c>
      <c r="B592" s="160"/>
      <c r="C592" s="19" t="e">
        <f>RFQ!#REF!</f>
        <v>#REF!</v>
      </c>
    </row>
    <row r="593" spans="1:4" x14ac:dyDescent="0.25">
      <c r="A593" s="159" t="s">
        <v>38</v>
      </c>
      <c r="B593" s="160"/>
      <c r="C593" s="19" t="e">
        <f>RFQ!#REF!</f>
        <v>#REF!</v>
      </c>
      <c r="D593" s="11"/>
    </row>
    <row r="594" spans="1:4" x14ac:dyDescent="0.25">
      <c r="A594" s="155" t="s">
        <v>39</v>
      </c>
      <c r="B594" s="156"/>
      <c r="C594" s="16"/>
      <c r="D594" s="11"/>
    </row>
    <row r="595" spans="1:4" ht="15.75" x14ac:dyDescent="0.3">
      <c r="A595" s="153" t="s">
        <v>40</v>
      </c>
      <c r="B595" s="154"/>
      <c r="C595" s="36"/>
      <c r="D595" s="12"/>
    </row>
    <row r="596" spans="1:4" ht="15.75" x14ac:dyDescent="0.3">
      <c r="A596" s="151" t="s">
        <v>41</v>
      </c>
      <c r="B596" s="152"/>
      <c r="C596" s="38"/>
      <c r="D596" s="12"/>
    </row>
    <row r="597" spans="1:4" x14ac:dyDescent="0.25">
      <c r="A597" s="153" t="s">
        <v>42</v>
      </c>
      <c r="B597" s="154"/>
      <c r="C597" s="36"/>
    </row>
    <row r="598" spans="1:4" x14ac:dyDescent="0.25">
      <c r="A598" s="151" t="s">
        <v>43</v>
      </c>
      <c r="B598" s="152"/>
      <c r="C598" s="38"/>
    </row>
    <row r="599" spans="1:4" x14ac:dyDescent="0.25">
      <c r="A599" s="153" t="s">
        <v>44</v>
      </c>
      <c r="B599" s="154"/>
      <c r="C599" s="36"/>
    </row>
    <row r="600" spans="1:4" x14ac:dyDescent="0.25">
      <c r="A600" s="151" t="s">
        <v>45</v>
      </c>
      <c r="B600" s="152"/>
      <c r="C600" s="38"/>
    </row>
    <row r="601" spans="1:4" x14ac:dyDescent="0.25">
      <c r="A601" s="149" t="s">
        <v>46</v>
      </c>
      <c r="B601" s="150"/>
      <c r="C601" s="39"/>
    </row>
    <row r="602" spans="1:4" x14ac:dyDescent="0.25">
      <c r="A602" s="151" t="s">
        <v>47</v>
      </c>
      <c r="B602" s="152"/>
      <c r="C602" s="38"/>
    </row>
    <row r="603" spans="1:4" s="9" customFormat="1" ht="15.75" x14ac:dyDescent="0.2">
      <c r="A603" s="14" t="e">
        <f>IF(RFQ!#REF!="",0,RFQ!#REF!)</f>
        <v>#REF!</v>
      </c>
      <c r="B603" s="14" t="e">
        <f>IF(C603=0,0,"FID "&amp;RFQ!#REF!)</f>
        <v>#REF!</v>
      </c>
      <c r="C603" s="22" t="e">
        <f>RFQ!#REF!</f>
        <v>#REF!</v>
      </c>
    </row>
    <row r="604" spans="1:4" x14ac:dyDescent="0.25">
      <c r="A604" s="157" t="s">
        <v>35</v>
      </c>
      <c r="B604" s="158"/>
      <c r="C604" s="15" t="e">
        <f>RFQ!#REF!</f>
        <v>#REF!</v>
      </c>
    </row>
    <row r="605" spans="1:4" x14ac:dyDescent="0.25">
      <c r="A605" s="159" t="s">
        <v>36</v>
      </c>
      <c r="B605" s="160"/>
      <c r="C605" s="19" t="e">
        <f>RFQ!#REF!</f>
        <v>#REF!</v>
      </c>
    </row>
    <row r="606" spans="1:4" x14ac:dyDescent="0.25">
      <c r="A606" s="159" t="s">
        <v>37</v>
      </c>
      <c r="B606" s="160"/>
      <c r="C606" s="19" t="e">
        <f>RFQ!#REF!</f>
        <v>#REF!</v>
      </c>
    </row>
    <row r="607" spans="1:4" x14ac:dyDescent="0.25">
      <c r="A607" s="159" t="s">
        <v>38</v>
      </c>
      <c r="B607" s="160"/>
      <c r="C607" s="19" t="e">
        <f>RFQ!#REF!</f>
        <v>#REF!</v>
      </c>
      <c r="D607" s="11"/>
    </row>
    <row r="608" spans="1:4" x14ac:dyDescent="0.25">
      <c r="A608" s="155" t="s">
        <v>39</v>
      </c>
      <c r="B608" s="156"/>
      <c r="C608" s="16"/>
      <c r="D608" s="11"/>
    </row>
    <row r="609" spans="1:4" ht="15.75" x14ac:dyDescent="0.3">
      <c r="A609" s="153" t="s">
        <v>40</v>
      </c>
      <c r="B609" s="154"/>
      <c r="C609" s="36"/>
      <c r="D609" s="12"/>
    </row>
    <row r="610" spans="1:4" ht="15.75" x14ac:dyDescent="0.3">
      <c r="A610" s="151" t="s">
        <v>41</v>
      </c>
      <c r="B610" s="152"/>
      <c r="C610" s="38"/>
      <c r="D610" s="12"/>
    </row>
    <row r="611" spans="1:4" x14ac:dyDescent="0.25">
      <c r="A611" s="153" t="s">
        <v>42</v>
      </c>
      <c r="B611" s="154"/>
      <c r="C611" s="36"/>
    </row>
    <row r="612" spans="1:4" x14ac:dyDescent="0.25">
      <c r="A612" s="151" t="s">
        <v>43</v>
      </c>
      <c r="B612" s="152"/>
      <c r="C612" s="38"/>
    </row>
    <row r="613" spans="1:4" x14ac:dyDescent="0.25">
      <c r="A613" s="153" t="s">
        <v>44</v>
      </c>
      <c r="B613" s="154"/>
      <c r="C613" s="36"/>
    </row>
    <row r="614" spans="1:4" x14ac:dyDescent="0.25">
      <c r="A614" s="151" t="s">
        <v>45</v>
      </c>
      <c r="B614" s="152"/>
      <c r="C614" s="38"/>
    </row>
    <row r="615" spans="1:4" x14ac:dyDescent="0.25">
      <c r="A615" s="149" t="s">
        <v>46</v>
      </c>
      <c r="B615" s="150"/>
      <c r="C615" s="39"/>
    </row>
    <row r="616" spans="1:4" x14ac:dyDescent="0.25">
      <c r="A616" s="151" t="s">
        <v>47</v>
      </c>
      <c r="B616" s="152"/>
      <c r="C616" s="38"/>
    </row>
    <row r="617" spans="1:4" s="9" customFormat="1" ht="15.75" x14ac:dyDescent="0.2">
      <c r="A617" s="14" t="e">
        <f>IF(RFQ!#REF!="",0,RFQ!#REF!)</f>
        <v>#REF!</v>
      </c>
      <c r="B617" s="14" t="e">
        <f>IF(C617=0,0,"FID "&amp;RFQ!#REF!)</f>
        <v>#REF!</v>
      </c>
      <c r="C617" s="22" t="e">
        <f>RFQ!#REF!</f>
        <v>#REF!</v>
      </c>
    </row>
    <row r="618" spans="1:4" x14ac:dyDescent="0.25">
      <c r="A618" s="157" t="s">
        <v>35</v>
      </c>
      <c r="B618" s="158"/>
      <c r="C618" s="15" t="e">
        <f>RFQ!#REF!</f>
        <v>#REF!</v>
      </c>
    </row>
    <row r="619" spans="1:4" x14ac:dyDescent="0.25">
      <c r="A619" s="159" t="s">
        <v>36</v>
      </c>
      <c r="B619" s="160"/>
      <c r="C619" s="19" t="e">
        <f>RFQ!#REF!</f>
        <v>#REF!</v>
      </c>
    </row>
    <row r="620" spans="1:4" x14ac:dyDescent="0.25">
      <c r="A620" s="159" t="s">
        <v>37</v>
      </c>
      <c r="B620" s="160"/>
      <c r="C620" s="19" t="e">
        <f>RFQ!#REF!</f>
        <v>#REF!</v>
      </c>
    </row>
    <row r="621" spans="1:4" x14ac:dyDescent="0.25">
      <c r="A621" s="159" t="s">
        <v>38</v>
      </c>
      <c r="B621" s="160"/>
      <c r="C621" s="19" t="e">
        <f>RFQ!#REF!</f>
        <v>#REF!</v>
      </c>
      <c r="D621" s="11"/>
    </row>
    <row r="622" spans="1:4" x14ac:dyDescent="0.25">
      <c r="A622" s="155" t="s">
        <v>39</v>
      </c>
      <c r="B622" s="156"/>
      <c r="C622" s="16"/>
      <c r="D622" s="11"/>
    </row>
    <row r="623" spans="1:4" ht="15.75" x14ac:dyDescent="0.3">
      <c r="A623" s="153" t="s">
        <v>40</v>
      </c>
      <c r="B623" s="154"/>
      <c r="C623" s="36"/>
      <c r="D623" s="12"/>
    </row>
    <row r="624" spans="1:4" ht="15.75" x14ac:dyDescent="0.3">
      <c r="A624" s="151" t="s">
        <v>41</v>
      </c>
      <c r="B624" s="152"/>
      <c r="C624" s="38"/>
      <c r="D624" s="12"/>
    </row>
    <row r="625" spans="1:4" x14ac:dyDescent="0.25">
      <c r="A625" s="153" t="s">
        <v>42</v>
      </c>
      <c r="B625" s="154"/>
      <c r="C625" s="36"/>
    </row>
    <row r="626" spans="1:4" x14ac:dyDescent="0.25">
      <c r="A626" s="151" t="s">
        <v>43</v>
      </c>
      <c r="B626" s="152"/>
      <c r="C626" s="38"/>
    </row>
    <row r="627" spans="1:4" x14ac:dyDescent="0.25">
      <c r="A627" s="153" t="s">
        <v>44</v>
      </c>
      <c r="B627" s="154"/>
      <c r="C627" s="36"/>
    </row>
    <row r="628" spans="1:4" x14ac:dyDescent="0.25">
      <c r="A628" s="151" t="s">
        <v>45</v>
      </c>
      <c r="B628" s="152"/>
      <c r="C628" s="38"/>
    </row>
    <row r="629" spans="1:4" x14ac:dyDescent="0.25">
      <c r="A629" s="149" t="s">
        <v>46</v>
      </c>
      <c r="B629" s="150"/>
      <c r="C629" s="39"/>
    </row>
    <row r="630" spans="1:4" x14ac:dyDescent="0.25">
      <c r="A630" s="151" t="s">
        <v>47</v>
      </c>
      <c r="B630" s="152"/>
      <c r="C630" s="38"/>
    </row>
    <row r="631" spans="1:4" s="9" customFormat="1" ht="15.75" x14ac:dyDescent="0.2">
      <c r="A631" s="14" t="e">
        <f>IF(RFQ!#REF!="",0,RFQ!#REF!)</f>
        <v>#REF!</v>
      </c>
      <c r="B631" s="14" t="e">
        <f>IF(C631=0,0,"FID "&amp;RFQ!#REF!)</f>
        <v>#REF!</v>
      </c>
      <c r="C631" s="22" t="e">
        <f>RFQ!#REF!</f>
        <v>#REF!</v>
      </c>
    </row>
    <row r="632" spans="1:4" x14ac:dyDescent="0.25">
      <c r="A632" s="157" t="s">
        <v>35</v>
      </c>
      <c r="B632" s="158"/>
      <c r="C632" s="15" t="e">
        <f>RFQ!#REF!</f>
        <v>#REF!</v>
      </c>
    </row>
    <row r="633" spans="1:4" x14ac:dyDescent="0.25">
      <c r="A633" s="159" t="s">
        <v>36</v>
      </c>
      <c r="B633" s="160"/>
      <c r="C633" s="19" t="e">
        <f>RFQ!#REF!</f>
        <v>#REF!</v>
      </c>
    </row>
    <row r="634" spans="1:4" x14ac:dyDescent="0.25">
      <c r="A634" s="159" t="s">
        <v>37</v>
      </c>
      <c r="B634" s="160"/>
      <c r="C634" s="19" t="e">
        <f>RFQ!#REF!</f>
        <v>#REF!</v>
      </c>
    </row>
    <row r="635" spans="1:4" x14ac:dyDescent="0.25">
      <c r="A635" s="159" t="s">
        <v>38</v>
      </c>
      <c r="B635" s="160"/>
      <c r="C635" s="19" t="e">
        <f>RFQ!#REF!</f>
        <v>#REF!</v>
      </c>
      <c r="D635" s="11"/>
    </row>
    <row r="636" spans="1:4" x14ac:dyDescent="0.25">
      <c r="A636" s="155" t="s">
        <v>39</v>
      </c>
      <c r="B636" s="156"/>
      <c r="C636" s="16"/>
      <c r="D636" s="11"/>
    </row>
    <row r="637" spans="1:4" ht="15.75" x14ac:dyDescent="0.3">
      <c r="A637" s="153" t="s">
        <v>40</v>
      </c>
      <c r="B637" s="154"/>
      <c r="C637" s="36"/>
      <c r="D637" s="12"/>
    </row>
    <row r="638" spans="1:4" ht="15.75" x14ac:dyDescent="0.3">
      <c r="A638" s="151" t="s">
        <v>41</v>
      </c>
      <c r="B638" s="152"/>
      <c r="C638" s="38"/>
      <c r="D638" s="12"/>
    </row>
    <row r="639" spans="1:4" x14ac:dyDescent="0.25">
      <c r="A639" s="153" t="s">
        <v>42</v>
      </c>
      <c r="B639" s="154"/>
      <c r="C639" s="36"/>
    </row>
    <row r="640" spans="1:4" x14ac:dyDescent="0.25">
      <c r="A640" s="151" t="s">
        <v>43</v>
      </c>
      <c r="B640" s="152"/>
      <c r="C640" s="38"/>
    </row>
    <row r="641" spans="1:4" x14ac:dyDescent="0.25">
      <c r="A641" s="153" t="s">
        <v>44</v>
      </c>
      <c r="B641" s="154"/>
      <c r="C641" s="36"/>
    </row>
    <row r="642" spans="1:4" x14ac:dyDescent="0.25">
      <c r="A642" s="151" t="s">
        <v>45</v>
      </c>
      <c r="B642" s="152"/>
      <c r="C642" s="38"/>
    </row>
    <row r="643" spans="1:4" x14ac:dyDescent="0.25">
      <c r="A643" s="149" t="s">
        <v>46</v>
      </c>
      <c r="B643" s="150"/>
      <c r="C643" s="39"/>
    </row>
    <row r="644" spans="1:4" x14ac:dyDescent="0.25">
      <c r="A644" s="151" t="s">
        <v>47</v>
      </c>
      <c r="B644" s="152"/>
      <c r="C644" s="38"/>
    </row>
    <row r="645" spans="1:4" s="9" customFormat="1" ht="15.75" x14ac:dyDescent="0.2">
      <c r="A645" s="14" t="e">
        <f>IF(RFQ!#REF!="",0,RFQ!#REF!)</f>
        <v>#REF!</v>
      </c>
      <c r="B645" s="14" t="e">
        <f>IF(C645=0,0,"FID "&amp;RFQ!#REF!)</f>
        <v>#REF!</v>
      </c>
      <c r="C645" s="22" t="e">
        <f>RFQ!#REF!</f>
        <v>#REF!</v>
      </c>
    </row>
    <row r="646" spans="1:4" x14ac:dyDescent="0.25">
      <c r="A646" s="157" t="s">
        <v>35</v>
      </c>
      <c r="B646" s="158"/>
      <c r="C646" s="15" t="e">
        <f>RFQ!#REF!</f>
        <v>#REF!</v>
      </c>
    </row>
    <row r="647" spans="1:4" x14ac:dyDescent="0.25">
      <c r="A647" s="159" t="s">
        <v>36</v>
      </c>
      <c r="B647" s="160"/>
      <c r="C647" s="19" t="e">
        <f>RFQ!#REF!</f>
        <v>#REF!</v>
      </c>
    </row>
    <row r="648" spans="1:4" x14ac:dyDescent="0.25">
      <c r="A648" s="159" t="s">
        <v>37</v>
      </c>
      <c r="B648" s="160"/>
      <c r="C648" s="19" t="e">
        <f>RFQ!#REF!</f>
        <v>#REF!</v>
      </c>
    </row>
    <row r="649" spans="1:4" x14ac:dyDescent="0.25">
      <c r="A649" s="159" t="s">
        <v>38</v>
      </c>
      <c r="B649" s="160"/>
      <c r="C649" s="19" t="e">
        <f>RFQ!#REF!</f>
        <v>#REF!</v>
      </c>
      <c r="D649" s="11"/>
    </row>
    <row r="650" spans="1:4" x14ac:dyDescent="0.25">
      <c r="A650" s="155" t="s">
        <v>39</v>
      </c>
      <c r="B650" s="156"/>
      <c r="C650" s="16"/>
      <c r="D650" s="11"/>
    </row>
    <row r="651" spans="1:4" ht="15.75" x14ac:dyDescent="0.3">
      <c r="A651" s="153" t="s">
        <v>40</v>
      </c>
      <c r="B651" s="154"/>
      <c r="C651" s="36"/>
      <c r="D651" s="12"/>
    </row>
    <row r="652" spans="1:4" ht="15.75" x14ac:dyDescent="0.3">
      <c r="A652" s="151" t="s">
        <v>41</v>
      </c>
      <c r="B652" s="152"/>
      <c r="C652" s="38"/>
      <c r="D652" s="12"/>
    </row>
    <row r="653" spans="1:4" x14ac:dyDescent="0.25">
      <c r="A653" s="153" t="s">
        <v>42</v>
      </c>
      <c r="B653" s="154"/>
      <c r="C653" s="36"/>
    </row>
    <row r="654" spans="1:4" x14ac:dyDescent="0.25">
      <c r="A654" s="151" t="s">
        <v>43</v>
      </c>
      <c r="B654" s="152"/>
      <c r="C654" s="38"/>
    </row>
    <row r="655" spans="1:4" x14ac:dyDescent="0.25">
      <c r="A655" s="153" t="s">
        <v>44</v>
      </c>
      <c r="B655" s="154"/>
      <c r="C655" s="36"/>
    </row>
    <row r="656" spans="1:4" x14ac:dyDescent="0.25">
      <c r="A656" s="151" t="s">
        <v>45</v>
      </c>
      <c r="B656" s="152"/>
      <c r="C656" s="38"/>
    </row>
    <row r="657" spans="1:4" x14ac:dyDescent="0.25">
      <c r="A657" s="149" t="s">
        <v>46</v>
      </c>
      <c r="B657" s="150"/>
      <c r="C657" s="39"/>
    </row>
    <row r="658" spans="1:4" x14ac:dyDescent="0.25">
      <c r="A658" s="151" t="s">
        <v>47</v>
      </c>
      <c r="B658" s="152"/>
      <c r="C658" s="38"/>
    </row>
    <row r="659" spans="1:4" s="9" customFormat="1" ht="15.75" x14ac:dyDescent="0.2">
      <c r="A659" s="14" t="e">
        <f>IF(RFQ!#REF!="",0,RFQ!#REF!)</f>
        <v>#REF!</v>
      </c>
      <c r="B659" s="14" t="e">
        <f>IF(C659=0,0,"FID "&amp;RFQ!#REF!)</f>
        <v>#REF!</v>
      </c>
      <c r="C659" s="22" t="e">
        <f>RFQ!#REF!</f>
        <v>#REF!</v>
      </c>
    </row>
    <row r="660" spans="1:4" x14ac:dyDescent="0.25">
      <c r="A660" s="157" t="s">
        <v>35</v>
      </c>
      <c r="B660" s="158"/>
      <c r="C660" s="15" t="e">
        <f>RFQ!#REF!</f>
        <v>#REF!</v>
      </c>
    </row>
    <row r="661" spans="1:4" x14ac:dyDescent="0.25">
      <c r="A661" s="159" t="s">
        <v>36</v>
      </c>
      <c r="B661" s="160"/>
      <c r="C661" s="19" t="e">
        <f>RFQ!#REF!</f>
        <v>#REF!</v>
      </c>
    </row>
    <row r="662" spans="1:4" x14ac:dyDescent="0.25">
      <c r="A662" s="159" t="s">
        <v>37</v>
      </c>
      <c r="B662" s="160"/>
      <c r="C662" s="19" t="e">
        <f>RFQ!#REF!</f>
        <v>#REF!</v>
      </c>
    </row>
    <row r="663" spans="1:4" x14ac:dyDescent="0.25">
      <c r="A663" s="159" t="s">
        <v>38</v>
      </c>
      <c r="B663" s="160"/>
      <c r="C663" s="19" t="e">
        <f>RFQ!#REF!</f>
        <v>#REF!</v>
      </c>
      <c r="D663" s="11"/>
    </row>
    <row r="664" spans="1:4" x14ac:dyDescent="0.25">
      <c r="A664" s="155" t="s">
        <v>39</v>
      </c>
      <c r="B664" s="156"/>
      <c r="C664" s="16"/>
      <c r="D664" s="11"/>
    </row>
    <row r="665" spans="1:4" ht="15.75" x14ac:dyDescent="0.3">
      <c r="A665" s="153" t="s">
        <v>40</v>
      </c>
      <c r="B665" s="154"/>
      <c r="C665" s="36"/>
      <c r="D665" s="12"/>
    </row>
    <row r="666" spans="1:4" ht="15.75" x14ac:dyDescent="0.3">
      <c r="A666" s="151" t="s">
        <v>41</v>
      </c>
      <c r="B666" s="152"/>
      <c r="C666" s="38"/>
      <c r="D666" s="12"/>
    </row>
    <row r="667" spans="1:4" x14ac:dyDescent="0.25">
      <c r="A667" s="153" t="s">
        <v>42</v>
      </c>
      <c r="B667" s="154"/>
      <c r="C667" s="36"/>
    </row>
    <row r="668" spans="1:4" x14ac:dyDescent="0.25">
      <c r="A668" s="151" t="s">
        <v>43</v>
      </c>
      <c r="B668" s="152"/>
      <c r="C668" s="38"/>
    </row>
    <row r="669" spans="1:4" x14ac:dyDescent="0.25">
      <c r="A669" s="153" t="s">
        <v>44</v>
      </c>
      <c r="B669" s="154"/>
      <c r="C669" s="36"/>
    </row>
    <row r="670" spans="1:4" x14ac:dyDescent="0.25">
      <c r="A670" s="151" t="s">
        <v>45</v>
      </c>
      <c r="B670" s="152"/>
      <c r="C670" s="38"/>
    </row>
    <row r="671" spans="1:4" x14ac:dyDescent="0.25">
      <c r="A671" s="149" t="s">
        <v>46</v>
      </c>
      <c r="B671" s="150"/>
      <c r="C671" s="39"/>
    </row>
    <row r="672" spans="1:4" x14ac:dyDescent="0.25">
      <c r="A672" s="151" t="s">
        <v>47</v>
      </c>
      <c r="B672" s="152"/>
      <c r="C672" s="38"/>
    </row>
    <row r="673" spans="1:4" s="9" customFormat="1" ht="15.75" x14ac:dyDescent="0.2">
      <c r="A673" s="14" t="e">
        <f>IF(RFQ!#REF!="",0,RFQ!#REF!)</f>
        <v>#REF!</v>
      </c>
      <c r="B673" s="14" t="e">
        <f>IF(C673=0,0,"FID "&amp;RFQ!#REF!)</f>
        <v>#REF!</v>
      </c>
      <c r="C673" s="22" t="e">
        <f>RFQ!#REF!</f>
        <v>#REF!</v>
      </c>
    </row>
    <row r="674" spans="1:4" x14ac:dyDescent="0.25">
      <c r="A674" s="157" t="s">
        <v>35</v>
      </c>
      <c r="B674" s="158"/>
      <c r="C674" s="15" t="e">
        <f>RFQ!#REF!</f>
        <v>#REF!</v>
      </c>
    </row>
    <row r="675" spans="1:4" x14ac:dyDescent="0.25">
      <c r="A675" s="159" t="s">
        <v>36</v>
      </c>
      <c r="B675" s="160"/>
      <c r="C675" s="19" t="e">
        <f>RFQ!#REF!</f>
        <v>#REF!</v>
      </c>
    </row>
    <row r="676" spans="1:4" x14ac:dyDescent="0.25">
      <c r="A676" s="159" t="s">
        <v>37</v>
      </c>
      <c r="B676" s="160"/>
      <c r="C676" s="19" t="e">
        <f>RFQ!#REF!</f>
        <v>#REF!</v>
      </c>
    </row>
    <row r="677" spans="1:4" x14ac:dyDescent="0.25">
      <c r="A677" s="159" t="s">
        <v>38</v>
      </c>
      <c r="B677" s="160"/>
      <c r="C677" s="19" t="e">
        <f>RFQ!#REF!</f>
        <v>#REF!</v>
      </c>
      <c r="D677" s="11"/>
    </row>
    <row r="678" spans="1:4" x14ac:dyDescent="0.25">
      <c r="A678" s="155" t="s">
        <v>39</v>
      </c>
      <c r="B678" s="156"/>
      <c r="C678" s="16"/>
      <c r="D678" s="11"/>
    </row>
    <row r="679" spans="1:4" ht="15.75" x14ac:dyDescent="0.3">
      <c r="A679" s="153" t="s">
        <v>40</v>
      </c>
      <c r="B679" s="154"/>
      <c r="C679" s="36"/>
      <c r="D679" s="12"/>
    </row>
    <row r="680" spans="1:4" ht="15.75" x14ac:dyDescent="0.3">
      <c r="A680" s="151" t="s">
        <v>41</v>
      </c>
      <c r="B680" s="152"/>
      <c r="C680" s="38"/>
      <c r="D680" s="12"/>
    </row>
    <row r="681" spans="1:4" x14ac:dyDescent="0.25">
      <c r="A681" s="153" t="s">
        <v>42</v>
      </c>
      <c r="B681" s="154"/>
      <c r="C681" s="36"/>
    </row>
    <row r="682" spans="1:4" x14ac:dyDescent="0.25">
      <c r="A682" s="151" t="s">
        <v>43</v>
      </c>
      <c r="B682" s="152"/>
      <c r="C682" s="38"/>
    </row>
    <row r="683" spans="1:4" x14ac:dyDescent="0.25">
      <c r="A683" s="153" t="s">
        <v>44</v>
      </c>
      <c r="B683" s="154"/>
      <c r="C683" s="36"/>
    </row>
    <row r="684" spans="1:4" x14ac:dyDescent="0.25">
      <c r="A684" s="151" t="s">
        <v>45</v>
      </c>
      <c r="B684" s="152"/>
      <c r="C684" s="38"/>
    </row>
    <row r="685" spans="1:4" x14ac:dyDescent="0.25">
      <c r="A685" s="149" t="s">
        <v>46</v>
      </c>
      <c r="B685" s="150"/>
      <c r="C685" s="39"/>
    </row>
    <row r="686" spans="1:4" x14ac:dyDescent="0.25">
      <c r="A686" s="151" t="s">
        <v>47</v>
      </c>
      <c r="B686" s="152"/>
      <c r="C686" s="38"/>
    </row>
    <row r="687" spans="1:4" s="9" customFormat="1" ht="15.75" x14ac:dyDescent="0.2">
      <c r="A687" s="14" t="e">
        <f>IF(RFQ!#REF!="",0,RFQ!#REF!)</f>
        <v>#REF!</v>
      </c>
      <c r="B687" s="14" t="e">
        <f>IF(C687=0,0,"FID "&amp;RFQ!#REF!)</f>
        <v>#REF!</v>
      </c>
      <c r="C687" s="22" t="e">
        <f>RFQ!#REF!</f>
        <v>#REF!</v>
      </c>
    </row>
    <row r="688" spans="1:4" x14ac:dyDescent="0.25">
      <c r="A688" s="157" t="s">
        <v>35</v>
      </c>
      <c r="B688" s="158"/>
      <c r="C688" s="15" t="e">
        <f>RFQ!#REF!</f>
        <v>#REF!</v>
      </c>
    </row>
    <row r="689" spans="1:4" x14ac:dyDescent="0.25">
      <c r="A689" s="159" t="s">
        <v>36</v>
      </c>
      <c r="B689" s="160"/>
      <c r="C689" s="19" t="e">
        <f>RFQ!#REF!</f>
        <v>#REF!</v>
      </c>
    </row>
    <row r="690" spans="1:4" x14ac:dyDescent="0.25">
      <c r="A690" s="159" t="s">
        <v>37</v>
      </c>
      <c r="B690" s="160"/>
      <c r="C690" s="19" t="e">
        <f>RFQ!#REF!</f>
        <v>#REF!</v>
      </c>
    </row>
    <row r="691" spans="1:4" x14ac:dyDescent="0.25">
      <c r="A691" s="159" t="s">
        <v>38</v>
      </c>
      <c r="B691" s="160"/>
      <c r="C691" s="19" t="e">
        <f>RFQ!#REF!</f>
        <v>#REF!</v>
      </c>
      <c r="D691" s="11"/>
    </row>
    <row r="692" spans="1:4" x14ac:dyDescent="0.25">
      <c r="A692" s="155" t="s">
        <v>39</v>
      </c>
      <c r="B692" s="156"/>
      <c r="C692" s="16"/>
      <c r="D692" s="11"/>
    </row>
    <row r="693" spans="1:4" ht="15.75" x14ac:dyDescent="0.3">
      <c r="A693" s="153" t="s">
        <v>40</v>
      </c>
      <c r="B693" s="154"/>
      <c r="C693" s="36"/>
      <c r="D693" s="12"/>
    </row>
    <row r="694" spans="1:4" ht="15.75" x14ac:dyDescent="0.3">
      <c r="A694" s="151" t="s">
        <v>41</v>
      </c>
      <c r="B694" s="152"/>
      <c r="C694" s="38"/>
      <c r="D694" s="12"/>
    </row>
    <row r="695" spans="1:4" x14ac:dyDescent="0.25">
      <c r="A695" s="153" t="s">
        <v>42</v>
      </c>
      <c r="B695" s="154"/>
      <c r="C695" s="36"/>
    </row>
    <row r="696" spans="1:4" x14ac:dyDescent="0.25">
      <c r="A696" s="151" t="s">
        <v>43</v>
      </c>
      <c r="B696" s="152"/>
      <c r="C696" s="38"/>
    </row>
    <row r="697" spans="1:4" x14ac:dyDescent="0.25">
      <c r="A697" s="153" t="s">
        <v>44</v>
      </c>
      <c r="B697" s="154"/>
      <c r="C697" s="36"/>
    </row>
    <row r="698" spans="1:4" x14ac:dyDescent="0.25">
      <c r="A698" s="151" t="s">
        <v>45</v>
      </c>
      <c r="B698" s="152"/>
      <c r="C698" s="38"/>
    </row>
    <row r="699" spans="1:4" x14ac:dyDescent="0.25">
      <c r="A699" s="149" t="s">
        <v>46</v>
      </c>
      <c r="B699" s="150"/>
      <c r="C699" s="39"/>
    </row>
    <row r="700" spans="1:4" x14ac:dyDescent="0.25">
      <c r="A700" s="151" t="s">
        <v>47</v>
      </c>
      <c r="B700" s="152"/>
      <c r="C700" s="38"/>
    </row>
    <row r="701" spans="1:4" s="9" customFormat="1" ht="15.75" x14ac:dyDescent="0.2">
      <c r="A701" s="14" t="e">
        <f>IF(RFQ!#REF!="",0,RFQ!#REF!)</f>
        <v>#REF!</v>
      </c>
      <c r="B701" s="14" t="e">
        <f>IF(C701=0,0,"FID "&amp;RFQ!#REF!)</f>
        <v>#REF!</v>
      </c>
      <c r="C701" s="22" t="e">
        <f>RFQ!#REF!</f>
        <v>#REF!</v>
      </c>
    </row>
    <row r="702" spans="1:4" x14ac:dyDescent="0.25">
      <c r="A702" s="157" t="s">
        <v>35</v>
      </c>
      <c r="B702" s="158"/>
      <c r="C702" s="15" t="e">
        <f>RFQ!#REF!</f>
        <v>#REF!</v>
      </c>
    </row>
    <row r="703" spans="1:4" x14ac:dyDescent="0.25">
      <c r="A703" s="159" t="s">
        <v>36</v>
      </c>
      <c r="B703" s="160"/>
      <c r="C703" s="19" t="e">
        <f>RFQ!#REF!</f>
        <v>#REF!</v>
      </c>
    </row>
    <row r="704" spans="1:4" x14ac:dyDescent="0.25">
      <c r="A704" s="159" t="s">
        <v>37</v>
      </c>
      <c r="B704" s="160"/>
      <c r="C704" s="19" t="e">
        <f>RFQ!#REF!</f>
        <v>#REF!</v>
      </c>
    </row>
    <row r="705" spans="1:4" x14ac:dyDescent="0.25">
      <c r="A705" s="159" t="s">
        <v>38</v>
      </c>
      <c r="B705" s="160"/>
      <c r="C705" s="19" t="e">
        <f>RFQ!#REF!</f>
        <v>#REF!</v>
      </c>
      <c r="D705" s="11"/>
    </row>
    <row r="706" spans="1:4" x14ac:dyDescent="0.25">
      <c r="A706" s="155" t="s">
        <v>39</v>
      </c>
      <c r="B706" s="156"/>
      <c r="C706" s="16"/>
      <c r="D706" s="11"/>
    </row>
    <row r="707" spans="1:4" ht="15.75" x14ac:dyDescent="0.3">
      <c r="A707" s="153" t="s">
        <v>40</v>
      </c>
      <c r="B707" s="154"/>
      <c r="C707" s="36"/>
      <c r="D707" s="12"/>
    </row>
    <row r="708" spans="1:4" ht="15.75" x14ac:dyDescent="0.3">
      <c r="A708" s="151" t="s">
        <v>41</v>
      </c>
      <c r="B708" s="152"/>
      <c r="C708" s="38"/>
      <c r="D708" s="12"/>
    </row>
    <row r="709" spans="1:4" x14ac:dyDescent="0.25">
      <c r="A709" s="153" t="s">
        <v>42</v>
      </c>
      <c r="B709" s="154"/>
      <c r="C709" s="36"/>
    </row>
    <row r="710" spans="1:4" x14ac:dyDescent="0.25">
      <c r="A710" s="151" t="s">
        <v>43</v>
      </c>
      <c r="B710" s="152"/>
      <c r="C710" s="38"/>
    </row>
    <row r="711" spans="1:4" x14ac:dyDescent="0.25">
      <c r="A711" s="153" t="s">
        <v>44</v>
      </c>
      <c r="B711" s="154"/>
      <c r="C711" s="36"/>
    </row>
    <row r="712" spans="1:4" x14ac:dyDescent="0.25">
      <c r="A712" s="151" t="s">
        <v>45</v>
      </c>
      <c r="B712" s="152"/>
      <c r="C712" s="38"/>
    </row>
    <row r="713" spans="1:4" x14ac:dyDescent="0.25">
      <c r="A713" s="149" t="s">
        <v>46</v>
      </c>
      <c r="B713" s="150"/>
      <c r="C713" s="39"/>
    </row>
    <row r="714" spans="1:4" x14ac:dyDescent="0.25">
      <c r="A714" s="151" t="s">
        <v>47</v>
      </c>
      <c r="B714" s="152"/>
      <c r="C714" s="38"/>
    </row>
    <row r="715" spans="1:4" s="9" customFormat="1" ht="15.75" x14ac:dyDescent="0.2">
      <c r="A715" s="14" t="e">
        <f>IF(RFQ!#REF!="",0,RFQ!#REF!)</f>
        <v>#REF!</v>
      </c>
      <c r="B715" s="14" t="e">
        <f>IF(C715=0,0,"FID "&amp;RFQ!#REF!)</f>
        <v>#REF!</v>
      </c>
      <c r="C715" s="22" t="e">
        <f>RFQ!#REF!</f>
        <v>#REF!</v>
      </c>
    </row>
    <row r="716" spans="1:4" x14ac:dyDescent="0.25">
      <c r="A716" s="157" t="s">
        <v>35</v>
      </c>
      <c r="B716" s="158"/>
      <c r="C716" s="15" t="e">
        <f>RFQ!#REF!</f>
        <v>#REF!</v>
      </c>
    </row>
    <row r="717" spans="1:4" x14ac:dyDescent="0.25">
      <c r="A717" s="159" t="s">
        <v>36</v>
      </c>
      <c r="B717" s="160"/>
      <c r="C717" s="19" t="e">
        <f>RFQ!#REF!</f>
        <v>#REF!</v>
      </c>
    </row>
    <row r="718" spans="1:4" x14ac:dyDescent="0.25">
      <c r="A718" s="159" t="s">
        <v>37</v>
      </c>
      <c r="B718" s="160"/>
      <c r="C718" s="19" t="e">
        <f>RFQ!#REF!</f>
        <v>#REF!</v>
      </c>
    </row>
    <row r="719" spans="1:4" x14ac:dyDescent="0.25">
      <c r="A719" s="159" t="s">
        <v>38</v>
      </c>
      <c r="B719" s="160"/>
      <c r="C719" s="19" t="e">
        <f>RFQ!#REF!</f>
        <v>#REF!</v>
      </c>
      <c r="D719" s="11"/>
    </row>
    <row r="720" spans="1:4" x14ac:dyDescent="0.25">
      <c r="A720" s="155" t="s">
        <v>39</v>
      </c>
      <c r="B720" s="156"/>
      <c r="C720" s="16"/>
      <c r="D720" s="11"/>
    </row>
    <row r="721" spans="1:4" ht="15.75" x14ac:dyDescent="0.3">
      <c r="A721" s="153" t="s">
        <v>40</v>
      </c>
      <c r="B721" s="154"/>
      <c r="C721" s="36"/>
      <c r="D721" s="12"/>
    </row>
    <row r="722" spans="1:4" ht="15.75" x14ac:dyDescent="0.3">
      <c r="A722" s="151" t="s">
        <v>41</v>
      </c>
      <c r="B722" s="152"/>
      <c r="C722" s="38"/>
      <c r="D722" s="12"/>
    </row>
    <row r="723" spans="1:4" x14ac:dyDescent="0.25">
      <c r="A723" s="153" t="s">
        <v>42</v>
      </c>
      <c r="B723" s="154"/>
      <c r="C723" s="36"/>
    </row>
    <row r="724" spans="1:4" x14ac:dyDescent="0.25">
      <c r="A724" s="151" t="s">
        <v>43</v>
      </c>
      <c r="B724" s="152"/>
      <c r="C724" s="38"/>
    </row>
    <row r="725" spans="1:4" x14ac:dyDescent="0.25">
      <c r="A725" s="153" t="s">
        <v>44</v>
      </c>
      <c r="B725" s="154"/>
      <c r="C725" s="36"/>
    </row>
    <row r="726" spans="1:4" x14ac:dyDescent="0.25">
      <c r="A726" s="151" t="s">
        <v>45</v>
      </c>
      <c r="B726" s="152"/>
      <c r="C726" s="38"/>
    </row>
    <row r="727" spans="1:4" x14ac:dyDescent="0.25">
      <c r="A727" s="149" t="s">
        <v>46</v>
      </c>
      <c r="B727" s="150"/>
      <c r="C727" s="39"/>
    </row>
    <row r="728" spans="1:4" x14ac:dyDescent="0.25">
      <c r="A728" s="151" t="s">
        <v>47</v>
      </c>
      <c r="B728" s="152"/>
      <c r="C728" s="38"/>
    </row>
    <row r="729" spans="1:4" s="9" customFormat="1" ht="15.75" x14ac:dyDescent="0.2">
      <c r="A729" s="14" t="e">
        <f>IF(RFQ!#REF!="",0,RFQ!#REF!)</f>
        <v>#REF!</v>
      </c>
      <c r="B729" s="14" t="e">
        <f>IF(C729=0,0,"FID "&amp;RFQ!#REF!)</f>
        <v>#REF!</v>
      </c>
      <c r="C729" s="22" t="e">
        <f>RFQ!#REF!</f>
        <v>#REF!</v>
      </c>
    </row>
    <row r="730" spans="1:4" x14ac:dyDescent="0.25">
      <c r="A730" s="157" t="s">
        <v>35</v>
      </c>
      <c r="B730" s="158"/>
      <c r="C730" s="15" t="e">
        <f>RFQ!#REF!</f>
        <v>#REF!</v>
      </c>
    </row>
    <row r="731" spans="1:4" x14ac:dyDescent="0.25">
      <c r="A731" s="159" t="s">
        <v>36</v>
      </c>
      <c r="B731" s="160"/>
      <c r="C731" s="19" t="e">
        <f>RFQ!#REF!</f>
        <v>#REF!</v>
      </c>
    </row>
    <row r="732" spans="1:4" x14ac:dyDescent="0.25">
      <c r="A732" s="159" t="s">
        <v>37</v>
      </c>
      <c r="B732" s="160"/>
      <c r="C732" s="19" t="e">
        <f>RFQ!#REF!</f>
        <v>#REF!</v>
      </c>
    </row>
    <row r="733" spans="1:4" x14ac:dyDescent="0.25">
      <c r="A733" s="159" t="s">
        <v>38</v>
      </c>
      <c r="B733" s="160"/>
      <c r="C733" s="19" t="e">
        <f>RFQ!#REF!</f>
        <v>#REF!</v>
      </c>
      <c r="D733" s="11"/>
    </row>
    <row r="734" spans="1:4" x14ac:dyDescent="0.25">
      <c r="A734" s="155" t="s">
        <v>39</v>
      </c>
      <c r="B734" s="156"/>
      <c r="C734" s="16"/>
      <c r="D734" s="11"/>
    </row>
    <row r="735" spans="1:4" ht="15.75" x14ac:dyDescent="0.3">
      <c r="A735" s="153" t="s">
        <v>40</v>
      </c>
      <c r="B735" s="154"/>
      <c r="C735" s="36"/>
      <c r="D735" s="12"/>
    </row>
    <row r="736" spans="1:4" ht="15.75" x14ac:dyDescent="0.3">
      <c r="A736" s="151" t="s">
        <v>41</v>
      </c>
      <c r="B736" s="152"/>
      <c r="C736" s="38"/>
      <c r="D736" s="12"/>
    </row>
    <row r="737" spans="1:4" x14ac:dyDescent="0.25">
      <c r="A737" s="153" t="s">
        <v>42</v>
      </c>
      <c r="B737" s="154"/>
      <c r="C737" s="36"/>
    </row>
    <row r="738" spans="1:4" x14ac:dyDescent="0.25">
      <c r="A738" s="151" t="s">
        <v>43</v>
      </c>
      <c r="B738" s="152"/>
      <c r="C738" s="38"/>
    </row>
    <row r="739" spans="1:4" x14ac:dyDescent="0.25">
      <c r="A739" s="153" t="s">
        <v>44</v>
      </c>
      <c r="B739" s="154"/>
      <c r="C739" s="36"/>
    </row>
    <row r="740" spans="1:4" x14ac:dyDescent="0.25">
      <c r="A740" s="151" t="s">
        <v>45</v>
      </c>
      <c r="B740" s="152"/>
      <c r="C740" s="38"/>
    </row>
    <row r="741" spans="1:4" x14ac:dyDescent="0.25">
      <c r="A741" s="149" t="s">
        <v>46</v>
      </c>
      <c r="B741" s="150"/>
      <c r="C741" s="39"/>
    </row>
    <row r="742" spans="1:4" x14ac:dyDescent="0.25">
      <c r="A742" s="151" t="s">
        <v>47</v>
      </c>
      <c r="B742" s="152"/>
      <c r="C742" s="38"/>
    </row>
    <row r="743" spans="1:4" s="9" customFormat="1" ht="15.75" x14ac:dyDescent="0.2">
      <c r="A743" s="14" t="e">
        <f>IF(RFQ!#REF!="",0,RFQ!#REF!)</f>
        <v>#REF!</v>
      </c>
      <c r="B743" s="14" t="e">
        <f>IF(C743=0,0,"FID "&amp;RFQ!#REF!)</f>
        <v>#REF!</v>
      </c>
      <c r="C743" s="22" t="e">
        <f>RFQ!#REF!</f>
        <v>#REF!</v>
      </c>
    </row>
    <row r="744" spans="1:4" x14ac:dyDescent="0.25">
      <c r="A744" s="157" t="s">
        <v>35</v>
      </c>
      <c r="B744" s="158"/>
      <c r="C744" s="15" t="e">
        <f>RFQ!#REF!</f>
        <v>#REF!</v>
      </c>
    </row>
    <row r="745" spans="1:4" x14ac:dyDescent="0.25">
      <c r="A745" s="159" t="s">
        <v>36</v>
      </c>
      <c r="B745" s="160"/>
      <c r="C745" s="19" t="e">
        <f>RFQ!#REF!</f>
        <v>#REF!</v>
      </c>
    </row>
    <row r="746" spans="1:4" x14ac:dyDescent="0.25">
      <c r="A746" s="159" t="s">
        <v>37</v>
      </c>
      <c r="B746" s="160"/>
      <c r="C746" s="19" t="e">
        <f>RFQ!#REF!</f>
        <v>#REF!</v>
      </c>
    </row>
    <row r="747" spans="1:4" x14ac:dyDescent="0.25">
      <c r="A747" s="159" t="s">
        <v>38</v>
      </c>
      <c r="B747" s="160"/>
      <c r="C747" s="19" t="e">
        <f>RFQ!#REF!</f>
        <v>#REF!</v>
      </c>
      <c r="D747" s="11"/>
    </row>
    <row r="748" spans="1:4" x14ac:dyDescent="0.25">
      <c r="A748" s="155" t="s">
        <v>39</v>
      </c>
      <c r="B748" s="156"/>
      <c r="C748" s="16"/>
      <c r="D748" s="11"/>
    </row>
    <row r="749" spans="1:4" ht="15.75" x14ac:dyDescent="0.3">
      <c r="A749" s="153" t="s">
        <v>40</v>
      </c>
      <c r="B749" s="154"/>
      <c r="C749" s="36"/>
      <c r="D749" s="12"/>
    </row>
    <row r="750" spans="1:4" ht="15.75" x14ac:dyDescent="0.3">
      <c r="A750" s="151" t="s">
        <v>41</v>
      </c>
      <c r="B750" s="152"/>
      <c r="C750" s="38"/>
      <c r="D750" s="12"/>
    </row>
    <row r="751" spans="1:4" x14ac:dyDescent="0.25">
      <c r="A751" s="153" t="s">
        <v>42</v>
      </c>
      <c r="B751" s="154"/>
      <c r="C751" s="36"/>
    </row>
    <row r="752" spans="1:4" x14ac:dyDescent="0.25">
      <c r="A752" s="151" t="s">
        <v>43</v>
      </c>
      <c r="B752" s="152"/>
      <c r="C752" s="38"/>
    </row>
    <row r="753" spans="1:4" x14ac:dyDescent="0.25">
      <c r="A753" s="153" t="s">
        <v>44</v>
      </c>
      <c r="B753" s="154"/>
      <c r="C753" s="36"/>
    </row>
    <row r="754" spans="1:4" x14ac:dyDescent="0.25">
      <c r="A754" s="151" t="s">
        <v>45</v>
      </c>
      <c r="B754" s="152"/>
      <c r="C754" s="38"/>
    </row>
    <row r="755" spans="1:4" x14ac:dyDescent="0.25">
      <c r="A755" s="149" t="s">
        <v>46</v>
      </c>
      <c r="B755" s="150"/>
      <c r="C755" s="39"/>
    </row>
    <row r="756" spans="1:4" x14ac:dyDescent="0.25">
      <c r="A756" s="151" t="s">
        <v>47</v>
      </c>
      <c r="B756" s="152"/>
      <c r="C756" s="38"/>
    </row>
    <row r="757" spans="1:4" s="9" customFormat="1" ht="15.75" x14ac:dyDescent="0.2">
      <c r="A757" s="14" t="e">
        <f>IF(RFQ!#REF!="",0,RFQ!#REF!)</f>
        <v>#REF!</v>
      </c>
      <c r="B757" s="14" t="e">
        <f>IF(C757=0,0,"FID "&amp;RFQ!#REF!)</f>
        <v>#REF!</v>
      </c>
      <c r="C757" s="22" t="e">
        <f>RFQ!#REF!</f>
        <v>#REF!</v>
      </c>
    </row>
    <row r="758" spans="1:4" x14ac:dyDescent="0.25">
      <c r="A758" s="157" t="s">
        <v>35</v>
      </c>
      <c r="B758" s="158"/>
      <c r="C758" s="15" t="e">
        <f>RFQ!#REF!</f>
        <v>#REF!</v>
      </c>
    </row>
    <row r="759" spans="1:4" x14ac:dyDescent="0.25">
      <c r="A759" s="159" t="s">
        <v>36</v>
      </c>
      <c r="B759" s="160"/>
      <c r="C759" s="19" t="e">
        <f>RFQ!#REF!</f>
        <v>#REF!</v>
      </c>
    </row>
    <row r="760" spans="1:4" x14ac:dyDescent="0.25">
      <c r="A760" s="159" t="s">
        <v>37</v>
      </c>
      <c r="B760" s="160"/>
      <c r="C760" s="19" t="e">
        <f>RFQ!#REF!</f>
        <v>#REF!</v>
      </c>
    </row>
    <row r="761" spans="1:4" x14ac:dyDescent="0.25">
      <c r="A761" s="159" t="s">
        <v>38</v>
      </c>
      <c r="B761" s="160"/>
      <c r="C761" s="19" t="e">
        <f>RFQ!#REF!</f>
        <v>#REF!</v>
      </c>
      <c r="D761" s="11"/>
    </row>
    <row r="762" spans="1:4" x14ac:dyDescent="0.25">
      <c r="A762" s="155" t="s">
        <v>39</v>
      </c>
      <c r="B762" s="156"/>
      <c r="C762" s="16"/>
      <c r="D762" s="11"/>
    </row>
    <row r="763" spans="1:4" ht="15.75" x14ac:dyDescent="0.3">
      <c r="A763" s="153" t="s">
        <v>40</v>
      </c>
      <c r="B763" s="154"/>
      <c r="C763" s="36"/>
      <c r="D763" s="12"/>
    </row>
    <row r="764" spans="1:4" ht="15.75" x14ac:dyDescent="0.3">
      <c r="A764" s="151" t="s">
        <v>41</v>
      </c>
      <c r="B764" s="152"/>
      <c r="C764" s="38"/>
      <c r="D764" s="12"/>
    </row>
    <row r="765" spans="1:4" x14ac:dyDescent="0.25">
      <c r="A765" s="153" t="s">
        <v>42</v>
      </c>
      <c r="B765" s="154"/>
      <c r="C765" s="36"/>
    </row>
    <row r="766" spans="1:4" x14ac:dyDescent="0.25">
      <c r="A766" s="151" t="s">
        <v>43</v>
      </c>
      <c r="B766" s="152"/>
      <c r="C766" s="38"/>
    </row>
    <row r="767" spans="1:4" x14ac:dyDescent="0.25">
      <c r="A767" s="153" t="s">
        <v>44</v>
      </c>
      <c r="B767" s="154"/>
      <c r="C767" s="36"/>
    </row>
    <row r="768" spans="1:4" x14ac:dyDescent="0.25">
      <c r="A768" s="151" t="s">
        <v>45</v>
      </c>
      <c r="B768" s="152"/>
      <c r="C768" s="38"/>
    </row>
    <row r="769" spans="1:4" x14ac:dyDescent="0.25">
      <c r="A769" s="149" t="s">
        <v>46</v>
      </c>
      <c r="B769" s="150"/>
      <c r="C769" s="39"/>
    </row>
    <row r="770" spans="1:4" x14ac:dyDescent="0.25">
      <c r="A770" s="151" t="s">
        <v>47</v>
      </c>
      <c r="B770" s="152"/>
      <c r="C770" s="38"/>
    </row>
    <row r="771" spans="1:4" s="9" customFormat="1" ht="15.75" x14ac:dyDescent="0.2">
      <c r="A771" s="14" t="e">
        <f>IF(RFQ!#REF!="",0,RFQ!#REF!)</f>
        <v>#REF!</v>
      </c>
      <c r="B771" s="14" t="e">
        <f>IF(C771=0,0,"FID "&amp;RFQ!#REF!)</f>
        <v>#REF!</v>
      </c>
      <c r="C771" s="22" t="e">
        <f>RFQ!#REF!</f>
        <v>#REF!</v>
      </c>
    </row>
    <row r="772" spans="1:4" x14ac:dyDescent="0.25">
      <c r="A772" s="157" t="s">
        <v>35</v>
      </c>
      <c r="B772" s="158"/>
      <c r="C772" s="15" t="e">
        <f>RFQ!#REF!</f>
        <v>#REF!</v>
      </c>
    </row>
    <row r="773" spans="1:4" x14ac:dyDescent="0.25">
      <c r="A773" s="159" t="s">
        <v>36</v>
      </c>
      <c r="B773" s="160"/>
      <c r="C773" s="19" t="e">
        <f>RFQ!#REF!</f>
        <v>#REF!</v>
      </c>
    </row>
    <row r="774" spans="1:4" x14ac:dyDescent="0.25">
      <c r="A774" s="159" t="s">
        <v>37</v>
      </c>
      <c r="B774" s="160"/>
      <c r="C774" s="19" t="e">
        <f>RFQ!#REF!</f>
        <v>#REF!</v>
      </c>
    </row>
    <row r="775" spans="1:4" x14ac:dyDescent="0.25">
      <c r="A775" s="159" t="s">
        <v>38</v>
      </c>
      <c r="B775" s="160"/>
      <c r="C775" s="19" t="e">
        <f>RFQ!#REF!</f>
        <v>#REF!</v>
      </c>
      <c r="D775" s="11"/>
    </row>
    <row r="776" spans="1:4" x14ac:dyDescent="0.25">
      <c r="A776" s="155" t="s">
        <v>39</v>
      </c>
      <c r="B776" s="156"/>
      <c r="C776" s="16"/>
      <c r="D776" s="11"/>
    </row>
    <row r="777" spans="1:4" ht="15.75" x14ac:dyDescent="0.3">
      <c r="A777" s="153" t="s">
        <v>40</v>
      </c>
      <c r="B777" s="154"/>
      <c r="C777" s="36"/>
      <c r="D777" s="12"/>
    </row>
    <row r="778" spans="1:4" ht="15.75" x14ac:dyDescent="0.3">
      <c r="A778" s="151" t="s">
        <v>41</v>
      </c>
      <c r="B778" s="152"/>
      <c r="C778" s="38"/>
      <c r="D778" s="12"/>
    </row>
    <row r="779" spans="1:4" x14ac:dyDescent="0.25">
      <c r="A779" s="153" t="s">
        <v>42</v>
      </c>
      <c r="B779" s="154"/>
      <c r="C779" s="36"/>
    </row>
    <row r="780" spans="1:4" x14ac:dyDescent="0.25">
      <c r="A780" s="151" t="s">
        <v>43</v>
      </c>
      <c r="B780" s="152"/>
      <c r="C780" s="38"/>
    </row>
    <row r="781" spans="1:4" x14ac:dyDescent="0.25">
      <c r="A781" s="153" t="s">
        <v>44</v>
      </c>
      <c r="B781" s="154"/>
      <c r="C781" s="36"/>
    </row>
    <row r="782" spans="1:4" x14ac:dyDescent="0.25">
      <c r="A782" s="151" t="s">
        <v>45</v>
      </c>
      <c r="B782" s="152"/>
      <c r="C782" s="38"/>
    </row>
    <row r="783" spans="1:4" x14ac:dyDescent="0.25">
      <c r="A783" s="149" t="s">
        <v>46</v>
      </c>
      <c r="B783" s="150"/>
      <c r="C783" s="39"/>
    </row>
    <row r="784" spans="1:4" x14ac:dyDescent="0.25">
      <c r="A784" s="151" t="s">
        <v>47</v>
      </c>
      <c r="B784" s="152"/>
      <c r="C784" s="38"/>
    </row>
    <row r="785" spans="1:4" s="9" customFormat="1" ht="15.75" x14ac:dyDescent="0.2">
      <c r="A785" s="14" t="e">
        <f>IF(RFQ!#REF!="",0,RFQ!#REF!)</f>
        <v>#REF!</v>
      </c>
      <c r="B785" s="14" t="e">
        <f>IF(C785=0,0,"FID "&amp;RFQ!#REF!)</f>
        <v>#REF!</v>
      </c>
      <c r="C785" s="22" t="e">
        <f>RFQ!#REF!</f>
        <v>#REF!</v>
      </c>
    </row>
    <row r="786" spans="1:4" x14ac:dyDescent="0.25">
      <c r="A786" s="157" t="s">
        <v>35</v>
      </c>
      <c r="B786" s="158"/>
      <c r="C786" s="15" t="e">
        <f>RFQ!#REF!</f>
        <v>#REF!</v>
      </c>
    </row>
    <row r="787" spans="1:4" x14ac:dyDescent="0.25">
      <c r="A787" s="159" t="s">
        <v>36</v>
      </c>
      <c r="B787" s="160"/>
      <c r="C787" s="19" t="e">
        <f>RFQ!#REF!</f>
        <v>#REF!</v>
      </c>
    </row>
    <row r="788" spans="1:4" x14ac:dyDescent="0.25">
      <c r="A788" s="159" t="s">
        <v>37</v>
      </c>
      <c r="B788" s="160"/>
      <c r="C788" s="19" t="e">
        <f>RFQ!#REF!</f>
        <v>#REF!</v>
      </c>
    </row>
    <row r="789" spans="1:4" x14ac:dyDescent="0.25">
      <c r="A789" s="159" t="s">
        <v>38</v>
      </c>
      <c r="B789" s="160"/>
      <c r="C789" s="19" t="e">
        <f>RFQ!#REF!</f>
        <v>#REF!</v>
      </c>
      <c r="D789" s="11"/>
    </row>
    <row r="790" spans="1:4" x14ac:dyDescent="0.25">
      <c r="A790" s="155" t="s">
        <v>39</v>
      </c>
      <c r="B790" s="156"/>
      <c r="C790" s="16"/>
      <c r="D790" s="11"/>
    </row>
    <row r="791" spans="1:4" ht="15.75" x14ac:dyDescent="0.3">
      <c r="A791" s="153" t="s">
        <v>40</v>
      </c>
      <c r="B791" s="154"/>
      <c r="C791" s="36"/>
      <c r="D791" s="12"/>
    </row>
    <row r="792" spans="1:4" ht="15.75" x14ac:dyDescent="0.3">
      <c r="A792" s="151" t="s">
        <v>41</v>
      </c>
      <c r="B792" s="152"/>
      <c r="C792" s="38"/>
      <c r="D792" s="12"/>
    </row>
    <row r="793" spans="1:4" x14ac:dyDescent="0.25">
      <c r="A793" s="153" t="s">
        <v>42</v>
      </c>
      <c r="B793" s="154"/>
      <c r="C793" s="36"/>
    </row>
    <row r="794" spans="1:4" x14ac:dyDescent="0.25">
      <c r="A794" s="151" t="s">
        <v>43</v>
      </c>
      <c r="B794" s="152"/>
      <c r="C794" s="38"/>
    </row>
    <row r="795" spans="1:4" x14ac:dyDescent="0.25">
      <c r="A795" s="153" t="s">
        <v>44</v>
      </c>
      <c r="B795" s="154"/>
      <c r="C795" s="36"/>
    </row>
    <row r="796" spans="1:4" x14ac:dyDescent="0.25">
      <c r="A796" s="151" t="s">
        <v>45</v>
      </c>
      <c r="B796" s="152"/>
      <c r="C796" s="38"/>
    </row>
    <row r="797" spans="1:4" x14ac:dyDescent="0.25">
      <c r="A797" s="149" t="s">
        <v>46</v>
      </c>
      <c r="B797" s="150"/>
      <c r="C797" s="39"/>
    </row>
    <row r="798" spans="1:4" x14ac:dyDescent="0.25">
      <c r="A798" s="151" t="s">
        <v>47</v>
      </c>
      <c r="B798" s="152"/>
      <c r="C798" s="38"/>
    </row>
    <row r="799" spans="1:4" s="9" customFormat="1" ht="15.75" x14ac:dyDescent="0.2">
      <c r="A799" s="14" t="e">
        <f>IF(RFQ!#REF!="",0,RFQ!#REF!)</f>
        <v>#REF!</v>
      </c>
      <c r="B799" s="14" t="e">
        <f>IF(C799=0,0,"FID "&amp;RFQ!#REF!)</f>
        <v>#REF!</v>
      </c>
      <c r="C799" s="22" t="e">
        <f>RFQ!#REF!</f>
        <v>#REF!</v>
      </c>
    </row>
    <row r="800" spans="1:4" x14ac:dyDescent="0.25">
      <c r="A800" s="157" t="s">
        <v>35</v>
      </c>
      <c r="B800" s="158"/>
      <c r="C800" s="15" t="e">
        <f>RFQ!#REF!</f>
        <v>#REF!</v>
      </c>
    </row>
    <row r="801" spans="1:4" x14ac:dyDescent="0.25">
      <c r="A801" s="159" t="s">
        <v>36</v>
      </c>
      <c r="B801" s="160"/>
      <c r="C801" s="19" t="e">
        <f>RFQ!#REF!</f>
        <v>#REF!</v>
      </c>
    </row>
    <row r="802" spans="1:4" x14ac:dyDescent="0.25">
      <c r="A802" s="159" t="s">
        <v>37</v>
      </c>
      <c r="B802" s="160"/>
      <c r="C802" s="19" t="e">
        <f>RFQ!#REF!</f>
        <v>#REF!</v>
      </c>
    </row>
    <row r="803" spans="1:4" x14ac:dyDescent="0.25">
      <c r="A803" s="159" t="s">
        <v>38</v>
      </c>
      <c r="B803" s="160"/>
      <c r="C803" s="19" t="e">
        <f>RFQ!#REF!</f>
        <v>#REF!</v>
      </c>
      <c r="D803" s="11"/>
    </row>
    <row r="804" spans="1:4" x14ac:dyDescent="0.25">
      <c r="A804" s="155" t="s">
        <v>39</v>
      </c>
      <c r="B804" s="156"/>
      <c r="C804" s="16"/>
      <c r="D804" s="11"/>
    </row>
    <row r="805" spans="1:4" ht="15.75" x14ac:dyDescent="0.3">
      <c r="A805" s="153" t="s">
        <v>40</v>
      </c>
      <c r="B805" s="154"/>
      <c r="C805" s="36"/>
      <c r="D805" s="12"/>
    </row>
    <row r="806" spans="1:4" ht="15.75" x14ac:dyDescent="0.3">
      <c r="A806" s="151" t="s">
        <v>41</v>
      </c>
      <c r="B806" s="152"/>
      <c r="C806" s="38"/>
      <c r="D806" s="12"/>
    </row>
    <row r="807" spans="1:4" x14ac:dyDescent="0.25">
      <c r="A807" s="153" t="s">
        <v>42</v>
      </c>
      <c r="B807" s="154"/>
      <c r="C807" s="36"/>
    </row>
    <row r="808" spans="1:4" x14ac:dyDescent="0.25">
      <c r="A808" s="151" t="s">
        <v>43</v>
      </c>
      <c r="B808" s="152"/>
      <c r="C808" s="38"/>
    </row>
    <row r="809" spans="1:4" x14ac:dyDescent="0.25">
      <c r="A809" s="153" t="s">
        <v>44</v>
      </c>
      <c r="B809" s="154"/>
      <c r="C809" s="36"/>
    </row>
    <row r="810" spans="1:4" x14ac:dyDescent="0.25">
      <c r="A810" s="151" t="s">
        <v>45</v>
      </c>
      <c r="B810" s="152"/>
      <c r="C810" s="38"/>
    </row>
    <row r="811" spans="1:4" x14ac:dyDescent="0.25">
      <c r="A811" s="149" t="s">
        <v>46</v>
      </c>
      <c r="B811" s="150"/>
      <c r="C811" s="39"/>
    </row>
    <row r="812" spans="1:4" x14ac:dyDescent="0.25">
      <c r="A812" s="151" t="s">
        <v>47</v>
      </c>
      <c r="B812" s="152"/>
      <c r="C812" s="38"/>
    </row>
    <row r="813" spans="1:4" s="9" customFormat="1" ht="15.75" x14ac:dyDescent="0.2">
      <c r="A813" s="14" t="e">
        <f>IF(RFQ!#REF!="",0,RFQ!#REF!)</f>
        <v>#REF!</v>
      </c>
      <c r="B813" s="14" t="e">
        <f>IF(C813=0,0,"FID "&amp;RFQ!#REF!)</f>
        <v>#REF!</v>
      </c>
      <c r="C813" s="22" t="e">
        <f>RFQ!#REF!</f>
        <v>#REF!</v>
      </c>
    </row>
    <row r="814" spans="1:4" x14ac:dyDescent="0.25">
      <c r="A814" s="157" t="s">
        <v>35</v>
      </c>
      <c r="B814" s="158"/>
      <c r="C814" s="15" t="e">
        <f>RFQ!#REF!</f>
        <v>#REF!</v>
      </c>
    </row>
    <row r="815" spans="1:4" x14ac:dyDescent="0.25">
      <c r="A815" s="159" t="s">
        <v>36</v>
      </c>
      <c r="B815" s="160"/>
      <c r="C815" s="19" t="e">
        <f>RFQ!#REF!</f>
        <v>#REF!</v>
      </c>
    </row>
    <row r="816" spans="1:4" x14ac:dyDescent="0.25">
      <c r="A816" s="159" t="s">
        <v>37</v>
      </c>
      <c r="B816" s="160"/>
      <c r="C816" s="19" t="e">
        <f>RFQ!#REF!</f>
        <v>#REF!</v>
      </c>
    </row>
    <row r="817" spans="1:4" x14ac:dyDescent="0.25">
      <c r="A817" s="159" t="s">
        <v>38</v>
      </c>
      <c r="B817" s="160"/>
      <c r="C817" s="19" t="e">
        <f>RFQ!#REF!</f>
        <v>#REF!</v>
      </c>
      <c r="D817" s="11"/>
    </row>
    <row r="818" spans="1:4" x14ac:dyDescent="0.25">
      <c r="A818" s="155" t="s">
        <v>39</v>
      </c>
      <c r="B818" s="156"/>
      <c r="C818" s="16"/>
      <c r="D818" s="11"/>
    </row>
    <row r="819" spans="1:4" ht="15.75" x14ac:dyDescent="0.3">
      <c r="A819" s="153" t="s">
        <v>40</v>
      </c>
      <c r="B819" s="154"/>
      <c r="C819" s="36"/>
      <c r="D819" s="12"/>
    </row>
    <row r="820" spans="1:4" ht="15.75" x14ac:dyDescent="0.3">
      <c r="A820" s="151" t="s">
        <v>41</v>
      </c>
      <c r="B820" s="152"/>
      <c r="C820" s="38"/>
      <c r="D820" s="12"/>
    </row>
    <row r="821" spans="1:4" x14ac:dyDescent="0.25">
      <c r="A821" s="153" t="s">
        <v>42</v>
      </c>
      <c r="B821" s="154"/>
      <c r="C821" s="36"/>
    </row>
    <row r="822" spans="1:4" x14ac:dyDescent="0.25">
      <c r="A822" s="151" t="s">
        <v>43</v>
      </c>
      <c r="B822" s="152"/>
      <c r="C822" s="38"/>
    </row>
    <row r="823" spans="1:4" x14ac:dyDescent="0.25">
      <c r="A823" s="153" t="s">
        <v>44</v>
      </c>
      <c r="B823" s="154"/>
      <c r="C823" s="36"/>
    </row>
    <row r="824" spans="1:4" x14ac:dyDescent="0.25">
      <c r="A824" s="151" t="s">
        <v>45</v>
      </c>
      <c r="B824" s="152"/>
      <c r="C824" s="38"/>
    </row>
    <row r="825" spans="1:4" x14ac:dyDescent="0.25">
      <c r="A825" s="149" t="s">
        <v>46</v>
      </c>
      <c r="B825" s="150"/>
      <c r="C825" s="39"/>
    </row>
    <row r="826" spans="1:4" x14ac:dyDescent="0.25">
      <c r="A826" s="151" t="s">
        <v>47</v>
      </c>
      <c r="B826" s="152"/>
      <c r="C826" s="38"/>
    </row>
    <row r="827" spans="1:4" s="9" customFormat="1" ht="15.75" x14ac:dyDescent="0.2">
      <c r="A827" s="14" t="e">
        <f>IF(RFQ!#REF!="",0,RFQ!#REF!)</f>
        <v>#REF!</v>
      </c>
      <c r="B827" s="14" t="e">
        <f>IF(C827=0,0,"FID "&amp;RFQ!#REF!)</f>
        <v>#REF!</v>
      </c>
      <c r="C827" s="22" t="e">
        <f>RFQ!#REF!</f>
        <v>#REF!</v>
      </c>
    </row>
    <row r="828" spans="1:4" x14ac:dyDescent="0.25">
      <c r="A828" s="157" t="s">
        <v>35</v>
      </c>
      <c r="B828" s="158"/>
      <c r="C828" s="15" t="e">
        <f>RFQ!#REF!</f>
        <v>#REF!</v>
      </c>
    </row>
    <row r="829" spans="1:4" x14ac:dyDescent="0.25">
      <c r="A829" s="159" t="s">
        <v>36</v>
      </c>
      <c r="B829" s="160"/>
      <c r="C829" s="19" t="e">
        <f>RFQ!#REF!</f>
        <v>#REF!</v>
      </c>
    </row>
    <row r="830" spans="1:4" x14ac:dyDescent="0.25">
      <c r="A830" s="159" t="s">
        <v>37</v>
      </c>
      <c r="B830" s="160"/>
      <c r="C830" s="19" t="e">
        <f>RFQ!#REF!</f>
        <v>#REF!</v>
      </c>
    </row>
    <row r="831" spans="1:4" x14ac:dyDescent="0.25">
      <c r="A831" s="159" t="s">
        <v>38</v>
      </c>
      <c r="B831" s="160"/>
      <c r="C831" s="19" t="e">
        <f>RFQ!#REF!</f>
        <v>#REF!</v>
      </c>
      <c r="D831" s="11"/>
    </row>
    <row r="832" spans="1:4" x14ac:dyDescent="0.25">
      <c r="A832" s="155" t="s">
        <v>39</v>
      </c>
      <c r="B832" s="156"/>
      <c r="C832" s="16"/>
      <c r="D832" s="11"/>
    </row>
    <row r="833" spans="1:4" ht="15.75" x14ac:dyDescent="0.3">
      <c r="A833" s="153" t="s">
        <v>40</v>
      </c>
      <c r="B833" s="154"/>
      <c r="C833" s="36"/>
      <c r="D833" s="12"/>
    </row>
    <row r="834" spans="1:4" ht="15.75" x14ac:dyDescent="0.3">
      <c r="A834" s="151" t="s">
        <v>41</v>
      </c>
      <c r="B834" s="152"/>
      <c r="C834" s="38"/>
      <c r="D834" s="12"/>
    </row>
    <row r="835" spans="1:4" x14ac:dyDescent="0.25">
      <c r="A835" s="153" t="s">
        <v>42</v>
      </c>
      <c r="B835" s="154"/>
      <c r="C835" s="36"/>
    </row>
    <row r="836" spans="1:4" x14ac:dyDescent="0.25">
      <c r="A836" s="151" t="s">
        <v>43</v>
      </c>
      <c r="B836" s="152"/>
      <c r="C836" s="38"/>
    </row>
    <row r="837" spans="1:4" x14ac:dyDescent="0.25">
      <c r="A837" s="153" t="s">
        <v>44</v>
      </c>
      <c r="B837" s="154"/>
      <c r="C837" s="36"/>
    </row>
    <row r="838" spans="1:4" x14ac:dyDescent="0.25">
      <c r="A838" s="151" t="s">
        <v>45</v>
      </c>
      <c r="B838" s="152"/>
      <c r="C838" s="38"/>
    </row>
    <row r="839" spans="1:4" x14ac:dyDescent="0.25">
      <c r="A839" s="149" t="s">
        <v>46</v>
      </c>
      <c r="B839" s="150"/>
      <c r="C839" s="39"/>
    </row>
    <row r="840" spans="1:4" x14ac:dyDescent="0.25">
      <c r="A840" s="151" t="s">
        <v>47</v>
      </c>
      <c r="B840" s="152"/>
      <c r="C840" s="38"/>
    </row>
    <row r="841" spans="1:4" s="9" customFormat="1" ht="15.75" x14ac:dyDescent="0.2">
      <c r="A841" s="14" t="e">
        <f>IF(RFQ!#REF!="",0,RFQ!#REF!)</f>
        <v>#REF!</v>
      </c>
      <c r="B841" s="14" t="e">
        <f>IF(C841=0,0,"FID "&amp;RFQ!#REF!)</f>
        <v>#REF!</v>
      </c>
      <c r="C841" s="22" t="e">
        <f>RFQ!#REF!</f>
        <v>#REF!</v>
      </c>
    </row>
    <row r="842" spans="1:4" x14ac:dyDescent="0.25">
      <c r="A842" s="157" t="s">
        <v>35</v>
      </c>
      <c r="B842" s="158"/>
      <c r="C842" s="15" t="e">
        <f>RFQ!#REF!</f>
        <v>#REF!</v>
      </c>
    </row>
    <row r="843" spans="1:4" x14ac:dyDescent="0.25">
      <c r="A843" s="159" t="s">
        <v>36</v>
      </c>
      <c r="B843" s="160"/>
      <c r="C843" s="19" t="e">
        <f>RFQ!#REF!</f>
        <v>#REF!</v>
      </c>
    </row>
    <row r="844" spans="1:4" x14ac:dyDescent="0.25">
      <c r="A844" s="159" t="s">
        <v>37</v>
      </c>
      <c r="B844" s="160"/>
      <c r="C844" s="19" t="e">
        <f>RFQ!#REF!</f>
        <v>#REF!</v>
      </c>
    </row>
    <row r="845" spans="1:4" x14ac:dyDescent="0.25">
      <c r="A845" s="159" t="s">
        <v>38</v>
      </c>
      <c r="B845" s="160"/>
      <c r="C845" s="19" t="e">
        <f>RFQ!#REF!</f>
        <v>#REF!</v>
      </c>
      <c r="D845" s="11"/>
    </row>
    <row r="846" spans="1:4" x14ac:dyDescent="0.25">
      <c r="A846" s="155" t="s">
        <v>39</v>
      </c>
      <c r="B846" s="156"/>
      <c r="C846" s="16"/>
      <c r="D846" s="11"/>
    </row>
    <row r="847" spans="1:4" ht="15.75" x14ac:dyDescent="0.3">
      <c r="A847" s="153" t="s">
        <v>40</v>
      </c>
      <c r="B847" s="154"/>
      <c r="C847" s="36"/>
      <c r="D847" s="12"/>
    </row>
    <row r="848" spans="1:4" ht="15.75" x14ac:dyDescent="0.3">
      <c r="A848" s="151" t="s">
        <v>41</v>
      </c>
      <c r="B848" s="152"/>
      <c r="C848" s="38"/>
      <c r="D848" s="12"/>
    </row>
    <row r="849" spans="1:4" x14ac:dyDescent="0.25">
      <c r="A849" s="153" t="s">
        <v>42</v>
      </c>
      <c r="B849" s="154"/>
      <c r="C849" s="36"/>
    </row>
    <row r="850" spans="1:4" x14ac:dyDescent="0.25">
      <c r="A850" s="151" t="s">
        <v>43</v>
      </c>
      <c r="B850" s="152"/>
      <c r="C850" s="38"/>
    </row>
    <row r="851" spans="1:4" x14ac:dyDescent="0.25">
      <c r="A851" s="153" t="s">
        <v>44</v>
      </c>
      <c r="B851" s="154"/>
      <c r="C851" s="36"/>
    </row>
    <row r="852" spans="1:4" x14ac:dyDescent="0.25">
      <c r="A852" s="151" t="s">
        <v>45</v>
      </c>
      <c r="B852" s="152"/>
      <c r="C852" s="38"/>
    </row>
    <row r="853" spans="1:4" x14ac:dyDescent="0.25">
      <c r="A853" s="149" t="s">
        <v>46</v>
      </c>
      <c r="B853" s="150"/>
      <c r="C853" s="39"/>
    </row>
    <row r="854" spans="1:4" x14ac:dyDescent="0.25">
      <c r="A854" s="151" t="s">
        <v>47</v>
      </c>
      <c r="B854" s="152"/>
      <c r="C854" s="38"/>
    </row>
    <row r="855" spans="1:4" s="9" customFormat="1" ht="15.75" x14ac:dyDescent="0.2">
      <c r="A855" s="14" t="e">
        <f>IF(RFQ!#REF!="",0,RFQ!#REF!)</f>
        <v>#REF!</v>
      </c>
      <c r="B855" s="14" t="e">
        <f>IF(C855=0,0,"FID "&amp;RFQ!#REF!)</f>
        <v>#REF!</v>
      </c>
      <c r="C855" s="22" t="e">
        <f>RFQ!#REF!</f>
        <v>#REF!</v>
      </c>
    </row>
    <row r="856" spans="1:4" x14ac:dyDescent="0.25">
      <c r="A856" s="157" t="s">
        <v>35</v>
      </c>
      <c r="B856" s="158"/>
      <c r="C856" s="15" t="e">
        <f>RFQ!#REF!</f>
        <v>#REF!</v>
      </c>
    </row>
    <row r="857" spans="1:4" x14ac:dyDescent="0.25">
      <c r="A857" s="159" t="s">
        <v>36</v>
      </c>
      <c r="B857" s="160"/>
      <c r="C857" s="19" t="e">
        <f>RFQ!#REF!</f>
        <v>#REF!</v>
      </c>
    </row>
    <row r="858" spans="1:4" x14ac:dyDescent="0.25">
      <c r="A858" s="159" t="s">
        <v>37</v>
      </c>
      <c r="B858" s="160"/>
      <c r="C858" s="19" t="e">
        <f>RFQ!#REF!</f>
        <v>#REF!</v>
      </c>
    </row>
    <row r="859" spans="1:4" x14ac:dyDescent="0.25">
      <c r="A859" s="159" t="s">
        <v>38</v>
      </c>
      <c r="B859" s="160"/>
      <c r="C859" s="19" t="e">
        <f>RFQ!#REF!</f>
        <v>#REF!</v>
      </c>
      <c r="D859" s="11"/>
    </row>
    <row r="860" spans="1:4" x14ac:dyDescent="0.25">
      <c r="A860" s="155" t="s">
        <v>39</v>
      </c>
      <c r="B860" s="156"/>
      <c r="C860" s="16"/>
      <c r="D860" s="11"/>
    </row>
    <row r="861" spans="1:4" ht="15.75" x14ac:dyDescent="0.3">
      <c r="A861" s="153" t="s">
        <v>40</v>
      </c>
      <c r="B861" s="154"/>
      <c r="C861" s="36"/>
      <c r="D861" s="12"/>
    </row>
    <row r="862" spans="1:4" ht="15.75" x14ac:dyDescent="0.3">
      <c r="A862" s="151" t="s">
        <v>41</v>
      </c>
      <c r="B862" s="152"/>
      <c r="C862" s="38"/>
      <c r="D862" s="12"/>
    </row>
    <row r="863" spans="1:4" x14ac:dyDescent="0.25">
      <c r="A863" s="153" t="s">
        <v>42</v>
      </c>
      <c r="B863" s="154"/>
      <c r="C863" s="36"/>
    </row>
    <row r="864" spans="1:4" x14ac:dyDescent="0.25">
      <c r="A864" s="151" t="s">
        <v>43</v>
      </c>
      <c r="B864" s="152"/>
      <c r="C864" s="38"/>
    </row>
    <row r="865" spans="1:4" x14ac:dyDescent="0.25">
      <c r="A865" s="153" t="s">
        <v>44</v>
      </c>
      <c r="B865" s="154"/>
      <c r="C865" s="36"/>
    </row>
    <row r="866" spans="1:4" x14ac:dyDescent="0.25">
      <c r="A866" s="151" t="s">
        <v>45</v>
      </c>
      <c r="B866" s="152"/>
      <c r="C866" s="38"/>
    </row>
    <row r="867" spans="1:4" x14ac:dyDescent="0.25">
      <c r="A867" s="149" t="s">
        <v>46</v>
      </c>
      <c r="B867" s="150"/>
      <c r="C867" s="39"/>
    </row>
    <row r="868" spans="1:4" x14ac:dyDescent="0.25">
      <c r="A868" s="151" t="s">
        <v>47</v>
      </c>
      <c r="B868" s="152"/>
      <c r="C868" s="38"/>
    </row>
    <row r="869" spans="1:4" s="9" customFormat="1" ht="15.75" x14ac:dyDescent="0.2">
      <c r="A869" s="14" t="e">
        <f>IF(RFQ!#REF!="",0,RFQ!#REF!)</f>
        <v>#REF!</v>
      </c>
      <c r="B869" s="14" t="e">
        <f>IF(C869=0,0,"FID "&amp;RFQ!#REF!)</f>
        <v>#REF!</v>
      </c>
      <c r="C869" s="22" t="e">
        <f>RFQ!#REF!</f>
        <v>#REF!</v>
      </c>
    </row>
    <row r="870" spans="1:4" x14ac:dyDescent="0.25">
      <c r="A870" s="157" t="s">
        <v>35</v>
      </c>
      <c r="B870" s="158"/>
      <c r="C870" s="15" t="e">
        <f>RFQ!#REF!</f>
        <v>#REF!</v>
      </c>
    </row>
    <row r="871" spans="1:4" x14ac:dyDescent="0.25">
      <c r="A871" s="159" t="s">
        <v>36</v>
      </c>
      <c r="B871" s="160"/>
      <c r="C871" s="19" t="e">
        <f>RFQ!#REF!</f>
        <v>#REF!</v>
      </c>
    </row>
    <row r="872" spans="1:4" x14ac:dyDescent="0.25">
      <c r="A872" s="159" t="s">
        <v>37</v>
      </c>
      <c r="B872" s="160"/>
      <c r="C872" s="19" t="e">
        <f>RFQ!#REF!</f>
        <v>#REF!</v>
      </c>
    </row>
    <row r="873" spans="1:4" x14ac:dyDescent="0.25">
      <c r="A873" s="159" t="s">
        <v>38</v>
      </c>
      <c r="B873" s="160"/>
      <c r="C873" s="19" t="e">
        <f>RFQ!#REF!</f>
        <v>#REF!</v>
      </c>
      <c r="D873" s="11"/>
    </row>
    <row r="874" spans="1:4" x14ac:dyDescent="0.25">
      <c r="A874" s="155" t="s">
        <v>39</v>
      </c>
      <c r="B874" s="156"/>
      <c r="C874" s="16"/>
      <c r="D874" s="11"/>
    </row>
    <row r="875" spans="1:4" ht="15.75" x14ac:dyDescent="0.3">
      <c r="A875" s="153" t="s">
        <v>40</v>
      </c>
      <c r="B875" s="154"/>
      <c r="C875" s="36"/>
      <c r="D875" s="12"/>
    </row>
    <row r="876" spans="1:4" ht="15.75" x14ac:dyDescent="0.3">
      <c r="A876" s="151" t="s">
        <v>41</v>
      </c>
      <c r="B876" s="152"/>
      <c r="C876" s="38"/>
      <c r="D876" s="12"/>
    </row>
    <row r="877" spans="1:4" x14ac:dyDescent="0.25">
      <c r="A877" s="153" t="s">
        <v>42</v>
      </c>
      <c r="B877" s="154"/>
      <c r="C877" s="36"/>
    </row>
    <row r="878" spans="1:4" x14ac:dyDescent="0.25">
      <c r="A878" s="151" t="s">
        <v>43</v>
      </c>
      <c r="B878" s="152"/>
      <c r="C878" s="38"/>
    </row>
    <row r="879" spans="1:4" x14ac:dyDescent="0.25">
      <c r="A879" s="153" t="s">
        <v>44</v>
      </c>
      <c r="B879" s="154"/>
      <c r="C879" s="36"/>
    </row>
    <row r="880" spans="1:4" x14ac:dyDescent="0.25">
      <c r="A880" s="151" t="s">
        <v>45</v>
      </c>
      <c r="B880" s="152"/>
      <c r="C880" s="38"/>
    </row>
    <row r="881" spans="1:4" x14ac:dyDescent="0.25">
      <c r="A881" s="149" t="s">
        <v>46</v>
      </c>
      <c r="B881" s="150"/>
      <c r="C881" s="39"/>
    </row>
    <row r="882" spans="1:4" x14ac:dyDescent="0.25">
      <c r="A882" s="151" t="s">
        <v>47</v>
      </c>
      <c r="B882" s="152"/>
      <c r="C882" s="38"/>
    </row>
    <row r="883" spans="1:4" s="9" customFormat="1" ht="15.75" x14ac:dyDescent="0.2">
      <c r="A883" s="14" t="e">
        <f>IF(RFQ!#REF!="",0,RFQ!#REF!)</f>
        <v>#REF!</v>
      </c>
      <c r="B883" s="14" t="e">
        <f>IF(C883=0,0,"FID "&amp;RFQ!#REF!)</f>
        <v>#REF!</v>
      </c>
      <c r="C883" s="22" t="e">
        <f>RFQ!#REF!</f>
        <v>#REF!</v>
      </c>
    </row>
    <row r="884" spans="1:4" x14ac:dyDescent="0.25">
      <c r="A884" s="157" t="s">
        <v>35</v>
      </c>
      <c r="B884" s="158"/>
      <c r="C884" s="15" t="e">
        <f>RFQ!#REF!</f>
        <v>#REF!</v>
      </c>
    </row>
    <row r="885" spans="1:4" x14ac:dyDescent="0.25">
      <c r="A885" s="159" t="s">
        <v>36</v>
      </c>
      <c r="B885" s="160"/>
      <c r="C885" s="19" t="e">
        <f>RFQ!#REF!</f>
        <v>#REF!</v>
      </c>
    </row>
    <row r="886" spans="1:4" x14ac:dyDescent="0.25">
      <c r="A886" s="159" t="s">
        <v>37</v>
      </c>
      <c r="B886" s="160"/>
      <c r="C886" s="19" t="e">
        <f>RFQ!#REF!</f>
        <v>#REF!</v>
      </c>
    </row>
    <row r="887" spans="1:4" x14ac:dyDescent="0.25">
      <c r="A887" s="159" t="s">
        <v>38</v>
      </c>
      <c r="B887" s="160"/>
      <c r="C887" s="19" t="e">
        <f>RFQ!#REF!</f>
        <v>#REF!</v>
      </c>
      <c r="D887" s="11"/>
    </row>
    <row r="888" spans="1:4" x14ac:dyDescent="0.25">
      <c r="A888" s="155" t="s">
        <v>39</v>
      </c>
      <c r="B888" s="156"/>
      <c r="C888" s="16"/>
      <c r="D888" s="11"/>
    </row>
    <row r="889" spans="1:4" ht="15.75" x14ac:dyDescent="0.3">
      <c r="A889" s="153" t="s">
        <v>40</v>
      </c>
      <c r="B889" s="154"/>
      <c r="C889" s="36"/>
      <c r="D889" s="12"/>
    </row>
    <row r="890" spans="1:4" ht="15.75" x14ac:dyDescent="0.3">
      <c r="A890" s="151" t="s">
        <v>41</v>
      </c>
      <c r="B890" s="152"/>
      <c r="C890" s="38"/>
      <c r="D890" s="12"/>
    </row>
    <row r="891" spans="1:4" x14ac:dyDescent="0.25">
      <c r="A891" s="153" t="s">
        <v>42</v>
      </c>
      <c r="B891" s="154"/>
      <c r="C891" s="36"/>
    </row>
    <row r="892" spans="1:4" x14ac:dyDescent="0.25">
      <c r="A892" s="151" t="s">
        <v>43</v>
      </c>
      <c r="B892" s="152"/>
      <c r="C892" s="38"/>
    </row>
    <row r="893" spans="1:4" x14ac:dyDescent="0.25">
      <c r="A893" s="153" t="s">
        <v>44</v>
      </c>
      <c r="B893" s="154"/>
      <c r="C893" s="36"/>
    </row>
    <row r="894" spans="1:4" x14ac:dyDescent="0.25">
      <c r="A894" s="151" t="s">
        <v>45</v>
      </c>
      <c r="B894" s="152"/>
      <c r="C894" s="38"/>
    </row>
    <row r="895" spans="1:4" x14ac:dyDescent="0.25">
      <c r="A895" s="149" t="s">
        <v>46</v>
      </c>
      <c r="B895" s="150"/>
      <c r="C895" s="39"/>
    </row>
    <row r="896" spans="1:4" x14ac:dyDescent="0.25">
      <c r="A896" s="151" t="s">
        <v>47</v>
      </c>
      <c r="B896" s="152"/>
      <c r="C896" s="38"/>
    </row>
    <row r="897" spans="1:4" s="9" customFormat="1" ht="15.75" x14ac:dyDescent="0.2">
      <c r="A897" s="14" t="e">
        <f>IF(RFQ!#REF!="",0,RFQ!#REF!)</f>
        <v>#REF!</v>
      </c>
      <c r="B897" s="14" t="e">
        <f>IF(C883=0,0,"FID "&amp;RFQ!#REF!)</f>
        <v>#REF!</v>
      </c>
      <c r="C897" s="22" t="e">
        <f>RFQ!#REF!</f>
        <v>#REF!</v>
      </c>
    </row>
    <row r="898" spans="1:4" x14ac:dyDescent="0.25">
      <c r="A898" s="157" t="s">
        <v>35</v>
      </c>
      <c r="B898" s="158"/>
      <c r="C898" s="15" t="e">
        <f>RFQ!#REF!</f>
        <v>#REF!</v>
      </c>
    </row>
    <row r="899" spans="1:4" x14ac:dyDescent="0.25">
      <c r="A899" s="159" t="s">
        <v>36</v>
      </c>
      <c r="B899" s="160"/>
      <c r="C899" s="19" t="e">
        <f>RFQ!#REF!</f>
        <v>#REF!</v>
      </c>
    </row>
    <row r="900" spans="1:4" x14ac:dyDescent="0.25">
      <c r="A900" s="159" t="s">
        <v>37</v>
      </c>
      <c r="B900" s="160"/>
      <c r="C900" s="19" t="e">
        <f>RFQ!#REF!</f>
        <v>#REF!</v>
      </c>
    </row>
    <row r="901" spans="1:4" x14ac:dyDescent="0.25">
      <c r="A901" s="159" t="s">
        <v>38</v>
      </c>
      <c r="B901" s="160"/>
      <c r="C901" s="19" t="e">
        <f>RFQ!#REF!</f>
        <v>#REF!</v>
      </c>
      <c r="D901" s="11"/>
    </row>
    <row r="902" spans="1:4" x14ac:dyDescent="0.25">
      <c r="A902" s="155" t="s">
        <v>39</v>
      </c>
      <c r="B902" s="156"/>
      <c r="C902" s="16"/>
      <c r="D902" s="11"/>
    </row>
    <row r="903" spans="1:4" ht="15.75" x14ac:dyDescent="0.3">
      <c r="A903" s="153" t="s">
        <v>40</v>
      </c>
      <c r="B903" s="154"/>
      <c r="C903" s="36"/>
      <c r="D903" s="12"/>
    </row>
    <row r="904" spans="1:4" ht="15.75" x14ac:dyDescent="0.3">
      <c r="A904" s="151" t="s">
        <v>41</v>
      </c>
      <c r="B904" s="152"/>
      <c r="C904" s="38"/>
      <c r="D904" s="12"/>
    </row>
    <row r="905" spans="1:4" x14ac:dyDescent="0.25">
      <c r="A905" s="153" t="s">
        <v>42</v>
      </c>
      <c r="B905" s="154"/>
      <c r="C905" s="36"/>
    </row>
    <row r="906" spans="1:4" x14ac:dyDescent="0.25">
      <c r="A906" s="151" t="s">
        <v>43</v>
      </c>
      <c r="B906" s="152"/>
      <c r="C906" s="38"/>
    </row>
    <row r="907" spans="1:4" x14ac:dyDescent="0.25">
      <c r="A907" s="153" t="s">
        <v>44</v>
      </c>
      <c r="B907" s="154"/>
      <c r="C907" s="36"/>
    </row>
    <row r="908" spans="1:4" x14ac:dyDescent="0.25">
      <c r="A908" s="151" t="s">
        <v>45</v>
      </c>
      <c r="B908" s="152"/>
      <c r="C908" s="38"/>
    </row>
    <row r="909" spans="1:4" x14ac:dyDescent="0.25">
      <c r="A909" s="149" t="s">
        <v>46</v>
      </c>
      <c r="B909" s="150"/>
      <c r="C909" s="39"/>
    </row>
    <row r="910" spans="1:4" x14ac:dyDescent="0.25">
      <c r="A910" s="151" t="s">
        <v>47</v>
      </c>
      <c r="B910" s="152"/>
      <c r="C910" s="38"/>
    </row>
    <row r="911" spans="1:4" s="9" customFormat="1" ht="15.75" x14ac:dyDescent="0.2">
      <c r="A911" s="14" t="e">
        <f>IF(RFQ!#REF!="",0,RFQ!#REF!)</f>
        <v>#REF!</v>
      </c>
      <c r="B911" s="14" t="e">
        <f>IF(C897=0,0,"FID "&amp;RFQ!#REF!)</f>
        <v>#REF!</v>
      </c>
      <c r="C911" s="22" t="e">
        <f>RFQ!#REF!</f>
        <v>#REF!</v>
      </c>
    </row>
    <row r="912" spans="1:4" x14ac:dyDescent="0.25">
      <c r="A912" s="157" t="s">
        <v>35</v>
      </c>
      <c r="B912" s="158"/>
      <c r="C912" s="15" t="e">
        <f>RFQ!#REF!</f>
        <v>#REF!</v>
      </c>
    </row>
    <row r="913" spans="1:4" x14ac:dyDescent="0.25">
      <c r="A913" s="159" t="s">
        <v>36</v>
      </c>
      <c r="B913" s="160"/>
      <c r="C913" s="19" t="e">
        <f>RFQ!#REF!</f>
        <v>#REF!</v>
      </c>
    </row>
    <row r="914" spans="1:4" x14ac:dyDescent="0.25">
      <c r="A914" s="159" t="s">
        <v>37</v>
      </c>
      <c r="B914" s="160"/>
      <c r="C914" s="19" t="e">
        <f>RFQ!#REF!</f>
        <v>#REF!</v>
      </c>
    </row>
    <row r="915" spans="1:4" x14ac:dyDescent="0.25">
      <c r="A915" s="159" t="s">
        <v>38</v>
      </c>
      <c r="B915" s="160"/>
      <c r="C915" s="19" t="e">
        <f>RFQ!#REF!</f>
        <v>#REF!</v>
      </c>
      <c r="D915" s="11"/>
    </row>
    <row r="916" spans="1:4" x14ac:dyDescent="0.25">
      <c r="A916" s="155" t="s">
        <v>39</v>
      </c>
      <c r="B916" s="156"/>
      <c r="C916" s="16"/>
      <c r="D916" s="11"/>
    </row>
    <row r="917" spans="1:4" ht="15.75" x14ac:dyDescent="0.3">
      <c r="A917" s="153" t="s">
        <v>40</v>
      </c>
      <c r="B917" s="154"/>
      <c r="C917" s="36"/>
      <c r="D917" s="12"/>
    </row>
    <row r="918" spans="1:4" ht="15.75" x14ac:dyDescent="0.3">
      <c r="A918" s="151" t="s">
        <v>41</v>
      </c>
      <c r="B918" s="152"/>
      <c r="C918" s="38"/>
      <c r="D918" s="12"/>
    </row>
    <row r="919" spans="1:4" x14ac:dyDescent="0.25">
      <c r="A919" s="153" t="s">
        <v>42</v>
      </c>
      <c r="B919" s="154"/>
      <c r="C919" s="36"/>
    </row>
    <row r="920" spans="1:4" x14ac:dyDescent="0.25">
      <c r="A920" s="151" t="s">
        <v>43</v>
      </c>
      <c r="B920" s="152"/>
      <c r="C920" s="38"/>
    </row>
    <row r="921" spans="1:4" x14ac:dyDescent="0.25">
      <c r="A921" s="153" t="s">
        <v>44</v>
      </c>
      <c r="B921" s="154"/>
      <c r="C921" s="36"/>
    </row>
    <row r="922" spans="1:4" x14ac:dyDescent="0.25">
      <c r="A922" s="151" t="s">
        <v>45</v>
      </c>
      <c r="B922" s="152"/>
      <c r="C922" s="38"/>
    </row>
    <row r="923" spans="1:4" x14ac:dyDescent="0.25">
      <c r="A923" s="149" t="s">
        <v>46</v>
      </c>
      <c r="B923" s="150"/>
      <c r="C923" s="39"/>
    </row>
    <row r="924" spans="1:4" x14ac:dyDescent="0.25">
      <c r="A924" s="151" t="s">
        <v>47</v>
      </c>
      <c r="B924" s="152"/>
      <c r="C924" s="38"/>
    </row>
    <row r="925" spans="1:4" s="9" customFormat="1" ht="15.75" x14ac:dyDescent="0.2">
      <c r="A925" s="14" t="e">
        <f>IF(RFQ!#REF!="",0,RFQ!#REF!)</f>
        <v>#REF!</v>
      </c>
      <c r="B925" s="14" t="e">
        <f>IF(C911=0,0,"FID "&amp;RFQ!#REF!)</f>
        <v>#REF!</v>
      </c>
      <c r="C925" s="22" t="e">
        <f>RFQ!#REF!</f>
        <v>#REF!</v>
      </c>
    </row>
    <row r="926" spans="1:4" x14ac:dyDescent="0.25">
      <c r="A926" s="157" t="s">
        <v>35</v>
      </c>
      <c r="B926" s="158"/>
      <c r="C926" s="15" t="e">
        <f>RFQ!#REF!</f>
        <v>#REF!</v>
      </c>
    </row>
    <row r="927" spans="1:4" x14ac:dyDescent="0.25">
      <c r="A927" s="159" t="s">
        <v>36</v>
      </c>
      <c r="B927" s="160"/>
      <c r="C927" s="19" t="e">
        <f>RFQ!#REF!</f>
        <v>#REF!</v>
      </c>
    </row>
    <row r="928" spans="1:4" x14ac:dyDescent="0.25">
      <c r="A928" s="159" t="s">
        <v>37</v>
      </c>
      <c r="B928" s="160"/>
      <c r="C928" s="19" t="e">
        <f>RFQ!#REF!</f>
        <v>#REF!</v>
      </c>
    </row>
    <row r="929" spans="1:4" x14ac:dyDescent="0.25">
      <c r="A929" s="159" t="s">
        <v>38</v>
      </c>
      <c r="B929" s="160"/>
      <c r="C929" s="19" t="e">
        <f>RFQ!#REF!</f>
        <v>#REF!</v>
      </c>
      <c r="D929" s="11"/>
    </row>
    <row r="930" spans="1:4" x14ac:dyDescent="0.25">
      <c r="A930" s="155" t="s">
        <v>39</v>
      </c>
      <c r="B930" s="156"/>
      <c r="C930" s="16"/>
      <c r="D930" s="11"/>
    </row>
    <row r="931" spans="1:4" ht="15.75" x14ac:dyDescent="0.3">
      <c r="A931" s="153" t="s">
        <v>40</v>
      </c>
      <c r="B931" s="154"/>
      <c r="C931" s="36"/>
      <c r="D931" s="12"/>
    </row>
    <row r="932" spans="1:4" ht="15.75" x14ac:dyDescent="0.3">
      <c r="A932" s="151" t="s">
        <v>41</v>
      </c>
      <c r="B932" s="152"/>
      <c r="C932" s="38"/>
      <c r="D932" s="12"/>
    </row>
    <row r="933" spans="1:4" x14ac:dyDescent="0.25">
      <c r="A933" s="153" t="s">
        <v>42</v>
      </c>
      <c r="B933" s="154"/>
      <c r="C933" s="36"/>
    </row>
    <row r="934" spans="1:4" x14ac:dyDescent="0.25">
      <c r="A934" s="151" t="s">
        <v>43</v>
      </c>
      <c r="B934" s="152"/>
      <c r="C934" s="38"/>
    </row>
    <row r="935" spans="1:4" x14ac:dyDescent="0.25">
      <c r="A935" s="153" t="s">
        <v>44</v>
      </c>
      <c r="B935" s="154"/>
      <c r="C935" s="36"/>
    </row>
    <row r="936" spans="1:4" x14ac:dyDescent="0.25">
      <c r="A936" s="151" t="s">
        <v>45</v>
      </c>
      <c r="B936" s="152"/>
      <c r="C936" s="38"/>
    </row>
    <row r="937" spans="1:4" x14ac:dyDescent="0.25">
      <c r="A937" s="149" t="s">
        <v>46</v>
      </c>
      <c r="B937" s="150"/>
      <c r="C937" s="39"/>
    </row>
    <row r="938" spans="1:4" x14ac:dyDescent="0.25">
      <c r="A938" s="151" t="s">
        <v>47</v>
      </c>
      <c r="B938" s="152"/>
      <c r="C938" s="38"/>
    </row>
    <row r="939" spans="1:4" s="9" customFormat="1" ht="15.75" x14ac:dyDescent="0.2">
      <c r="A939" s="14" t="e">
        <f>IF(RFQ!#REF!="",0,RFQ!#REF!)</f>
        <v>#REF!</v>
      </c>
      <c r="B939" s="14" t="e">
        <f>IF(C925=0,0,"FID "&amp;RFQ!#REF!)</f>
        <v>#REF!</v>
      </c>
      <c r="C939" s="22" t="e">
        <f>RFQ!#REF!</f>
        <v>#REF!</v>
      </c>
    </row>
    <row r="940" spans="1:4" x14ac:dyDescent="0.25">
      <c r="A940" s="157" t="s">
        <v>35</v>
      </c>
      <c r="B940" s="158"/>
      <c r="C940" s="15" t="e">
        <f>RFQ!#REF!</f>
        <v>#REF!</v>
      </c>
    </row>
    <row r="941" spans="1:4" x14ac:dyDescent="0.25">
      <c r="A941" s="159" t="s">
        <v>36</v>
      </c>
      <c r="B941" s="160"/>
      <c r="C941" s="19" t="e">
        <f>RFQ!#REF!</f>
        <v>#REF!</v>
      </c>
    </row>
    <row r="942" spans="1:4" x14ac:dyDescent="0.25">
      <c r="A942" s="159" t="s">
        <v>37</v>
      </c>
      <c r="B942" s="160"/>
      <c r="C942" s="19" t="e">
        <f>RFQ!#REF!</f>
        <v>#REF!</v>
      </c>
    </row>
    <row r="943" spans="1:4" x14ac:dyDescent="0.25">
      <c r="A943" s="159" t="s">
        <v>38</v>
      </c>
      <c r="B943" s="160"/>
      <c r="C943" s="19" t="e">
        <f>RFQ!#REF!</f>
        <v>#REF!</v>
      </c>
      <c r="D943" s="11"/>
    </row>
    <row r="944" spans="1:4" x14ac:dyDescent="0.25">
      <c r="A944" s="155" t="s">
        <v>39</v>
      </c>
      <c r="B944" s="156"/>
      <c r="C944" s="16"/>
      <c r="D944" s="11"/>
    </row>
    <row r="945" spans="1:4" ht="15.75" x14ac:dyDescent="0.3">
      <c r="A945" s="153" t="s">
        <v>40</v>
      </c>
      <c r="B945" s="154"/>
      <c r="C945" s="36"/>
      <c r="D945" s="12"/>
    </row>
    <row r="946" spans="1:4" ht="15.75" x14ac:dyDescent="0.3">
      <c r="A946" s="151" t="s">
        <v>41</v>
      </c>
      <c r="B946" s="152"/>
      <c r="C946" s="38"/>
      <c r="D946" s="12"/>
    </row>
    <row r="947" spans="1:4" x14ac:dyDescent="0.25">
      <c r="A947" s="153" t="s">
        <v>42</v>
      </c>
      <c r="B947" s="154"/>
      <c r="C947" s="36"/>
    </row>
    <row r="948" spans="1:4" x14ac:dyDescent="0.25">
      <c r="A948" s="151" t="s">
        <v>43</v>
      </c>
      <c r="B948" s="152"/>
      <c r="C948" s="38"/>
    </row>
    <row r="949" spans="1:4" x14ac:dyDescent="0.25">
      <c r="A949" s="153" t="s">
        <v>44</v>
      </c>
      <c r="B949" s="154"/>
      <c r="C949" s="36"/>
    </row>
    <row r="950" spans="1:4" x14ac:dyDescent="0.25">
      <c r="A950" s="151" t="s">
        <v>45</v>
      </c>
      <c r="B950" s="152"/>
      <c r="C950" s="38"/>
    </row>
    <row r="951" spans="1:4" x14ac:dyDescent="0.25">
      <c r="A951" s="149" t="s">
        <v>46</v>
      </c>
      <c r="B951" s="150"/>
      <c r="C951" s="39"/>
    </row>
    <row r="952" spans="1:4" x14ac:dyDescent="0.25">
      <c r="A952" s="151" t="s">
        <v>47</v>
      </c>
      <c r="B952" s="152"/>
      <c r="C952" s="38"/>
    </row>
    <row r="953" spans="1:4" s="9" customFormat="1" ht="15.75" x14ac:dyDescent="0.2">
      <c r="A953" s="14" t="e">
        <f>IF(RFQ!#REF!="",0,RFQ!#REF!)</f>
        <v>#REF!</v>
      </c>
      <c r="B953" s="14" t="e">
        <f>IF(C939=0,0,"FID "&amp;RFQ!#REF!)</f>
        <v>#REF!</v>
      </c>
      <c r="C953" s="22" t="e">
        <f>RFQ!#REF!</f>
        <v>#REF!</v>
      </c>
    </row>
    <row r="954" spans="1:4" x14ac:dyDescent="0.25">
      <c r="A954" s="157" t="s">
        <v>35</v>
      </c>
      <c r="B954" s="158"/>
      <c r="C954" s="15" t="e">
        <f>RFQ!#REF!</f>
        <v>#REF!</v>
      </c>
    </row>
    <row r="955" spans="1:4" x14ac:dyDescent="0.25">
      <c r="A955" s="159" t="s">
        <v>36</v>
      </c>
      <c r="B955" s="160"/>
      <c r="C955" s="19" t="e">
        <f>RFQ!#REF!</f>
        <v>#REF!</v>
      </c>
    </row>
    <row r="956" spans="1:4" x14ac:dyDescent="0.25">
      <c r="A956" s="159" t="s">
        <v>37</v>
      </c>
      <c r="B956" s="160"/>
      <c r="C956" s="19" t="e">
        <f>RFQ!#REF!</f>
        <v>#REF!</v>
      </c>
    </row>
    <row r="957" spans="1:4" x14ac:dyDescent="0.25">
      <c r="A957" s="159" t="s">
        <v>38</v>
      </c>
      <c r="B957" s="160"/>
      <c r="C957" s="19" t="e">
        <f>RFQ!#REF!</f>
        <v>#REF!</v>
      </c>
      <c r="D957" s="11"/>
    </row>
    <row r="958" spans="1:4" x14ac:dyDescent="0.25">
      <c r="A958" s="155" t="s">
        <v>39</v>
      </c>
      <c r="B958" s="156"/>
      <c r="C958" s="16"/>
      <c r="D958" s="11"/>
    </row>
    <row r="959" spans="1:4" ht="15.75" x14ac:dyDescent="0.3">
      <c r="A959" s="153" t="s">
        <v>40</v>
      </c>
      <c r="B959" s="154"/>
      <c r="C959" s="36"/>
      <c r="D959" s="12"/>
    </row>
    <row r="960" spans="1:4" ht="15.75" x14ac:dyDescent="0.3">
      <c r="A960" s="151" t="s">
        <v>41</v>
      </c>
      <c r="B960" s="152"/>
      <c r="C960" s="38"/>
      <c r="D960" s="12"/>
    </row>
    <row r="961" spans="1:4" x14ac:dyDescent="0.25">
      <c r="A961" s="153" t="s">
        <v>42</v>
      </c>
      <c r="B961" s="154"/>
      <c r="C961" s="36"/>
    </row>
    <row r="962" spans="1:4" x14ac:dyDescent="0.25">
      <c r="A962" s="151" t="s">
        <v>43</v>
      </c>
      <c r="B962" s="152"/>
      <c r="C962" s="38"/>
    </row>
    <row r="963" spans="1:4" x14ac:dyDescent="0.25">
      <c r="A963" s="153" t="s">
        <v>44</v>
      </c>
      <c r="B963" s="154"/>
      <c r="C963" s="36"/>
    </row>
    <row r="964" spans="1:4" x14ac:dyDescent="0.25">
      <c r="A964" s="151" t="s">
        <v>45</v>
      </c>
      <c r="B964" s="152"/>
      <c r="C964" s="38"/>
    </row>
    <row r="965" spans="1:4" x14ac:dyDescent="0.25">
      <c r="A965" s="149" t="s">
        <v>46</v>
      </c>
      <c r="B965" s="150"/>
      <c r="C965" s="39"/>
    </row>
    <row r="966" spans="1:4" x14ac:dyDescent="0.25">
      <c r="A966" s="151" t="s">
        <v>47</v>
      </c>
      <c r="B966" s="152"/>
      <c r="C966" s="38"/>
    </row>
    <row r="967" spans="1:4" s="9" customFormat="1" ht="15.75" x14ac:dyDescent="0.2">
      <c r="A967" s="14" t="e">
        <f>IF(RFQ!#REF!="",0,RFQ!#REF!)</f>
        <v>#REF!</v>
      </c>
      <c r="B967" s="14" t="e">
        <f>IF(C953=0,0,"FID "&amp;RFQ!#REF!)</f>
        <v>#REF!</v>
      </c>
      <c r="C967" s="22" t="e">
        <f>RFQ!#REF!</f>
        <v>#REF!</v>
      </c>
    </row>
    <row r="968" spans="1:4" x14ac:dyDescent="0.25">
      <c r="A968" s="157" t="s">
        <v>35</v>
      </c>
      <c r="B968" s="158"/>
      <c r="C968" s="15" t="e">
        <f>RFQ!#REF!</f>
        <v>#REF!</v>
      </c>
    </row>
    <row r="969" spans="1:4" x14ac:dyDescent="0.25">
      <c r="A969" s="159" t="s">
        <v>36</v>
      </c>
      <c r="B969" s="160"/>
      <c r="C969" s="19" t="e">
        <f>RFQ!#REF!</f>
        <v>#REF!</v>
      </c>
    </row>
    <row r="970" spans="1:4" x14ac:dyDescent="0.25">
      <c r="A970" s="159" t="s">
        <v>37</v>
      </c>
      <c r="B970" s="160"/>
      <c r="C970" s="19" t="e">
        <f>RFQ!#REF!</f>
        <v>#REF!</v>
      </c>
    </row>
    <row r="971" spans="1:4" x14ac:dyDescent="0.25">
      <c r="A971" s="159" t="s">
        <v>38</v>
      </c>
      <c r="B971" s="160"/>
      <c r="C971" s="19" t="e">
        <f>RFQ!#REF!</f>
        <v>#REF!</v>
      </c>
      <c r="D971" s="11"/>
    </row>
    <row r="972" spans="1:4" x14ac:dyDescent="0.25">
      <c r="A972" s="155" t="s">
        <v>39</v>
      </c>
      <c r="B972" s="156"/>
      <c r="C972" s="16"/>
      <c r="D972" s="11"/>
    </row>
    <row r="973" spans="1:4" ht="15.75" x14ac:dyDescent="0.3">
      <c r="A973" s="153" t="s">
        <v>40</v>
      </c>
      <c r="B973" s="154"/>
      <c r="C973" s="36"/>
      <c r="D973" s="12"/>
    </row>
    <row r="974" spans="1:4" ht="15.75" x14ac:dyDescent="0.3">
      <c r="A974" s="151" t="s">
        <v>41</v>
      </c>
      <c r="B974" s="152"/>
      <c r="C974" s="38"/>
      <c r="D974" s="12"/>
    </row>
    <row r="975" spans="1:4" x14ac:dyDescent="0.25">
      <c r="A975" s="153" t="s">
        <v>42</v>
      </c>
      <c r="B975" s="154"/>
      <c r="C975" s="36"/>
    </row>
    <row r="976" spans="1:4" x14ac:dyDescent="0.25">
      <c r="A976" s="151" t="s">
        <v>43</v>
      </c>
      <c r="B976" s="152"/>
      <c r="C976" s="38"/>
    </row>
    <row r="977" spans="1:4" x14ac:dyDescent="0.25">
      <c r="A977" s="153" t="s">
        <v>44</v>
      </c>
      <c r="B977" s="154"/>
      <c r="C977" s="36"/>
    </row>
    <row r="978" spans="1:4" x14ac:dyDescent="0.25">
      <c r="A978" s="151" t="s">
        <v>45</v>
      </c>
      <c r="B978" s="152"/>
      <c r="C978" s="38"/>
    </row>
    <row r="979" spans="1:4" x14ac:dyDescent="0.25">
      <c r="A979" s="149" t="s">
        <v>46</v>
      </c>
      <c r="B979" s="150"/>
      <c r="C979" s="39"/>
    </row>
    <row r="980" spans="1:4" x14ac:dyDescent="0.25">
      <c r="A980" s="151" t="s">
        <v>47</v>
      </c>
      <c r="B980" s="152"/>
      <c r="C980" s="38"/>
    </row>
    <row r="981" spans="1:4" s="9" customFormat="1" ht="15.75" x14ac:dyDescent="0.2">
      <c r="A981" s="14" t="e">
        <f>IF(RFQ!#REF!="",0,RFQ!#REF!)</f>
        <v>#REF!</v>
      </c>
      <c r="B981" s="14" t="e">
        <f>IF(C967=0,0,"FID "&amp;RFQ!#REF!)</f>
        <v>#REF!</v>
      </c>
      <c r="C981" s="22" t="e">
        <f>RFQ!#REF!</f>
        <v>#REF!</v>
      </c>
    </row>
    <row r="982" spans="1:4" x14ac:dyDescent="0.25">
      <c r="A982" s="157" t="s">
        <v>35</v>
      </c>
      <c r="B982" s="158"/>
      <c r="C982" s="15" t="e">
        <f>RFQ!#REF!</f>
        <v>#REF!</v>
      </c>
    </row>
    <row r="983" spans="1:4" x14ac:dyDescent="0.25">
      <c r="A983" s="159" t="s">
        <v>36</v>
      </c>
      <c r="B983" s="160"/>
      <c r="C983" s="19" t="e">
        <f>RFQ!#REF!</f>
        <v>#REF!</v>
      </c>
    </row>
    <row r="984" spans="1:4" x14ac:dyDescent="0.25">
      <c r="A984" s="159" t="s">
        <v>37</v>
      </c>
      <c r="B984" s="160"/>
      <c r="C984" s="19" t="e">
        <f>RFQ!#REF!</f>
        <v>#REF!</v>
      </c>
    </row>
    <row r="985" spans="1:4" x14ac:dyDescent="0.25">
      <c r="A985" s="159" t="s">
        <v>38</v>
      </c>
      <c r="B985" s="160"/>
      <c r="C985" s="19" t="e">
        <f>RFQ!#REF!</f>
        <v>#REF!</v>
      </c>
      <c r="D985" s="11"/>
    </row>
    <row r="986" spans="1:4" x14ac:dyDescent="0.25">
      <c r="A986" s="155" t="s">
        <v>39</v>
      </c>
      <c r="B986" s="156"/>
      <c r="C986" s="16"/>
      <c r="D986" s="11"/>
    </row>
    <row r="987" spans="1:4" ht="15.75" x14ac:dyDescent="0.3">
      <c r="A987" s="153" t="s">
        <v>40</v>
      </c>
      <c r="B987" s="154"/>
      <c r="C987" s="36"/>
      <c r="D987" s="12"/>
    </row>
    <row r="988" spans="1:4" ht="15.75" x14ac:dyDescent="0.3">
      <c r="A988" s="151" t="s">
        <v>41</v>
      </c>
      <c r="B988" s="152"/>
      <c r="C988" s="38"/>
      <c r="D988" s="12"/>
    </row>
    <row r="989" spans="1:4" x14ac:dyDescent="0.25">
      <c r="A989" s="153" t="s">
        <v>42</v>
      </c>
      <c r="B989" s="154"/>
      <c r="C989" s="36"/>
    </row>
    <row r="990" spans="1:4" x14ac:dyDescent="0.25">
      <c r="A990" s="151" t="s">
        <v>43</v>
      </c>
      <c r="B990" s="152"/>
      <c r="C990" s="38"/>
    </row>
    <row r="991" spans="1:4" x14ac:dyDescent="0.25">
      <c r="A991" s="153" t="s">
        <v>44</v>
      </c>
      <c r="B991" s="154"/>
      <c r="C991" s="36"/>
    </row>
    <row r="992" spans="1:4" x14ac:dyDescent="0.25">
      <c r="A992" s="151" t="s">
        <v>45</v>
      </c>
      <c r="B992" s="152"/>
      <c r="C992" s="38"/>
    </row>
    <row r="993" spans="1:4" x14ac:dyDescent="0.25">
      <c r="A993" s="149" t="s">
        <v>46</v>
      </c>
      <c r="B993" s="150"/>
      <c r="C993" s="39"/>
    </row>
    <row r="994" spans="1:4" x14ac:dyDescent="0.25">
      <c r="A994" s="151" t="s">
        <v>47</v>
      </c>
      <c r="B994" s="152"/>
      <c r="C994" s="38"/>
    </row>
    <row r="995" spans="1:4" s="9" customFormat="1" ht="15.75" x14ac:dyDescent="0.2">
      <c r="A995" s="14" t="e">
        <f>IF(RFQ!#REF!="",0,RFQ!#REF!)</f>
        <v>#REF!</v>
      </c>
      <c r="B995" s="14" t="e">
        <f>IF(C981=0,0,"FID "&amp;RFQ!#REF!)</f>
        <v>#REF!</v>
      </c>
      <c r="C995" s="22" t="e">
        <f>RFQ!#REF!</f>
        <v>#REF!</v>
      </c>
    </row>
    <row r="996" spans="1:4" x14ac:dyDescent="0.25">
      <c r="A996" s="157" t="s">
        <v>35</v>
      </c>
      <c r="B996" s="158"/>
      <c r="C996" s="15" t="e">
        <f>RFQ!#REF!</f>
        <v>#REF!</v>
      </c>
    </row>
    <row r="997" spans="1:4" x14ac:dyDescent="0.25">
      <c r="A997" s="159" t="s">
        <v>36</v>
      </c>
      <c r="B997" s="160"/>
      <c r="C997" s="19" t="e">
        <f>RFQ!#REF!</f>
        <v>#REF!</v>
      </c>
    </row>
    <row r="998" spans="1:4" x14ac:dyDescent="0.25">
      <c r="A998" s="159" t="s">
        <v>37</v>
      </c>
      <c r="B998" s="160"/>
      <c r="C998" s="19" t="e">
        <f>RFQ!#REF!</f>
        <v>#REF!</v>
      </c>
    </row>
    <row r="999" spans="1:4" x14ac:dyDescent="0.25">
      <c r="A999" s="159" t="s">
        <v>38</v>
      </c>
      <c r="B999" s="160"/>
      <c r="C999" s="19" t="e">
        <f>RFQ!#REF!</f>
        <v>#REF!</v>
      </c>
      <c r="D999" s="11"/>
    </row>
    <row r="1000" spans="1:4" x14ac:dyDescent="0.25">
      <c r="A1000" s="155" t="s">
        <v>39</v>
      </c>
      <c r="B1000" s="156"/>
      <c r="C1000" s="16"/>
      <c r="D1000" s="11"/>
    </row>
    <row r="1001" spans="1:4" ht="15.75" x14ac:dyDescent="0.3">
      <c r="A1001" s="153" t="s">
        <v>40</v>
      </c>
      <c r="B1001" s="154"/>
      <c r="C1001" s="36"/>
      <c r="D1001" s="12"/>
    </row>
    <row r="1002" spans="1:4" ht="15.75" x14ac:dyDescent="0.3">
      <c r="A1002" s="151" t="s">
        <v>41</v>
      </c>
      <c r="B1002" s="152"/>
      <c r="C1002" s="38"/>
      <c r="D1002" s="12"/>
    </row>
    <row r="1003" spans="1:4" x14ac:dyDescent="0.25">
      <c r="A1003" s="153" t="s">
        <v>42</v>
      </c>
      <c r="B1003" s="154"/>
      <c r="C1003" s="36"/>
    </row>
    <row r="1004" spans="1:4" x14ac:dyDescent="0.25">
      <c r="A1004" s="151" t="s">
        <v>43</v>
      </c>
      <c r="B1004" s="152"/>
      <c r="C1004" s="38"/>
    </row>
    <row r="1005" spans="1:4" x14ac:dyDescent="0.25">
      <c r="A1005" s="153" t="s">
        <v>44</v>
      </c>
      <c r="B1005" s="154"/>
      <c r="C1005" s="36"/>
    </row>
    <row r="1006" spans="1:4" x14ac:dyDescent="0.25">
      <c r="A1006" s="151" t="s">
        <v>45</v>
      </c>
      <c r="B1006" s="152"/>
      <c r="C1006" s="38"/>
    </row>
    <row r="1007" spans="1:4" x14ac:dyDescent="0.25">
      <c r="A1007" s="149" t="s">
        <v>46</v>
      </c>
      <c r="B1007" s="150"/>
      <c r="C1007" s="39"/>
    </row>
    <row r="1008" spans="1:4" x14ac:dyDescent="0.25">
      <c r="A1008" s="151" t="s">
        <v>47</v>
      </c>
      <c r="B1008" s="152"/>
      <c r="C1008" s="38"/>
    </row>
    <row r="1009" spans="1:4" s="9" customFormat="1" ht="15.75" x14ac:dyDescent="0.2">
      <c r="A1009" s="14" t="e">
        <f>IF(RFQ!#REF!="",0,RFQ!#REF!)</f>
        <v>#REF!</v>
      </c>
      <c r="B1009" s="14" t="e">
        <f>IF(C995=0,0,"FID "&amp;RFQ!#REF!)</f>
        <v>#REF!</v>
      </c>
      <c r="C1009" s="22" t="e">
        <f>RFQ!#REF!</f>
        <v>#REF!</v>
      </c>
    </row>
    <row r="1010" spans="1:4" x14ac:dyDescent="0.25">
      <c r="A1010" s="157" t="s">
        <v>35</v>
      </c>
      <c r="B1010" s="158"/>
      <c r="C1010" s="15" t="e">
        <f>RFQ!#REF!</f>
        <v>#REF!</v>
      </c>
    </row>
    <row r="1011" spans="1:4" x14ac:dyDescent="0.25">
      <c r="A1011" s="159" t="s">
        <v>36</v>
      </c>
      <c r="B1011" s="160"/>
      <c r="C1011" s="19" t="e">
        <f>RFQ!#REF!</f>
        <v>#REF!</v>
      </c>
    </row>
    <row r="1012" spans="1:4" x14ac:dyDescent="0.25">
      <c r="A1012" s="159" t="s">
        <v>37</v>
      </c>
      <c r="B1012" s="160"/>
      <c r="C1012" s="19" t="e">
        <f>RFQ!#REF!</f>
        <v>#REF!</v>
      </c>
    </row>
    <row r="1013" spans="1:4" x14ac:dyDescent="0.25">
      <c r="A1013" s="159" t="s">
        <v>38</v>
      </c>
      <c r="B1013" s="160"/>
      <c r="C1013" s="19" t="e">
        <f>RFQ!#REF!</f>
        <v>#REF!</v>
      </c>
      <c r="D1013" s="11"/>
    </row>
    <row r="1014" spans="1:4" x14ac:dyDescent="0.25">
      <c r="A1014" s="155" t="s">
        <v>39</v>
      </c>
      <c r="B1014" s="156"/>
      <c r="C1014" s="16"/>
      <c r="D1014" s="11"/>
    </row>
    <row r="1015" spans="1:4" ht="15.75" x14ac:dyDescent="0.3">
      <c r="A1015" s="153" t="s">
        <v>40</v>
      </c>
      <c r="B1015" s="154"/>
      <c r="C1015" s="36"/>
      <c r="D1015" s="12"/>
    </row>
    <row r="1016" spans="1:4" ht="15.75" x14ac:dyDescent="0.3">
      <c r="A1016" s="151" t="s">
        <v>41</v>
      </c>
      <c r="B1016" s="152"/>
      <c r="C1016" s="38"/>
      <c r="D1016" s="12"/>
    </row>
    <row r="1017" spans="1:4" x14ac:dyDescent="0.25">
      <c r="A1017" s="153" t="s">
        <v>42</v>
      </c>
      <c r="B1017" s="154"/>
      <c r="C1017" s="36"/>
    </row>
    <row r="1018" spans="1:4" x14ac:dyDescent="0.25">
      <c r="A1018" s="151" t="s">
        <v>43</v>
      </c>
      <c r="B1018" s="152"/>
      <c r="C1018" s="38"/>
    </row>
    <row r="1019" spans="1:4" x14ac:dyDescent="0.25">
      <c r="A1019" s="153" t="s">
        <v>44</v>
      </c>
      <c r="B1019" s="154"/>
      <c r="C1019" s="36"/>
    </row>
    <row r="1020" spans="1:4" x14ac:dyDescent="0.25">
      <c r="A1020" s="151" t="s">
        <v>45</v>
      </c>
      <c r="B1020" s="152"/>
      <c r="C1020" s="38"/>
    </row>
    <row r="1021" spans="1:4" x14ac:dyDescent="0.25">
      <c r="A1021" s="149" t="s">
        <v>46</v>
      </c>
      <c r="B1021" s="150"/>
      <c r="C1021" s="39"/>
    </row>
    <row r="1022" spans="1:4" x14ac:dyDescent="0.25">
      <c r="A1022" s="151" t="s">
        <v>47</v>
      </c>
      <c r="B1022" s="152"/>
      <c r="C1022" s="38"/>
    </row>
    <row r="1023" spans="1:4" ht="15.75" x14ac:dyDescent="0.25">
      <c r="A1023" s="14" t="e">
        <f>IF(RFQ!#REF!="",0,RFQ!#REF!)</f>
        <v>#REF!</v>
      </c>
      <c r="B1023" s="14" t="e">
        <f>IF(C1009=0,0,"FID "&amp;RFQ!#REF!)</f>
        <v>#REF!</v>
      </c>
      <c r="C1023" s="22" t="e">
        <f>RFQ!#REF!</f>
        <v>#REF!</v>
      </c>
    </row>
    <row r="1024" spans="1:4" x14ac:dyDescent="0.25">
      <c r="A1024" s="157" t="s">
        <v>35</v>
      </c>
      <c r="B1024" s="158"/>
      <c r="C1024" s="15" t="e">
        <f>RFQ!#REF!</f>
        <v>#REF!</v>
      </c>
    </row>
    <row r="1025" spans="1:3" x14ac:dyDescent="0.25">
      <c r="A1025" s="159" t="s">
        <v>36</v>
      </c>
      <c r="B1025" s="160"/>
      <c r="C1025" s="19" t="e">
        <f>RFQ!#REF!</f>
        <v>#REF!</v>
      </c>
    </row>
    <row r="1026" spans="1:3" x14ac:dyDescent="0.25">
      <c r="A1026" s="159" t="s">
        <v>37</v>
      </c>
      <c r="B1026" s="160"/>
      <c r="C1026" s="19" t="e">
        <f>RFQ!#REF!</f>
        <v>#REF!</v>
      </c>
    </row>
    <row r="1027" spans="1:3" x14ac:dyDescent="0.25">
      <c r="A1027" s="159" t="s">
        <v>38</v>
      </c>
      <c r="B1027" s="160"/>
      <c r="C1027" s="19" t="e">
        <f>RFQ!#REF!</f>
        <v>#REF!</v>
      </c>
    </row>
    <row r="1028" spans="1:3" x14ac:dyDescent="0.25">
      <c r="A1028" s="155" t="s">
        <v>39</v>
      </c>
      <c r="B1028" s="156"/>
      <c r="C1028" s="16"/>
    </row>
    <row r="1029" spans="1:3" x14ac:dyDescent="0.25">
      <c r="A1029" s="153" t="s">
        <v>40</v>
      </c>
      <c r="B1029" s="154"/>
      <c r="C1029" s="36"/>
    </row>
    <row r="1030" spans="1:3" x14ac:dyDescent="0.25">
      <c r="A1030" s="151" t="s">
        <v>41</v>
      </c>
      <c r="B1030" s="152"/>
      <c r="C1030" s="38"/>
    </row>
    <row r="1031" spans="1:3" x14ac:dyDescent="0.25">
      <c r="A1031" s="153" t="s">
        <v>42</v>
      </c>
      <c r="B1031" s="154"/>
      <c r="C1031" s="36"/>
    </row>
    <row r="1032" spans="1:3" x14ac:dyDescent="0.25">
      <c r="A1032" s="151" t="s">
        <v>43</v>
      </c>
      <c r="B1032" s="152"/>
      <c r="C1032" s="38"/>
    </row>
    <row r="1033" spans="1:3" x14ac:dyDescent="0.25">
      <c r="A1033" s="153" t="s">
        <v>44</v>
      </c>
      <c r="B1033" s="154"/>
      <c r="C1033" s="36"/>
    </row>
    <row r="1034" spans="1:3" x14ac:dyDescent="0.25">
      <c r="A1034" s="151" t="s">
        <v>45</v>
      </c>
      <c r="B1034" s="152"/>
      <c r="C1034" s="38"/>
    </row>
    <row r="1035" spans="1:3" x14ac:dyDescent="0.25">
      <c r="A1035" s="149" t="s">
        <v>46</v>
      </c>
      <c r="B1035" s="150"/>
      <c r="C1035" s="39"/>
    </row>
    <row r="1036" spans="1:3" x14ac:dyDescent="0.25">
      <c r="A1036" s="151" t="s">
        <v>47</v>
      </c>
      <c r="B1036" s="152"/>
      <c r="C1036" s="38"/>
    </row>
    <row r="1037" spans="1:3" ht="15.75" x14ac:dyDescent="0.25">
      <c r="A1037" s="14" t="e">
        <f>IF(RFQ!#REF!="",0,RFQ!#REF!)</f>
        <v>#REF!</v>
      </c>
      <c r="B1037" s="14" t="e">
        <f>IF(C1023=0,0,"FID "&amp;RFQ!#REF!)</f>
        <v>#REF!</v>
      </c>
      <c r="C1037" s="22" t="e">
        <f>RFQ!#REF!</f>
        <v>#REF!</v>
      </c>
    </row>
    <row r="1038" spans="1:3" x14ac:dyDescent="0.25">
      <c r="A1038" s="157" t="s">
        <v>35</v>
      </c>
      <c r="B1038" s="158"/>
      <c r="C1038" s="15" t="e">
        <f>RFQ!#REF!</f>
        <v>#REF!</v>
      </c>
    </row>
    <row r="1039" spans="1:3" x14ac:dyDescent="0.25">
      <c r="A1039" s="159" t="s">
        <v>36</v>
      </c>
      <c r="B1039" s="160"/>
      <c r="C1039" s="19" t="e">
        <f>RFQ!#REF!</f>
        <v>#REF!</v>
      </c>
    </row>
    <row r="1040" spans="1:3" x14ac:dyDescent="0.25">
      <c r="A1040" s="159" t="s">
        <v>37</v>
      </c>
      <c r="B1040" s="160"/>
      <c r="C1040" s="19" t="e">
        <f>RFQ!#REF!</f>
        <v>#REF!</v>
      </c>
    </row>
    <row r="1041" spans="1:3" x14ac:dyDescent="0.25">
      <c r="A1041" s="159" t="s">
        <v>38</v>
      </c>
      <c r="B1041" s="160"/>
      <c r="C1041" s="19" t="e">
        <f>RFQ!#REF!</f>
        <v>#REF!</v>
      </c>
    </row>
    <row r="1042" spans="1:3" x14ac:dyDescent="0.25">
      <c r="A1042" s="155" t="s">
        <v>39</v>
      </c>
      <c r="B1042" s="156"/>
      <c r="C1042" s="16"/>
    </row>
    <row r="1043" spans="1:3" x14ac:dyDescent="0.25">
      <c r="A1043" s="153" t="s">
        <v>40</v>
      </c>
      <c r="B1043" s="154"/>
      <c r="C1043" s="36"/>
    </row>
    <row r="1044" spans="1:3" x14ac:dyDescent="0.25">
      <c r="A1044" s="151" t="s">
        <v>41</v>
      </c>
      <c r="B1044" s="152"/>
      <c r="C1044" s="38"/>
    </row>
    <row r="1045" spans="1:3" x14ac:dyDescent="0.25">
      <c r="A1045" s="153" t="s">
        <v>42</v>
      </c>
      <c r="B1045" s="154"/>
      <c r="C1045" s="36"/>
    </row>
    <row r="1046" spans="1:3" x14ac:dyDescent="0.25">
      <c r="A1046" s="151" t="s">
        <v>43</v>
      </c>
      <c r="B1046" s="152"/>
      <c r="C1046" s="38"/>
    </row>
    <row r="1047" spans="1:3" x14ac:dyDescent="0.25">
      <c r="A1047" s="153" t="s">
        <v>44</v>
      </c>
      <c r="B1047" s="154"/>
      <c r="C1047" s="36"/>
    </row>
    <row r="1048" spans="1:3" x14ac:dyDescent="0.25">
      <c r="A1048" s="151" t="s">
        <v>45</v>
      </c>
      <c r="B1048" s="152"/>
      <c r="C1048" s="38"/>
    </row>
    <row r="1049" spans="1:3" x14ac:dyDescent="0.25">
      <c r="A1049" s="149" t="s">
        <v>46</v>
      </c>
      <c r="B1049" s="150"/>
      <c r="C1049" s="39"/>
    </row>
    <row r="1050" spans="1:3" x14ac:dyDescent="0.25">
      <c r="A1050" s="151" t="s">
        <v>47</v>
      </c>
      <c r="B1050" s="152"/>
      <c r="C1050" s="38"/>
    </row>
    <row r="1051" spans="1:3" ht="15.75" x14ac:dyDescent="0.25">
      <c r="A1051" s="14" t="e">
        <f>IF(RFQ!#REF!="",0,RFQ!#REF!)</f>
        <v>#REF!</v>
      </c>
      <c r="B1051" s="14" t="e">
        <f>IF(C1037=0,0,"FID "&amp;RFQ!#REF!)</f>
        <v>#REF!</v>
      </c>
      <c r="C1051" s="22" t="e">
        <f>RFQ!#REF!</f>
        <v>#REF!</v>
      </c>
    </row>
    <row r="1052" spans="1:3" x14ac:dyDescent="0.25">
      <c r="A1052" s="157" t="s">
        <v>35</v>
      </c>
      <c r="B1052" s="158"/>
      <c r="C1052" s="15" t="e">
        <f>RFQ!#REF!</f>
        <v>#REF!</v>
      </c>
    </row>
    <row r="1053" spans="1:3" x14ac:dyDescent="0.25">
      <c r="A1053" s="159" t="s">
        <v>36</v>
      </c>
      <c r="B1053" s="160"/>
      <c r="C1053" s="19" t="e">
        <f>RFQ!#REF!</f>
        <v>#REF!</v>
      </c>
    </row>
    <row r="1054" spans="1:3" x14ac:dyDescent="0.25">
      <c r="A1054" s="159" t="s">
        <v>37</v>
      </c>
      <c r="B1054" s="160"/>
      <c r="C1054" s="19" t="e">
        <f>RFQ!#REF!</f>
        <v>#REF!</v>
      </c>
    </row>
    <row r="1055" spans="1:3" x14ac:dyDescent="0.25">
      <c r="A1055" s="159" t="s">
        <v>38</v>
      </c>
      <c r="B1055" s="160"/>
      <c r="C1055" s="19" t="e">
        <f>RFQ!#REF!</f>
        <v>#REF!</v>
      </c>
    </row>
    <row r="1056" spans="1:3" x14ac:dyDescent="0.25">
      <c r="A1056" s="155" t="s">
        <v>39</v>
      </c>
      <c r="B1056" s="156"/>
      <c r="C1056" s="16"/>
    </row>
    <row r="1057" spans="1:3" x14ac:dyDescent="0.25">
      <c r="A1057" s="153" t="s">
        <v>40</v>
      </c>
      <c r="B1057" s="154"/>
      <c r="C1057" s="36"/>
    </row>
    <row r="1058" spans="1:3" x14ac:dyDescent="0.25">
      <c r="A1058" s="151" t="s">
        <v>41</v>
      </c>
      <c r="B1058" s="152"/>
      <c r="C1058" s="38"/>
    </row>
    <row r="1059" spans="1:3" x14ac:dyDescent="0.25">
      <c r="A1059" s="153" t="s">
        <v>42</v>
      </c>
      <c r="B1059" s="154"/>
      <c r="C1059" s="36"/>
    </row>
    <row r="1060" spans="1:3" x14ac:dyDescent="0.25">
      <c r="A1060" s="151" t="s">
        <v>43</v>
      </c>
      <c r="B1060" s="152"/>
      <c r="C1060" s="38"/>
    </row>
    <row r="1061" spans="1:3" x14ac:dyDescent="0.25">
      <c r="A1061" s="153" t="s">
        <v>44</v>
      </c>
      <c r="B1061" s="154"/>
      <c r="C1061" s="36"/>
    </row>
    <row r="1062" spans="1:3" x14ac:dyDescent="0.25">
      <c r="A1062" s="151" t="s">
        <v>45</v>
      </c>
      <c r="B1062" s="152"/>
      <c r="C1062" s="38"/>
    </row>
    <row r="1063" spans="1:3" x14ac:dyDescent="0.25">
      <c r="A1063" s="149" t="s">
        <v>46</v>
      </c>
      <c r="B1063" s="150"/>
      <c r="C1063" s="39"/>
    </row>
    <row r="1064" spans="1:3" x14ac:dyDescent="0.25">
      <c r="A1064" s="151" t="s">
        <v>47</v>
      </c>
      <c r="B1064" s="152"/>
      <c r="C1064" s="38"/>
    </row>
    <row r="1065" spans="1:3" ht="15.75" x14ac:dyDescent="0.25">
      <c r="A1065" s="14" t="e">
        <f>IF(RFQ!#REF!="",0,RFQ!#REF!)</f>
        <v>#REF!</v>
      </c>
      <c r="B1065" s="14" t="e">
        <f>IF(C1051=0,0,"FID "&amp;RFQ!#REF!)</f>
        <v>#REF!</v>
      </c>
      <c r="C1065" s="22" t="e">
        <f>RFQ!#REF!</f>
        <v>#REF!</v>
      </c>
    </row>
    <row r="1066" spans="1:3" x14ac:dyDescent="0.25">
      <c r="A1066" s="157" t="s">
        <v>35</v>
      </c>
      <c r="B1066" s="158"/>
      <c r="C1066" s="15" t="e">
        <f>RFQ!#REF!</f>
        <v>#REF!</v>
      </c>
    </row>
    <row r="1067" spans="1:3" x14ac:dyDescent="0.25">
      <c r="A1067" s="159" t="s">
        <v>36</v>
      </c>
      <c r="B1067" s="160"/>
      <c r="C1067" s="19" t="e">
        <f>RFQ!#REF!</f>
        <v>#REF!</v>
      </c>
    </row>
    <row r="1068" spans="1:3" x14ac:dyDescent="0.25">
      <c r="A1068" s="159" t="s">
        <v>37</v>
      </c>
      <c r="B1068" s="160"/>
      <c r="C1068" s="19" t="e">
        <f>RFQ!#REF!</f>
        <v>#REF!</v>
      </c>
    </row>
    <row r="1069" spans="1:3" x14ac:dyDescent="0.25">
      <c r="A1069" s="159" t="s">
        <v>38</v>
      </c>
      <c r="B1069" s="160"/>
      <c r="C1069" s="19" t="e">
        <f>RFQ!#REF!</f>
        <v>#REF!</v>
      </c>
    </row>
    <row r="1070" spans="1:3" x14ac:dyDescent="0.25">
      <c r="A1070" s="155" t="s">
        <v>39</v>
      </c>
      <c r="B1070" s="156"/>
      <c r="C1070" s="16"/>
    </row>
    <row r="1071" spans="1:3" x14ac:dyDescent="0.25">
      <c r="A1071" s="153" t="s">
        <v>40</v>
      </c>
      <c r="B1071" s="154"/>
      <c r="C1071" s="36"/>
    </row>
    <row r="1072" spans="1:3" x14ac:dyDescent="0.25">
      <c r="A1072" s="151" t="s">
        <v>41</v>
      </c>
      <c r="B1072" s="152"/>
      <c r="C1072" s="38"/>
    </row>
    <row r="1073" spans="1:3" x14ac:dyDescent="0.25">
      <c r="A1073" s="153" t="s">
        <v>42</v>
      </c>
      <c r="B1073" s="154"/>
      <c r="C1073" s="36"/>
    </row>
    <row r="1074" spans="1:3" x14ac:dyDescent="0.25">
      <c r="A1074" s="151" t="s">
        <v>43</v>
      </c>
      <c r="B1074" s="152"/>
      <c r="C1074" s="38"/>
    </row>
    <row r="1075" spans="1:3" x14ac:dyDescent="0.25">
      <c r="A1075" s="153" t="s">
        <v>44</v>
      </c>
      <c r="B1075" s="154"/>
      <c r="C1075" s="36"/>
    </row>
    <row r="1076" spans="1:3" x14ac:dyDescent="0.25">
      <c r="A1076" s="151" t="s">
        <v>45</v>
      </c>
      <c r="B1076" s="152"/>
      <c r="C1076" s="38"/>
    </row>
    <row r="1077" spans="1:3" x14ac:dyDescent="0.25">
      <c r="A1077" s="149" t="s">
        <v>46</v>
      </c>
      <c r="B1077" s="150"/>
      <c r="C1077" s="39"/>
    </row>
    <row r="1078" spans="1:3" x14ac:dyDescent="0.25">
      <c r="A1078" s="151" t="s">
        <v>47</v>
      </c>
      <c r="B1078" s="152"/>
      <c r="C1078" s="38"/>
    </row>
    <row r="1079" spans="1:3" ht="15.75" x14ac:dyDescent="0.25">
      <c r="A1079" s="14" t="e">
        <f>IF(RFQ!#REF!="",0,RFQ!#REF!)</f>
        <v>#REF!</v>
      </c>
      <c r="B1079" s="14" t="e">
        <f>IF(C1065=0,0,"FID "&amp;RFQ!#REF!)</f>
        <v>#REF!</v>
      </c>
      <c r="C1079" s="22" t="e">
        <f>RFQ!#REF!</f>
        <v>#REF!</v>
      </c>
    </row>
    <row r="1080" spans="1:3" x14ac:dyDescent="0.25">
      <c r="A1080" s="157" t="s">
        <v>35</v>
      </c>
      <c r="B1080" s="158"/>
      <c r="C1080" s="15" t="e">
        <f>RFQ!#REF!</f>
        <v>#REF!</v>
      </c>
    </row>
    <row r="1081" spans="1:3" x14ac:dyDescent="0.25">
      <c r="A1081" s="159" t="s">
        <v>36</v>
      </c>
      <c r="B1081" s="160"/>
      <c r="C1081" s="19" t="e">
        <f>RFQ!#REF!</f>
        <v>#REF!</v>
      </c>
    </row>
    <row r="1082" spans="1:3" x14ac:dyDescent="0.25">
      <c r="A1082" s="159" t="s">
        <v>37</v>
      </c>
      <c r="B1082" s="160"/>
      <c r="C1082" s="19" t="e">
        <f>RFQ!#REF!</f>
        <v>#REF!</v>
      </c>
    </row>
    <row r="1083" spans="1:3" x14ac:dyDescent="0.25">
      <c r="A1083" s="159" t="s">
        <v>38</v>
      </c>
      <c r="B1083" s="160"/>
      <c r="C1083" s="19" t="e">
        <f>RFQ!#REF!</f>
        <v>#REF!</v>
      </c>
    </row>
    <row r="1084" spans="1:3" x14ac:dyDescent="0.25">
      <c r="A1084" s="155" t="s">
        <v>39</v>
      </c>
      <c r="B1084" s="156"/>
      <c r="C1084" s="16"/>
    </row>
    <row r="1085" spans="1:3" x14ac:dyDescent="0.25">
      <c r="A1085" s="153" t="s">
        <v>40</v>
      </c>
      <c r="B1085" s="154"/>
      <c r="C1085" s="36"/>
    </row>
    <row r="1086" spans="1:3" x14ac:dyDescent="0.25">
      <c r="A1086" s="151" t="s">
        <v>41</v>
      </c>
      <c r="B1086" s="152"/>
      <c r="C1086" s="38"/>
    </row>
    <row r="1087" spans="1:3" x14ac:dyDescent="0.25">
      <c r="A1087" s="153" t="s">
        <v>42</v>
      </c>
      <c r="B1087" s="154"/>
      <c r="C1087" s="36"/>
    </row>
    <row r="1088" spans="1:3" x14ac:dyDescent="0.25">
      <c r="A1088" s="151" t="s">
        <v>43</v>
      </c>
      <c r="B1088" s="152"/>
      <c r="C1088" s="38"/>
    </row>
    <row r="1089" spans="1:3" x14ac:dyDescent="0.25">
      <c r="A1089" s="153" t="s">
        <v>44</v>
      </c>
      <c r="B1089" s="154"/>
      <c r="C1089" s="36"/>
    </row>
    <row r="1090" spans="1:3" x14ac:dyDescent="0.25">
      <c r="A1090" s="151" t="s">
        <v>45</v>
      </c>
      <c r="B1090" s="152"/>
      <c r="C1090" s="38"/>
    </row>
    <row r="1091" spans="1:3" x14ac:dyDescent="0.25">
      <c r="A1091" s="149" t="s">
        <v>46</v>
      </c>
      <c r="B1091" s="150"/>
      <c r="C1091" s="39"/>
    </row>
    <row r="1092" spans="1:3" x14ac:dyDescent="0.25">
      <c r="A1092" s="151" t="s">
        <v>47</v>
      </c>
      <c r="B1092" s="152"/>
      <c r="C1092" s="38"/>
    </row>
    <row r="1093" spans="1:3" ht="15.75" x14ac:dyDescent="0.25">
      <c r="A1093" s="14" t="e">
        <f>IF(RFQ!#REF!="",0,RFQ!#REF!)</f>
        <v>#REF!</v>
      </c>
      <c r="B1093" s="14" t="e">
        <f>IF(C1079=0,0,"FID "&amp;RFQ!#REF!)</f>
        <v>#REF!</v>
      </c>
      <c r="C1093" s="22" t="e">
        <f>RFQ!#REF!</f>
        <v>#REF!</v>
      </c>
    </row>
    <row r="1094" spans="1:3" x14ac:dyDescent="0.25">
      <c r="A1094" s="157" t="s">
        <v>35</v>
      </c>
      <c r="B1094" s="158"/>
      <c r="C1094" s="15" t="e">
        <f>RFQ!#REF!</f>
        <v>#REF!</v>
      </c>
    </row>
    <row r="1095" spans="1:3" x14ac:dyDescent="0.25">
      <c r="A1095" s="159" t="s">
        <v>36</v>
      </c>
      <c r="B1095" s="160"/>
      <c r="C1095" s="19" t="e">
        <f>RFQ!#REF!</f>
        <v>#REF!</v>
      </c>
    </row>
    <row r="1096" spans="1:3" x14ac:dyDescent="0.25">
      <c r="A1096" s="159" t="s">
        <v>37</v>
      </c>
      <c r="B1096" s="160"/>
      <c r="C1096" s="19" t="e">
        <f>RFQ!#REF!</f>
        <v>#REF!</v>
      </c>
    </row>
    <row r="1097" spans="1:3" x14ac:dyDescent="0.25">
      <c r="A1097" s="159" t="s">
        <v>38</v>
      </c>
      <c r="B1097" s="160"/>
      <c r="C1097" s="19" t="e">
        <f>RFQ!#REF!</f>
        <v>#REF!</v>
      </c>
    </row>
    <row r="1098" spans="1:3" x14ac:dyDescent="0.25">
      <c r="A1098" s="155" t="s">
        <v>39</v>
      </c>
      <c r="B1098" s="156"/>
      <c r="C1098" s="16"/>
    </row>
    <row r="1099" spans="1:3" x14ac:dyDescent="0.25">
      <c r="A1099" s="153" t="s">
        <v>40</v>
      </c>
      <c r="B1099" s="154"/>
      <c r="C1099" s="36"/>
    </row>
    <row r="1100" spans="1:3" x14ac:dyDescent="0.25">
      <c r="A1100" s="151" t="s">
        <v>41</v>
      </c>
      <c r="B1100" s="152"/>
      <c r="C1100" s="38"/>
    </row>
    <row r="1101" spans="1:3" x14ac:dyDescent="0.25">
      <c r="A1101" s="153" t="s">
        <v>42</v>
      </c>
      <c r="B1101" s="154"/>
      <c r="C1101" s="36"/>
    </row>
    <row r="1102" spans="1:3" x14ac:dyDescent="0.25">
      <c r="A1102" s="151" t="s">
        <v>43</v>
      </c>
      <c r="B1102" s="152"/>
      <c r="C1102" s="38"/>
    </row>
    <row r="1103" spans="1:3" x14ac:dyDescent="0.25">
      <c r="A1103" s="153" t="s">
        <v>44</v>
      </c>
      <c r="B1103" s="154"/>
      <c r="C1103" s="36"/>
    </row>
    <row r="1104" spans="1:3" x14ac:dyDescent="0.25">
      <c r="A1104" s="151" t="s">
        <v>45</v>
      </c>
      <c r="B1104" s="152"/>
      <c r="C1104" s="38"/>
    </row>
    <row r="1105" spans="1:3" x14ac:dyDescent="0.25">
      <c r="A1105" s="149" t="s">
        <v>46</v>
      </c>
      <c r="B1105" s="150"/>
      <c r="C1105" s="39"/>
    </row>
    <row r="1106" spans="1:3" x14ac:dyDescent="0.25">
      <c r="A1106" s="151" t="s">
        <v>47</v>
      </c>
      <c r="B1106" s="152"/>
      <c r="C1106" s="38"/>
    </row>
    <row r="1107" spans="1:3" ht="15.75" x14ac:dyDescent="0.25">
      <c r="A1107" s="14" t="e">
        <f>IF(RFQ!#REF!="",0,RFQ!#REF!)</f>
        <v>#REF!</v>
      </c>
      <c r="B1107" s="14" t="e">
        <f>IF(C1093=0,0,"FID "&amp;RFQ!#REF!)</f>
        <v>#REF!</v>
      </c>
      <c r="C1107" s="22" t="e">
        <f>RFQ!#REF!</f>
        <v>#REF!</v>
      </c>
    </row>
    <row r="1108" spans="1:3" x14ac:dyDescent="0.25">
      <c r="A1108" s="157" t="s">
        <v>35</v>
      </c>
      <c r="B1108" s="158"/>
      <c r="C1108" s="15" t="e">
        <f>RFQ!#REF!</f>
        <v>#REF!</v>
      </c>
    </row>
    <row r="1109" spans="1:3" x14ac:dyDescent="0.25">
      <c r="A1109" s="159" t="s">
        <v>36</v>
      </c>
      <c r="B1109" s="160"/>
      <c r="C1109" s="19" t="e">
        <f>RFQ!#REF!</f>
        <v>#REF!</v>
      </c>
    </row>
    <row r="1110" spans="1:3" x14ac:dyDescent="0.25">
      <c r="A1110" s="159" t="s">
        <v>37</v>
      </c>
      <c r="B1110" s="160"/>
      <c r="C1110" s="19" t="e">
        <f>RFQ!#REF!</f>
        <v>#REF!</v>
      </c>
    </row>
    <row r="1111" spans="1:3" x14ac:dyDescent="0.25">
      <c r="A1111" s="159" t="s">
        <v>38</v>
      </c>
      <c r="B1111" s="160"/>
      <c r="C1111" s="19" t="e">
        <f>RFQ!#REF!</f>
        <v>#REF!</v>
      </c>
    </row>
    <row r="1112" spans="1:3" x14ac:dyDescent="0.25">
      <c r="A1112" s="155" t="s">
        <v>39</v>
      </c>
      <c r="B1112" s="156"/>
      <c r="C1112" s="16"/>
    </row>
    <row r="1113" spans="1:3" x14ac:dyDescent="0.25">
      <c r="A1113" s="153" t="s">
        <v>40</v>
      </c>
      <c r="B1113" s="154"/>
      <c r="C1113" s="36"/>
    </row>
    <row r="1114" spans="1:3" x14ac:dyDescent="0.25">
      <c r="A1114" s="151" t="s">
        <v>41</v>
      </c>
      <c r="B1114" s="152"/>
      <c r="C1114" s="38"/>
    </row>
    <row r="1115" spans="1:3" x14ac:dyDescent="0.25">
      <c r="A1115" s="153" t="s">
        <v>42</v>
      </c>
      <c r="B1115" s="154"/>
      <c r="C1115" s="36"/>
    </row>
    <row r="1116" spans="1:3" x14ac:dyDescent="0.25">
      <c r="A1116" s="151" t="s">
        <v>43</v>
      </c>
      <c r="B1116" s="152"/>
      <c r="C1116" s="38"/>
    </row>
    <row r="1117" spans="1:3" x14ac:dyDescent="0.25">
      <c r="A1117" s="153" t="s">
        <v>44</v>
      </c>
      <c r="B1117" s="154"/>
      <c r="C1117" s="36"/>
    </row>
    <row r="1118" spans="1:3" x14ac:dyDescent="0.25">
      <c r="A1118" s="151" t="s">
        <v>45</v>
      </c>
      <c r="B1118" s="152"/>
      <c r="C1118" s="38"/>
    </row>
    <row r="1119" spans="1:3" x14ac:dyDescent="0.25">
      <c r="A1119" s="149" t="s">
        <v>46</v>
      </c>
      <c r="B1119" s="150"/>
      <c r="C1119" s="39"/>
    </row>
    <row r="1120" spans="1:3" x14ac:dyDescent="0.25">
      <c r="A1120" s="151" t="s">
        <v>47</v>
      </c>
      <c r="B1120" s="152"/>
      <c r="C1120" s="38"/>
    </row>
    <row r="1121" spans="1:3" ht="15.75" x14ac:dyDescent="0.25">
      <c r="A1121" s="14" t="e">
        <f>IF(RFQ!#REF!="",0,RFQ!#REF!)</f>
        <v>#REF!</v>
      </c>
      <c r="B1121" s="14" t="e">
        <f>IF(C1107=0,0,"FID "&amp;RFQ!#REF!)</f>
        <v>#REF!</v>
      </c>
      <c r="C1121" s="22" t="e">
        <f>RFQ!#REF!</f>
        <v>#REF!</v>
      </c>
    </row>
    <row r="1122" spans="1:3" x14ac:dyDescent="0.25">
      <c r="A1122" s="157" t="s">
        <v>35</v>
      </c>
      <c r="B1122" s="158"/>
      <c r="C1122" s="15" t="e">
        <f>RFQ!#REF!</f>
        <v>#REF!</v>
      </c>
    </row>
    <row r="1123" spans="1:3" x14ac:dyDescent="0.25">
      <c r="A1123" s="159" t="s">
        <v>36</v>
      </c>
      <c r="B1123" s="160"/>
      <c r="C1123" s="19" t="e">
        <f>RFQ!#REF!</f>
        <v>#REF!</v>
      </c>
    </row>
    <row r="1124" spans="1:3" x14ac:dyDescent="0.25">
      <c r="A1124" s="159" t="s">
        <v>37</v>
      </c>
      <c r="B1124" s="160"/>
      <c r="C1124" s="19" t="e">
        <f>RFQ!#REF!</f>
        <v>#REF!</v>
      </c>
    </row>
    <row r="1125" spans="1:3" x14ac:dyDescent="0.25">
      <c r="A1125" s="159" t="s">
        <v>38</v>
      </c>
      <c r="B1125" s="160"/>
      <c r="C1125" s="19" t="e">
        <f>RFQ!#REF!</f>
        <v>#REF!</v>
      </c>
    </row>
    <row r="1126" spans="1:3" x14ac:dyDescent="0.25">
      <c r="A1126" s="155" t="s">
        <v>39</v>
      </c>
      <c r="B1126" s="156"/>
      <c r="C1126" s="16"/>
    </row>
    <row r="1127" spans="1:3" x14ac:dyDescent="0.25">
      <c r="A1127" s="153" t="s">
        <v>40</v>
      </c>
      <c r="B1127" s="154"/>
      <c r="C1127" s="36"/>
    </row>
    <row r="1128" spans="1:3" x14ac:dyDescent="0.25">
      <c r="A1128" s="151" t="s">
        <v>41</v>
      </c>
      <c r="B1128" s="152"/>
      <c r="C1128" s="38"/>
    </row>
    <row r="1129" spans="1:3" x14ac:dyDescent="0.25">
      <c r="A1129" s="153" t="s">
        <v>42</v>
      </c>
      <c r="B1129" s="154"/>
      <c r="C1129" s="36"/>
    </row>
    <row r="1130" spans="1:3" x14ac:dyDescent="0.25">
      <c r="A1130" s="151" t="s">
        <v>43</v>
      </c>
      <c r="B1130" s="152"/>
      <c r="C1130" s="38"/>
    </row>
    <row r="1131" spans="1:3" x14ac:dyDescent="0.25">
      <c r="A1131" s="153" t="s">
        <v>44</v>
      </c>
      <c r="B1131" s="154"/>
      <c r="C1131" s="36"/>
    </row>
    <row r="1132" spans="1:3" x14ac:dyDescent="0.25">
      <c r="A1132" s="151" t="s">
        <v>45</v>
      </c>
      <c r="B1132" s="152"/>
      <c r="C1132" s="38"/>
    </row>
    <row r="1133" spans="1:3" x14ac:dyDescent="0.25">
      <c r="A1133" s="149" t="s">
        <v>46</v>
      </c>
      <c r="B1133" s="150"/>
      <c r="C1133" s="39"/>
    </row>
    <row r="1134" spans="1:3" x14ac:dyDescent="0.25">
      <c r="A1134" s="151" t="s">
        <v>47</v>
      </c>
      <c r="B1134" s="152"/>
      <c r="C1134" s="38"/>
    </row>
  </sheetData>
  <sheetProtection formatRows="0" insertRows="0"/>
  <customSheetViews>
    <customSheetView guid="{68E7B74C-C3B2-4B0B-8DBB-C6EB7678BF05}" topLeftCell="A685">
      <selection activeCell="J795" sqref="J795"/>
      <pageMargins left="0" right="0" top="0" bottom="0" header="0" footer="0"/>
      <pageSetup fitToHeight="100" orientation="landscape"/>
    </customSheetView>
    <customSheetView guid="{056DF672-C699-49F3-9F8F-FF611E6486A3}" showPageBreaks="1" printArea="1" topLeftCell="A685">
      <selection activeCell="J795" sqref="J795"/>
      <pageMargins left="0" right="0" top="0" bottom="0" header="0" footer="0"/>
      <pageSetup fitToHeight="100" orientation="landscape"/>
    </customSheetView>
  </customSheetViews>
  <mergeCells count="1053">
    <mergeCell ref="A796:B796"/>
    <mergeCell ref="A797:B797"/>
    <mergeCell ref="A798:B798"/>
    <mergeCell ref="A789:B789"/>
    <mergeCell ref="A790:B790"/>
    <mergeCell ref="A791:B791"/>
    <mergeCell ref="A792:B792"/>
    <mergeCell ref="A793:B793"/>
    <mergeCell ref="A787:B787"/>
    <mergeCell ref="A788:B788"/>
    <mergeCell ref="A752:B752"/>
    <mergeCell ref="A753:B753"/>
    <mergeCell ref="A754:B754"/>
    <mergeCell ref="A755:B755"/>
    <mergeCell ref="A756:B756"/>
    <mergeCell ref="A758:B758"/>
    <mergeCell ref="A759:B759"/>
    <mergeCell ref="A760:B760"/>
    <mergeCell ref="A761:B761"/>
    <mergeCell ref="A762:B762"/>
    <mergeCell ref="A763:B763"/>
    <mergeCell ref="A764:B764"/>
    <mergeCell ref="A765:B765"/>
    <mergeCell ref="A766:B766"/>
    <mergeCell ref="A781:B781"/>
    <mergeCell ref="A782:B782"/>
    <mergeCell ref="A783:B783"/>
    <mergeCell ref="A784:B784"/>
    <mergeCell ref="A786:B786"/>
    <mergeCell ref="A776:B776"/>
    <mergeCell ref="A36:B36"/>
    <mergeCell ref="A708:B708"/>
    <mergeCell ref="A709:B709"/>
    <mergeCell ref="A710:B710"/>
    <mergeCell ref="A711:B711"/>
    <mergeCell ref="A712:B712"/>
    <mergeCell ref="A703:B703"/>
    <mergeCell ref="A704:B704"/>
    <mergeCell ref="A777:B777"/>
    <mergeCell ref="A778:B778"/>
    <mergeCell ref="A779:B779"/>
    <mergeCell ref="A780:B780"/>
    <mergeCell ref="A770:B770"/>
    <mergeCell ref="A772:B772"/>
    <mergeCell ref="A773:B773"/>
    <mergeCell ref="A774:B774"/>
    <mergeCell ref="A775:B775"/>
    <mergeCell ref="A717:B717"/>
    <mergeCell ref="A718:B718"/>
    <mergeCell ref="A719:B719"/>
    <mergeCell ref="A720:B720"/>
    <mergeCell ref="A721:B721"/>
    <mergeCell ref="A722:B722"/>
    <mergeCell ref="A723:B723"/>
    <mergeCell ref="A724:B724"/>
    <mergeCell ref="A725:B725"/>
    <mergeCell ref="A726:B726"/>
    <mergeCell ref="A727:B727"/>
    <mergeCell ref="A767:B767"/>
    <mergeCell ref="A768:B768"/>
    <mergeCell ref="A769:B769"/>
    <mergeCell ref="A734:B734"/>
    <mergeCell ref="A38:B38"/>
    <mergeCell ref="A39:B39"/>
    <mergeCell ref="A30:B30"/>
    <mergeCell ref="A31:B31"/>
    <mergeCell ref="A32:B32"/>
    <mergeCell ref="A33:B33"/>
    <mergeCell ref="A34:B34"/>
    <mergeCell ref="A40:B40"/>
    <mergeCell ref="A744:B744"/>
    <mergeCell ref="A745:B745"/>
    <mergeCell ref="A746:B746"/>
    <mergeCell ref="A747:B747"/>
    <mergeCell ref="A2:B2"/>
    <mergeCell ref="A3:B3"/>
    <mergeCell ref="A4:B4"/>
    <mergeCell ref="A5:B5"/>
    <mergeCell ref="A6:B6"/>
    <mergeCell ref="A713:B713"/>
    <mergeCell ref="A714:B714"/>
    <mergeCell ref="A7:B7"/>
    <mergeCell ref="A8:B8"/>
    <mergeCell ref="A10:B10"/>
    <mergeCell ref="A9:B9"/>
    <mergeCell ref="A11:B11"/>
    <mergeCell ref="A674:B674"/>
    <mergeCell ref="A675:B675"/>
    <mergeCell ref="A676:B676"/>
    <mergeCell ref="A677:B677"/>
    <mergeCell ref="A678:B678"/>
    <mergeCell ref="A679:B679"/>
    <mergeCell ref="A680:B680"/>
    <mergeCell ref="A35:B35"/>
    <mergeCell ref="A102:B102"/>
    <mergeCell ref="A94:B94"/>
    <mergeCell ref="A95:B95"/>
    <mergeCell ref="A96:B96"/>
    <mergeCell ref="A97:B97"/>
    <mergeCell ref="A98:B98"/>
    <mergeCell ref="A100:B100"/>
    <mergeCell ref="A101:B101"/>
    <mergeCell ref="A705:B705"/>
    <mergeCell ref="A706:B706"/>
    <mergeCell ref="A707:B707"/>
    <mergeCell ref="A697:B697"/>
    <mergeCell ref="A59:B59"/>
    <mergeCell ref="A60:B60"/>
    <mergeCell ref="A61:B61"/>
    <mergeCell ref="A12:B12"/>
    <mergeCell ref="A13:B13"/>
    <mergeCell ref="A14:B14"/>
    <mergeCell ref="A25:B25"/>
    <mergeCell ref="A26:B26"/>
    <mergeCell ref="A16:B16"/>
    <mergeCell ref="A17:B17"/>
    <mergeCell ref="A18:B18"/>
    <mergeCell ref="A19:B19"/>
    <mergeCell ref="A20:B20"/>
    <mergeCell ref="A27:B27"/>
    <mergeCell ref="A28:B28"/>
    <mergeCell ref="A21:B21"/>
    <mergeCell ref="A22:B22"/>
    <mergeCell ref="A23:B23"/>
    <mergeCell ref="A24:B24"/>
    <mergeCell ref="A37:B37"/>
    <mergeCell ref="A86:B86"/>
    <mergeCell ref="A87:B87"/>
    <mergeCell ref="A88:B88"/>
    <mergeCell ref="A89:B89"/>
    <mergeCell ref="A90:B90"/>
    <mergeCell ref="A91:B91"/>
    <mergeCell ref="A92:B92"/>
    <mergeCell ref="A93:B93"/>
    <mergeCell ref="A41:B41"/>
    <mergeCell ref="A42:B42"/>
    <mergeCell ref="A44:B44"/>
    <mergeCell ref="A45:B45"/>
    <mergeCell ref="A46:B46"/>
    <mergeCell ref="A47:B47"/>
    <mergeCell ref="A48:B48"/>
    <mergeCell ref="A49:B49"/>
    <mergeCell ref="A50:B50"/>
    <mergeCell ref="A51:B51"/>
    <mergeCell ref="A52:B52"/>
    <mergeCell ref="A53:B53"/>
    <mergeCell ref="A54:B54"/>
    <mergeCell ref="A55:B55"/>
    <mergeCell ref="A56:B56"/>
    <mergeCell ref="A58:B58"/>
    <mergeCell ref="A128:B128"/>
    <mergeCell ref="A129:B129"/>
    <mergeCell ref="A130:B130"/>
    <mergeCell ref="A131:B131"/>
    <mergeCell ref="A132:B132"/>
    <mergeCell ref="A133:B133"/>
    <mergeCell ref="A134:B134"/>
    <mergeCell ref="A135:B135"/>
    <mergeCell ref="A103:B103"/>
    <mergeCell ref="A104:B104"/>
    <mergeCell ref="A62:B62"/>
    <mergeCell ref="A63:B63"/>
    <mergeCell ref="A64:B64"/>
    <mergeCell ref="A65:B65"/>
    <mergeCell ref="A66:B66"/>
    <mergeCell ref="A67:B67"/>
    <mergeCell ref="A68:B68"/>
    <mergeCell ref="A69:B69"/>
    <mergeCell ref="A70:B70"/>
    <mergeCell ref="A72:B72"/>
    <mergeCell ref="A73:B73"/>
    <mergeCell ref="A74:B74"/>
    <mergeCell ref="A75:B75"/>
    <mergeCell ref="A76:B76"/>
    <mergeCell ref="A77:B77"/>
    <mergeCell ref="A78:B78"/>
    <mergeCell ref="A79:B79"/>
    <mergeCell ref="A80:B80"/>
    <mergeCell ref="A81:B81"/>
    <mergeCell ref="A82:B82"/>
    <mergeCell ref="A83:B83"/>
    <mergeCell ref="A84:B84"/>
    <mergeCell ref="A162:B162"/>
    <mergeCell ref="A163:B163"/>
    <mergeCell ref="A164:B164"/>
    <mergeCell ref="A165:B165"/>
    <mergeCell ref="A166:B166"/>
    <mergeCell ref="A167:B167"/>
    <mergeCell ref="A168:B168"/>
    <mergeCell ref="A170:B170"/>
    <mergeCell ref="A145:B145"/>
    <mergeCell ref="A146:B146"/>
    <mergeCell ref="A147:B147"/>
    <mergeCell ref="A105:B105"/>
    <mergeCell ref="A106:B106"/>
    <mergeCell ref="A107:B107"/>
    <mergeCell ref="A108:B108"/>
    <mergeCell ref="A109:B109"/>
    <mergeCell ref="A110:B110"/>
    <mergeCell ref="A111:B111"/>
    <mergeCell ref="A112:B112"/>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231:B231"/>
    <mergeCell ref="A223:B223"/>
    <mergeCell ref="A224:B224"/>
    <mergeCell ref="A226:B226"/>
    <mergeCell ref="A227:B227"/>
    <mergeCell ref="A228:B228"/>
    <mergeCell ref="A229:B229"/>
    <mergeCell ref="A230:B230"/>
    <mergeCell ref="A136:B136"/>
    <mergeCell ref="A137:B137"/>
    <mergeCell ref="A138:B138"/>
    <mergeCell ref="A139:B139"/>
    <mergeCell ref="A140:B140"/>
    <mergeCell ref="A142:B142"/>
    <mergeCell ref="A143:B143"/>
    <mergeCell ref="A144:B144"/>
    <mergeCell ref="A188:B188"/>
    <mergeCell ref="A189:B189"/>
    <mergeCell ref="A190:B190"/>
    <mergeCell ref="A148:B148"/>
    <mergeCell ref="A149:B149"/>
    <mergeCell ref="A150:B150"/>
    <mergeCell ref="A151:B151"/>
    <mergeCell ref="A152:B152"/>
    <mergeCell ref="A153:B153"/>
    <mergeCell ref="A154:B154"/>
    <mergeCell ref="A156:B156"/>
    <mergeCell ref="A157:B157"/>
    <mergeCell ref="A158:B158"/>
    <mergeCell ref="A159:B159"/>
    <mergeCell ref="A160:B160"/>
    <mergeCell ref="A161:B161"/>
    <mergeCell ref="A215:B215"/>
    <mergeCell ref="A216:B216"/>
    <mergeCell ref="A217:B217"/>
    <mergeCell ref="A218:B218"/>
    <mergeCell ref="A219:B219"/>
    <mergeCell ref="A220:B220"/>
    <mergeCell ref="A221:B221"/>
    <mergeCell ref="A222:B222"/>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4:B184"/>
    <mergeCell ref="A185:B185"/>
    <mergeCell ref="A186:B186"/>
    <mergeCell ref="A187:B187"/>
    <mergeCell ref="A257:B257"/>
    <mergeCell ref="A258:B258"/>
    <mergeCell ref="A259:B259"/>
    <mergeCell ref="A260:B260"/>
    <mergeCell ref="A261:B261"/>
    <mergeCell ref="A262:B262"/>
    <mergeCell ref="A263:B263"/>
    <mergeCell ref="A264:B264"/>
    <mergeCell ref="A232:B232"/>
    <mergeCell ref="A233:B233"/>
    <mergeCell ref="A191:B191"/>
    <mergeCell ref="A192:B192"/>
    <mergeCell ref="A193:B193"/>
    <mergeCell ref="A194:B194"/>
    <mergeCell ref="A195:B195"/>
    <mergeCell ref="A196:B196"/>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2:B212"/>
    <mergeCell ref="A213:B213"/>
    <mergeCell ref="A214:B214"/>
    <mergeCell ref="A291:B291"/>
    <mergeCell ref="A292:B292"/>
    <mergeCell ref="A293:B293"/>
    <mergeCell ref="A294:B294"/>
    <mergeCell ref="A296:B296"/>
    <mergeCell ref="A297:B297"/>
    <mergeCell ref="A298:B298"/>
    <mergeCell ref="A299:B299"/>
    <mergeCell ref="A274:B274"/>
    <mergeCell ref="A275:B275"/>
    <mergeCell ref="A276:B276"/>
    <mergeCell ref="A234:B234"/>
    <mergeCell ref="A235:B235"/>
    <mergeCell ref="A236:B236"/>
    <mergeCell ref="A237:B237"/>
    <mergeCell ref="A238:B238"/>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4:B254"/>
    <mergeCell ref="A255:B255"/>
    <mergeCell ref="A256:B256"/>
    <mergeCell ref="A360:B360"/>
    <mergeCell ref="A353:B353"/>
    <mergeCell ref="A354:B354"/>
    <mergeCell ref="A355:B355"/>
    <mergeCell ref="A356:B356"/>
    <mergeCell ref="A357:B357"/>
    <mergeCell ref="A358:B358"/>
    <mergeCell ref="A359:B359"/>
    <mergeCell ref="A265:B265"/>
    <mergeCell ref="A266:B266"/>
    <mergeCell ref="A268:B268"/>
    <mergeCell ref="A269:B269"/>
    <mergeCell ref="A270:B270"/>
    <mergeCell ref="A271:B271"/>
    <mergeCell ref="A272:B272"/>
    <mergeCell ref="A273:B273"/>
    <mergeCell ref="A317:B317"/>
    <mergeCell ref="A318:B318"/>
    <mergeCell ref="A319:B319"/>
    <mergeCell ref="A277:B277"/>
    <mergeCell ref="A278:B278"/>
    <mergeCell ref="A279:B279"/>
    <mergeCell ref="A280:B280"/>
    <mergeCell ref="A282:B282"/>
    <mergeCell ref="A283:B283"/>
    <mergeCell ref="A284:B284"/>
    <mergeCell ref="A285:B285"/>
    <mergeCell ref="A286:B286"/>
    <mergeCell ref="A287:B287"/>
    <mergeCell ref="A288:B288"/>
    <mergeCell ref="A289:B289"/>
    <mergeCell ref="A290:B290"/>
    <mergeCell ref="A344:B344"/>
    <mergeCell ref="A345:B345"/>
    <mergeCell ref="A346:B346"/>
    <mergeCell ref="A347:B347"/>
    <mergeCell ref="A348:B348"/>
    <mergeCell ref="A349:B349"/>
    <mergeCell ref="A350:B350"/>
    <mergeCell ref="A352:B352"/>
    <mergeCell ref="A300:B300"/>
    <mergeCell ref="A301:B301"/>
    <mergeCell ref="A302:B302"/>
    <mergeCell ref="A303:B303"/>
    <mergeCell ref="A304:B304"/>
    <mergeCell ref="A305:B305"/>
    <mergeCell ref="A306:B306"/>
    <mergeCell ref="A307:B307"/>
    <mergeCell ref="A308:B308"/>
    <mergeCell ref="A310:B310"/>
    <mergeCell ref="A311:B311"/>
    <mergeCell ref="A312:B312"/>
    <mergeCell ref="A313:B313"/>
    <mergeCell ref="A314:B314"/>
    <mergeCell ref="A315:B315"/>
    <mergeCell ref="A316:B316"/>
    <mergeCell ref="A386:B386"/>
    <mergeCell ref="A387:B387"/>
    <mergeCell ref="A388:B388"/>
    <mergeCell ref="A389:B389"/>
    <mergeCell ref="A390:B390"/>
    <mergeCell ref="A391:B391"/>
    <mergeCell ref="A392:B392"/>
    <mergeCell ref="A394:B394"/>
    <mergeCell ref="A361:B361"/>
    <mergeCell ref="A362:B362"/>
    <mergeCell ref="A320:B320"/>
    <mergeCell ref="A321:B321"/>
    <mergeCell ref="A322:B322"/>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8:B338"/>
    <mergeCell ref="A339:B339"/>
    <mergeCell ref="A340:B340"/>
    <mergeCell ref="A341:B341"/>
    <mergeCell ref="A342:B342"/>
    <mergeCell ref="A343:B343"/>
    <mergeCell ref="A420:B420"/>
    <mergeCell ref="A422:B422"/>
    <mergeCell ref="A423:B423"/>
    <mergeCell ref="A424:B424"/>
    <mergeCell ref="A425:B425"/>
    <mergeCell ref="A426:B426"/>
    <mergeCell ref="A427:B427"/>
    <mergeCell ref="A428:B428"/>
    <mergeCell ref="A403:B403"/>
    <mergeCell ref="A404:B404"/>
    <mergeCell ref="A405:B405"/>
    <mergeCell ref="A363:B363"/>
    <mergeCell ref="A364:B364"/>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80:B380"/>
    <mergeCell ref="A381:B381"/>
    <mergeCell ref="A382:B382"/>
    <mergeCell ref="A383:B383"/>
    <mergeCell ref="A384:B384"/>
    <mergeCell ref="A385:B385"/>
    <mergeCell ref="A489:B489"/>
    <mergeCell ref="A482:B482"/>
    <mergeCell ref="A483:B483"/>
    <mergeCell ref="A484:B484"/>
    <mergeCell ref="A485:B485"/>
    <mergeCell ref="A486:B486"/>
    <mergeCell ref="A487:B487"/>
    <mergeCell ref="A488:B488"/>
    <mergeCell ref="A395:B395"/>
    <mergeCell ref="A396:B396"/>
    <mergeCell ref="A397:B397"/>
    <mergeCell ref="A398:B398"/>
    <mergeCell ref="A399:B399"/>
    <mergeCell ref="A400:B400"/>
    <mergeCell ref="A401:B401"/>
    <mergeCell ref="A402:B402"/>
    <mergeCell ref="A446:B446"/>
    <mergeCell ref="A447:B447"/>
    <mergeCell ref="A448:B448"/>
    <mergeCell ref="A406:B406"/>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73:B473"/>
    <mergeCell ref="A474:B474"/>
    <mergeCell ref="A475:B475"/>
    <mergeCell ref="A476:B476"/>
    <mergeCell ref="A478:B478"/>
    <mergeCell ref="A479:B479"/>
    <mergeCell ref="A480:B480"/>
    <mergeCell ref="A481:B481"/>
    <mergeCell ref="A429:B429"/>
    <mergeCell ref="A430:B430"/>
    <mergeCell ref="A431:B431"/>
    <mergeCell ref="A432:B432"/>
    <mergeCell ref="A433:B433"/>
    <mergeCell ref="A434:B434"/>
    <mergeCell ref="A436:B436"/>
    <mergeCell ref="A437:B437"/>
    <mergeCell ref="A438:B438"/>
    <mergeCell ref="A439:B439"/>
    <mergeCell ref="A440:B440"/>
    <mergeCell ref="A441:B441"/>
    <mergeCell ref="A442:B442"/>
    <mergeCell ref="A443:B443"/>
    <mergeCell ref="A444:B444"/>
    <mergeCell ref="A445:B445"/>
    <mergeCell ref="A515:B515"/>
    <mergeCell ref="A516:B516"/>
    <mergeCell ref="A517:B517"/>
    <mergeCell ref="A518:B518"/>
    <mergeCell ref="A520:B520"/>
    <mergeCell ref="A521:B521"/>
    <mergeCell ref="A522:B522"/>
    <mergeCell ref="A523:B523"/>
    <mergeCell ref="A490:B490"/>
    <mergeCell ref="A492:B492"/>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4:B464"/>
    <mergeCell ref="A465:B465"/>
    <mergeCell ref="A466:B466"/>
    <mergeCell ref="A467:B467"/>
    <mergeCell ref="A468:B468"/>
    <mergeCell ref="A469:B469"/>
    <mergeCell ref="A470:B470"/>
    <mergeCell ref="A471:B471"/>
    <mergeCell ref="A472:B472"/>
    <mergeCell ref="A550:B550"/>
    <mergeCell ref="A551:B551"/>
    <mergeCell ref="A552:B552"/>
    <mergeCell ref="A553:B553"/>
    <mergeCell ref="A554:B554"/>
    <mergeCell ref="A555:B555"/>
    <mergeCell ref="A556:B556"/>
    <mergeCell ref="A557:B557"/>
    <mergeCell ref="A532:B532"/>
    <mergeCell ref="A534:B534"/>
    <mergeCell ref="A535:B535"/>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6:B506"/>
    <mergeCell ref="A507:B507"/>
    <mergeCell ref="A508:B508"/>
    <mergeCell ref="A509:B509"/>
    <mergeCell ref="A510:B510"/>
    <mergeCell ref="A511:B511"/>
    <mergeCell ref="A512:B512"/>
    <mergeCell ref="A513:B513"/>
    <mergeCell ref="A514:B514"/>
    <mergeCell ref="A619:B619"/>
    <mergeCell ref="A611:B611"/>
    <mergeCell ref="A612:B612"/>
    <mergeCell ref="A613:B613"/>
    <mergeCell ref="A614:B614"/>
    <mergeCell ref="A615:B615"/>
    <mergeCell ref="A616:B616"/>
    <mergeCell ref="A618:B618"/>
    <mergeCell ref="A524:B524"/>
    <mergeCell ref="A525:B525"/>
    <mergeCell ref="A526:B526"/>
    <mergeCell ref="A527:B527"/>
    <mergeCell ref="A528:B528"/>
    <mergeCell ref="A529:B529"/>
    <mergeCell ref="A530:B530"/>
    <mergeCell ref="A531:B531"/>
    <mergeCell ref="A576:B576"/>
    <mergeCell ref="A577:B577"/>
    <mergeCell ref="A578:B578"/>
    <mergeCell ref="A536:B536"/>
    <mergeCell ref="A537:B537"/>
    <mergeCell ref="A538:B538"/>
    <mergeCell ref="A539:B539"/>
    <mergeCell ref="A540:B540"/>
    <mergeCell ref="A541:B541"/>
    <mergeCell ref="A542:B542"/>
    <mergeCell ref="A543:B543"/>
    <mergeCell ref="A544:B544"/>
    <mergeCell ref="A545:B545"/>
    <mergeCell ref="A546:B546"/>
    <mergeCell ref="A548:B548"/>
    <mergeCell ref="A549:B549"/>
    <mergeCell ref="A598:B598"/>
    <mergeCell ref="A599:B599"/>
    <mergeCell ref="A600:B600"/>
    <mergeCell ref="A601:B601"/>
    <mergeCell ref="A602:B602"/>
    <mergeCell ref="A604:B604"/>
    <mergeCell ref="A605:B605"/>
    <mergeCell ref="A606:B606"/>
    <mergeCell ref="A607:B607"/>
    <mergeCell ref="A608:B608"/>
    <mergeCell ref="A609:B609"/>
    <mergeCell ref="A610:B610"/>
    <mergeCell ref="A558:B558"/>
    <mergeCell ref="A559:B559"/>
    <mergeCell ref="A560:B560"/>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640:B640"/>
    <mergeCell ref="A641:B641"/>
    <mergeCell ref="A642:B642"/>
    <mergeCell ref="A643:B643"/>
    <mergeCell ref="A644:B644"/>
    <mergeCell ref="A646:B646"/>
    <mergeCell ref="A647:B647"/>
    <mergeCell ref="A648:B648"/>
    <mergeCell ref="A649:B649"/>
    <mergeCell ref="A650:B650"/>
    <mergeCell ref="A651:B651"/>
    <mergeCell ref="A652:B652"/>
    <mergeCell ref="A620:B620"/>
    <mergeCell ref="A621:B621"/>
    <mergeCell ref="A579:B579"/>
    <mergeCell ref="A580:B580"/>
    <mergeCell ref="A581:B581"/>
    <mergeCell ref="A582:B582"/>
    <mergeCell ref="A583:B583"/>
    <mergeCell ref="A584:B584"/>
    <mergeCell ref="A585:B585"/>
    <mergeCell ref="A586:B586"/>
    <mergeCell ref="A587:B587"/>
    <mergeCell ref="A588:B588"/>
    <mergeCell ref="A590:B590"/>
    <mergeCell ref="A591:B591"/>
    <mergeCell ref="A592:B592"/>
    <mergeCell ref="A593:B593"/>
    <mergeCell ref="A594:B594"/>
    <mergeCell ref="A595:B595"/>
    <mergeCell ref="A596:B596"/>
    <mergeCell ref="A597:B597"/>
    <mergeCell ref="A622:B622"/>
    <mergeCell ref="A623:B623"/>
    <mergeCell ref="A624:B624"/>
    <mergeCell ref="A625:B625"/>
    <mergeCell ref="A626:B626"/>
    <mergeCell ref="A627:B627"/>
    <mergeCell ref="A628:B628"/>
    <mergeCell ref="A629:B629"/>
    <mergeCell ref="A630:B630"/>
    <mergeCell ref="A632:B632"/>
    <mergeCell ref="A633:B633"/>
    <mergeCell ref="A634:B634"/>
    <mergeCell ref="A635:B635"/>
    <mergeCell ref="A636:B636"/>
    <mergeCell ref="A637:B637"/>
    <mergeCell ref="A638:B638"/>
    <mergeCell ref="A639:B639"/>
    <mergeCell ref="A653:B653"/>
    <mergeCell ref="A654:B654"/>
    <mergeCell ref="A655:B655"/>
    <mergeCell ref="A656:B656"/>
    <mergeCell ref="A657:B657"/>
    <mergeCell ref="A658:B658"/>
    <mergeCell ref="A660:B660"/>
    <mergeCell ref="A661:B661"/>
    <mergeCell ref="A691:B691"/>
    <mergeCell ref="A692:B692"/>
    <mergeCell ref="A693:B693"/>
    <mergeCell ref="A694:B694"/>
    <mergeCell ref="A695:B695"/>
    <mergeCell ref="A665:B665"/>
    <mergeCell ref="A666:B666"/>
    <mergeCell ref="A667:B667"/>
    <mergeCell ref="A668:B668"/>
    <mergeCell ref="A669:B669"/>
    <mergeCell ref="A662:B662"/>
    <mergeCell ref="A663:B663"/>
    <mergeCell ref="A664:B664"/>
    <mergeCell ref="A805:B805"/>
    <mergeCell ref="A806:B806"/>
    <mergeCell ref="A807:B807"/>
    <mergeCell ref="A808:B808"/>
    <mergeCell ref="A670:B670"/>
    <mergeCell ref="A671:B671"/>
    <mergeCell ref="A672:B672"/>
    <mergeCell ref="A681:B681"/>
    <mergeCell ref="A682:B682"/>
    <mergeCell ref="A683:B683"/>
    <mergeCell ref="A684:B684"/>
    <mergeCell ref="A685:B685"/>
    <mergeCell ref="A686:B686"/>
    <mergeCell ref="A688:B688"/>
    <mergeCell ref="A689:B689"/>
    <mergeCell ref="A690:B690"/>
    <mergeCell ref="A800:B800"/>
    <mergeCell ref="A801:B801"/>
    <mergeCell ref="A802:B802"/>
    <mergeCell ref="A803:B803"/>
    <mergeCell ref="A804:B804"/>
    <mergeCell ref="A698:B698"/>
    <mergeCell ref="A735:B735"/>
    <mergeCell ref="A736:B736"/>
    <mergeCell ref="A737:B737"/>
    <mergeCell ref="A738:B738"/>
    <mergeCell ref="A739:B739"/>
    <mergeCell ref="A740:B740"/>
    <mergeCell ref="A741:B741"/>
    <mergeCell ref="A742:B742"/>
    <mergeCell ref="A794:B794"/>
    <mergeCell ref="A795:B795"/>
    <mergeCell ref="A823:B823"/>
    <mergeCell ref="A824:B824"/>
    <mergeCell ref="A825:B825"/>
    <mergeCell ref="A826:B826"/>
    <mergeCell ref="A828:B828"/>
    <mergeCell ref="A696:B696"/>
    <mergeCell ref="A819:B819"/>
    <mergeCell ref="A820:B820"/>
    <mergeCell ref="A821:B821"/>
    <mergeCell ref="A822:B822"/>
    <mergeCell ref="A809:B809"/>
    <mergeCell ref="A810:B810"/>
    <mergeCell ref="A811:B811"/>
    <mergeCell ref="A812:B812"/>
    <mergeCell ref="A814:B814"/>
    <mergeCell ref="A815:B815"/>
    <mergeCell ref="A816:B816"/>
    <mergeCell ref="A817:B817"/>
    <mergeCell ref="A818:B818"/>
    <mergeCell ref="A699:B699"/>
    <mergeCell ref="A700:B700"/>
    <mergeCell ref="A702:B702"/>
    <mergeCell ref="A728:B728"/>
    <mergeCell ref="A730:B730"/>
    <mergeCell ref="A731:B731"/>
    <mergeCell ref="A732:B732"/>
    <mergeCell ref="A733:B733"/>
    <mergeCell ref="A748:B748"/>
    <mergeCell ref="A749:B749"/>
    <mergeCell ref="A750:B750"/>
    <mergeCell ref="A751:B751"/>
    <mergeCell ref="A716:B716"/>
    <mergeCell ref="A844:B844"/>
    <mergeCell ref="A845:B845"/>
    <mergeCell ref="A846:B846"/>
    <mergeCell ref="A847:B847"/>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42:B842"/>
    <mergeCell ref="A843:B843"/>
    <mergeCell ref="A863:B863"/>
    <mergeCell ref="A864:B864"/>
    <mergeCell ref="A865:B865"/>
    <mergeCell ref="A866:B866"/>
    <mergeCell ref="A848:B848"/>
    <mergeCell ref="A849:B849"/>
    <mergeCell ref="A850:B850"/>
    <mergeCell ref="A851:B851"/>
    <mergeCell ref="A852:B852"/>
    <mergeCell ref="A853:B853"/>
    <mergeCell ref="A854:B854"/>
    <mergeCell ref="A856:B856"/>
    <mergeCell ref="A857:B857"/>
    <mergeCell ref="A858:B858"/>
    <mergeCell ref="A859:B859"/>
    <mergeCell ref="A860:B860"/>
    <mergeCell ref="A861:B861"/>
    <mergeCell ref="A862:B862"/>
    <mergeCell ref="A882:B882"/>
    <mergeCell ref="A884:B884"/>
    <mergeCell ref="A885:B885"/>
    <mergeCell ref="A886:B886"/>
    <mergeCell ref="A867:B867"/>
    <mergeCell ref="A868:B868"/>
    <mergeCell ref="A870:B870"/>
    <mergeCell ref="A871:B871"/>
    <mergeCell ref="A872:B872"/>
    <mergeCell ref="A873:B873"/>
    <mergeCell ref="A874:B874"/>
    <mergeCell ref="A875:B875"/>
    <mergeCell ref="A876:B876"/>
    <mergeCell ref="A877:B877"/>
    <mergeCell ref="A878:B878"/>
    <mergeCell ref="A879:B879"/>
    <mergeCell ref="A880:B880"/>
    <mergeCell ref="A881:B881"/>
    <mergeCell ref="A902:B902"/>
    <mergeCell ref="A903:B903"/>
    <mergeCell ref="A904:B904"/>
    <mergeCell ref="A905:B905"/>
    <mergeCell ref="A887:B887"/>
    <mergeCell ref="A888:B888"/>
    <mergeCell ref="A889:B889"/>
    <mergeCell ref="A890:B890"/>
    <mergeCell ref="A891:B891"/>
    <mergeCell ref="A892:B892"/>
    <mergeCell ref="A893:B893"/>
    <mergeCell ref="A894:B894"/>
    <mergeCell ref="A895:B895"/>
    <mergeCell ref="A896:B896"/>
    <mergeCell ref="A898:B898"/>
    <mergeCell ref="A899:B899"/>
    <mergeCell ref="A900:B900"/>
    <mergeCell ref="A901:B901"/>
    <mergeCell ref="A921:B921"/>
    <mergeCell ref="A922:B922"/>
    <mergeCell ref="A923:B923"/>
    <mergeCell ref="A924:B924"/>
    <mergeCell ref="A906:B906"/>
    <mergeCell ref="A907:B907"/>
    <mergeCell ref="A908:B908"/>
    <mergeCell ref="A909:B909"/>
    <mergeCell ref="A910:B910"/>
    <mergeCell ref="A912:B912"/>
    <mergeCell ref="A913:B913"/>
    <mergeCell ref="A914:B914"/>
    <mergeCell ref="A915:B915"/>
    <mergeCell ref="A916:B916"/>
    <mergeCell ref="A917:B917"/>
    <mergeCell ref="A918:B918"/>
    <mergeCell ref="A919:B919"/>
    <mergeCell ref="A920:B920"/>
    <mergeCell ref="A941:B941"/>
    <mergeCell ref="A942:B942"/>
    <mergeCell ref="A943:B943"/>
    <mergeCell ref="A944:B944"/>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40:B940"/>
    <mergeCell ref="A960:B960"/>
    <mergeCell ref="A961:B961"/>
    <mergeCell ref="A962:B962"/>
    <mergeCell ref="A963:B963"/>
    <mergeCell ref="A945:B945"/>
    <mergeCell ref="A946:B946"/>
    <mergeCell ref="A947:B947"/>
    <mergeCell ref="A948:B948"/>
    <mergeCell ref="A949:B949"/>
    <mergeCell ref="A950:B950"/>
    <mergeCell ref="A951:B951"/>
    <mergeCell ref="A952:B952"/>
    <mergeCell ref="A954:B954"/>
    <mergeCell ref="A955:B955"/>
    <mergeCell ref="A956:B956"/>
    <mergeCell ref="A957:B957"/>
    <mergeCell ref="A958:B958"/>
    <mergeCell ref="A959:B959"/>
    <mergeCell ref="A979:B979"/>
    <mergeCell ref="A980:B980"/>
    <mergeCell ref="A982:B982"/>
    <mergeCell ref="A983:B983"/>
    <mergeCell ref="A964:B964"/>
    <mergeCell ref="A965:B965"/>
    <mergeCell ref="A966:B966"/>
    <mergeCell ref="A968:B968"/>
    <mergeCell ref="A969:B969"/>
    <mergeCell ref="A970:B970"/>
    <mergeCell ref="A971:B971"/>
    <mergeCell ref="A972:B972"/>
    <mergeCell ref="A973:B973"/>
    <mergeCell ref="A974:B974"/>
    <mergeCell ref="A975:B975"/>
    <mergeCell ref="A976:B976"/>
    <mergeCell ref="A977:B977"/>
    <mergeCell ref="A978:B978"/>
    <mergeCell ref="A999:B999"/>
    <mergeCell ref="A1000:B1000"/>
    <mergeCell ref="A1001:B1001"/>
    <mergeCell ref="A1002:B1002"/>
    <mergeCell ref="A984:B984"/>
    <mergeCell ref="A985:B985"/>
    <mergeCell ref="A986:B986"/>
    <mergeCell ref="A987:B987"/>
    <mergeCell ref="A988:B988"/>
    <mergeCell ref="A989:B989"/>
    <mergeCell ref="A990:B990"/>
    <mergeCell ref="A991:B991"/>
    <mergeCell ref="A992:B992"/>
    <mergeCell ref="A993:B993"/>
    <mergeCell ref="A994:B994"/>
    <mergeCell ref="A996:B996"/>
    <mergeCell ref="A997:B997"/>
    <mergeCell ref="A998:B998"/>
    <mergeCell ref="A1018:B1018"/>
    <mergeCell ref="A1019:B1019"/>
    <mergeCell ref="A1020:B1020"/>
    <mergeCell ref="A1021:B1021"/>
    <mergeCell ref="A1003:B1003"/>
    <mergeCell ref="A1004:B1004"/>
    <mergeCell ref="A1005:B1005"/>
    <mergeCell ref="A1006:B1006"/>
    <mergeCell ref="A1007:B1007"/>
    <mergeCell ref="A1008:B1008"/>
    <mergeCell ref="A1010:B1010"/>
    <mergeCell ref="A1011:B1011"/>
    <mergeCell ref="A1012:B1012"/>
    <mergeCell ref="A1013:B1013"/>
    <mergeCell ref="A1014:B1014"/>
    <mergeCell ref="A1015:B1015"/>
    <mergeCell ref="A1016:B1016"/>
    <mergeCell ref="A1017:B1017"/>
    <mergeCell ref="A1038:B1038"/>
    <mergeCell ref="A1039:B1039"/>
    <mergeCell ref="A1040:B1040"/>
    <mergeCell ref="A1041:B1041"/>
    <mergeCell ref="A1022:B1022"/>
    <mergeCell ref="A1024:B1024"/>
    <mergeCell ref="A1025:B1025"/>
    <mergeCell ref="A1026:B1026"/>
    <mergeCell ref="A1027:B1027"/>
    <mergeCell ref="A1028:B1028"/>
    <mergeCell ref="A1029:B1029"/>
    <mergeCell ref="A1030:B1030"/>
    <mergeCell ref="A1031:B1031"/>
    <mergeCell ref="A1032:B1032"/>
    <mergeCell ref="A1033:B1033"/>
    <mergeCell ref="A1034:B1034"/>
    <mergeCell ref="A1035:B1035"/>
    <mergeCell ref="A1036:B1036"/>
    <mergeCell ref="A1057:B1057"/>
    <mergeCell ref="A1058:B1058"/>
    <mergeCell ref="A1059:B1059"/>
    <mergeCell ref="A1060:B1060"/>
    <mergeCell ref="A1042:B1042"/>
    <mergeCell ref="A1043:B1043"/>
    <mergeCell ref="A1044:B1044"/>
    <mergeCell ref="A1045:B1045"/>
    <mergeCell ref="A1046:B1046"/>
    <mergeCell ref="A1047:B1047"/>
    <mergeCell ref="A1048:B1048"/>
    <mergeCell ref="A1049:B1049"/>
    <mergeCell ref="A1050:B1050"/>
    <mergeCell ref="A1052:B1052"/>
    <mergeCell ref="A1053:B1053"/>
    <mergeCell ref="A1054:B1054"/>
    <mergeCell ref="A1055:B1055"/>
    <mergeCell ref="A1056:B1056"/>
    <mergeCell ref="A1085:B1085"/>
    <mergeCell ref="A1086:B1086"/>
    <mergeCell ref="A1087:B1087"/>
    <mergeCell ref="A1088:B1088"/>
    <mergeCell ref="A1089:B1089"/>
    <mergeCell ref="A1080:B1080"/>
    <mergeCell ref="A1081:B1081"/>
    <mergeCell ref="A1082:B1082"/>
    <mergeCell ref="A1083:B1083"/>
    <mergeCell ref="A1084:B1084"/>
    <mergeCell ref="A1076:B1076"/>
    <mergeCell ref="A1077:B1077"/>
    <mergeCell ref="A1078:B1078"/>
    <mergeCell ref="A1061:B1061"/>
    <mergeCell ref="A1062:B1062"/>
    <mergeCell ref="A1063:B1063"/>
    <mergeCell ref="A1064:B1064"/>
    <mergeCell ref="A1066:B1066"/>
    <mergeCell ref="A1067:B1067"/>
    <mergeCell ref="A1068:B1068"/>
    <mergeCell ref="A1069:B1069"/>
    <mergeCell ref="A1070:B1070"/>
    <mergeCell ref="A1071:B1071"/>
    <mergeCell ref="A1072:B1072"/>
    <mergeCell ref="A1073:B1073"/>
    <mergeCell ref="A1074:B1074"/>
    <mergeCell ref="A1075:B1075"/>
    <mergeCell ref="A1106:B1106"/>
    <mergeCell ref="A1108:B1108"/>
    <mergeCell ref="A1109:B1109"/>
    <mergeCell ref="A1110:B1110"/>
    <mergeCell ref="A1111:B1111"/>
    <mergeCell ref="A1101:B1101"/>
    <mergeCell ref="A1102:B1102"/>
    <mergeCell ref="A1103:B1103"/>
    <mergeCell ref="A1104:B1104"/>
    <mergeCell ref="A1105:B1105"/>
    <mergeCell ref="A1096:B1096"/>
    <mergeCell ref="A1097:B1097"/>
    <mergeCell ref="A1098:B1098"/>
    <mergeCell ref="A1099:B1099"/>
    <mergeCell ref="A1100:B1100"/>
    <mergeCell ref="A1090:B1090"/>
    <mergeCell ref="A1091:B1091"/>
    <mergeCell ref="A1092:B1092"/>
    <mergeCell ref="A1094:B1094"/>
    <mergeCell ref="A1095:B1095"/>
    <mergeCell ref="A1133:B1133"/>
    <mergeCell ref="A1128:B1128"/>
    <mergeCell ref="A1129:B1129"/>
    <mergeCell ref="A1130:B1130"/>
    <mergeCell ref="A1131:B1131"/>
    <mergeCell ref="A1132:B1132"/>
    <mergeCell ref="A1112:B1112"/>
    <mergeCell ref="A1113:B1113"/>
    <mergeCell ref="A1114:B1114"/>
    <mergeCell ref="A1115:B1115"/>
    <mergeCell ref="A1134:B1134"/>
    <mergeCell ref="A1116:B1116"/>
    <mergeCell ref="A1117:B1117"/>
    <mergeCell ref="A1118:B1118"/>
    <mergeCell ref="A1119:B1119"/>
    <mergeCell ref="A1120:B1120"/>
    <mergeCell ref="A1122:B1122"/>
    <mergeCell ref="A1123:B1123"/>
    <mergeCell ref="A1124:B1124"/>
    <mergeCell ref="A1125:B1125"/>
    <mergeCell ref="A1126:B1126"/>
    <mergeCell ref="A1127:B1127"/>
  </mergeCells>
  <conditionalFormatting sqref="A1:C1">
    <cfRule type="cellIs" dxfId="161" priority="525" operator="notEqual">
      <formula>0</formula>
    </cfRule>
    <cfRule type="cellIs" dxfId="160" priority="526" operator="equal">
      <formula>0</formula>
    </cfRule>
  </conditionalFormatting>
  <conditionalFormatting sqref="A15:C15">
    <cfRule type="cellIs" dxfId="159" priority="158" operator="equal">
      <formula>0</formula>
    </cfRule>
    <cfRule type="cellIs" dxfId="158" priority="157" operator="notEqual">
      <formula>0</formula>
    </cfRule>
  </conditionalFormatting>
  <conditionalFormatting sqref="A29:C29">
    <cfRule type="cellIs" dxfId="157" priority="156" operator="equal">
      <formula>0</formula>
    </cfRule>
    <cfRule type="cellIs" dxfId="156" priority="155" operator="notEqual">
      <formula>0</formula>
    </cfRule>
  </conditionalFormatting>
  <conditionalFormatting sqref="A43:C43">
    <cfRule type="cellIs" dxfId="155" priority="154" operator="equal">
      <formula>0</formula>
    </cfRule>
    <cfRule type="cellIs" dxfId="154" priority="153" operator="notEqual">
      <formula>0</formula>
    </cfRule>
  </conditionalFormatting>
  <conditionalFormatting sqref="A57:C57">
    <cfRule type="cellIs" dxfId="153" priority="152" operator="equal">
      <formula>0</formula>
    </cfRule>
    <cfRule type="cellIs" dxfId="152" priority="151" operator="notEqual">
      <formula>0</formula>
    </cfRule>
  </conditionalFormatting>
  <conditionalFormatting sqref="A71:C71">
    <cfRule type="cellIs" dxfId="151" priority="150" operator="equal">
      <formula>0</formula>
    </cfRule>
    <cfRule type="cellIs" dxfId="150" priority="149" operator="notEqual">
      <formula>0</formula>
    </cfRule>
  </conditionalFormatting>
  <conditionalFormatting sqref="A85:C85">
    <cfRule type="cellIs" dxfId="149" priority="300" operator="equal">
      <formula>0</formula>
    </cfRule>
    <cfRule type="cellIs" dxfId="148" priority="299" operator="notEqual">
      <formula>0</formula>
    </cfRule>
  </conditionalFormatting>
  <conditionalFormatting sqref="A99:C99">
    <cfRule type="cellIs" dxfId="147" priority="148" operator="equal">
      <formula>0</formula>
    </cfRule>
    <cfRule type="cellIs" dxfId="146" priority="147" operator="notEqual">
      <formula>0</formula>
    </cfRule>
  </conditionalFormatting>
  <conditionalFormatting sqref="A113:C113">
    <cfRule type="cellIs" dxfId="145" priority="146" operator="equal">
      <formula>0</formula>
    </cfRule>
    <cfRule type="cellIs" dxfId="144" priority="145" operator="notEqual">
      <formula>0</formula>
    </cfRule>
  </conditionalFormatting>
  <conditionalFormatting sqref="A127:C127">
    <cfRule type="cellIs" dxfId="143" priority="144" operator="equal">
      <formula>0</formula>
    </cfRule>
    <cfRule type="cellIs" dxfId="142" priority="143" operator="notEqual">
      <formula>0</formula>
    </cfRule>
  </conditionalFormatting>
  <conditionalFormatting sqref="A141:C141">
    <cfRule type="cellIs" dxfId="141" priority="142" operator="equal">
      <formula>0</formula>
    </cfRule>
    <cfRule type="cellIs" dxfId="140" priority="141" operator="notEqual">
      <formula>0</formula>
    </cfRule>
  </conditionalFormatting>
  <conditionalFormatting sqref="A155:C155">
    <cfRule type="cellIs" dxfId="139" priority="140" operator="equal">
      <formula>0</formula>
    </cfRule>
    <cfRule type="cellIs" dxfId="138" priority="139" operator="notEqual">
      <formula>0</formula>
    </cfRule>
  </conditionalFormatting>
  <conditionalFormatting sqref="A169:C169">
    <cfRule type="cellIs" dxfId="137" priority="138" operator="equal">
      <formula>0</formula>
    </cfRule>
    <cfRule type="cellIs" dxfId="136" priority="137" operator="notEqual">
      <formula>0</formula>
    </cfRule>
  </conditionalFormatting>
  <conditionalFormatting sqref="A183:C183">
    <cfRule type="cellIs" dxfId="135" priority="136" operator="equal">
      <formula>0</formula>
    </cfRule>
    <cfRule type="cellIs" dxfId="134" priority="135" operator="notEqual">
      <formula>0</formula>
    </cfRule>
  </conditionalFormatting>
  <conditionalFormatting sqref="A197:C197">
    <cfRule type="cellIs" dxfId="133" priority="134" operator="equal">
      <formula>0</formula>
    </cfRule>
    <cfRule type="cellIs" dxfId="132" priority="133" operator="notEqual">
      <formula>0</formula>
    </cfRule>
  </conditionalFormatting>
  <conditionalFormatting sqref="A211:C211">
    <cfRule type="cellIs" dxfId="131" priority="132" operator="equal">
      <formula>0</formula>
    </cfRule>
    <cfRule type="cellIs" dxfId="130" priority="131" operator="notEqual">
      <formula>0</formula>
    </cfRule>
  </conditionalFormatting>
  <conditionalFormatting sqref="A225:C225">
    <cfRule type="cellIs" dxfId="129" priority="130" operator="equal">
      <formula>0</formula>
    </cfRule>
    <cfRule type="cellIs" dxfId="128" priority="129" operator="notEqual">
      <formula>0</formula>
    </cfRule>
  </conditionalFormatting>
  <conditionalFormatting sqref="A239:C239">
    <cfRule type="cellIs" dxfId="127" priority="128" operator="equal">
      <formula>0</formula>
    </cfRule>
    <cfRule type="cellIs" dxfId="126" priority="127" operator="notEqual">
      <formula>0</formula>
    </cfRule>
  </conditionalFormatting>
  <conditionalFormatting sqref="A253:C253">
    <cfRule type="cellIs" dxfId="125" priority="125" operator="notEqual">
      <formula>0</formula>
    </cfRule>
    <cfRule type="cellIs" dxfId="124" priority="126" operator="equal">
      <formula>0</formula>
    </cfRule>
  </conditionalFormatting>
  <conditionalFormatting sqref="A267:C267">
    <cfRule type="cellIs" dxfId="123" priority="124" operator="equal">
      <formula>0</formula>
    </cfRule>
    <cfRule type="cellIs" dxfId="122" priority="123" operator="notEqual">
      <formula>0</formula>
    </cfRule>
  </conditionalFormatting>
  <conditionalFormatting sqref="A281:C281">
    <cfRule type="cellIs" dxfId="121" priority="122" operator="equal">
      <formula>0</formula>
    </cfRule>
    <cfRule type="cellIs" dxfId="120" priority="121" operator="notEqual">
      <formula>0</formula>
    </cfRule>
  </conditionalFormatting>
  <conditionalFormatting sqref="A295:C295">
    <cfRule type="cellIs" dxfId="119" priority="120" operator="equal">
      <formula>0</formula>
    </cfRule>
    <cfRule type="cellIs" dxfId="118" priority="119" operator="notEqual">
      <formula>0</formula>
    </cfRule>
  </conditionalFormatting>
  <conditionalFormatting sqref="A309:C309">
    <cfRule type="cellIs" dxfId="117" priority="118" operator="equal">
      <formula>0</formula>
    </cfRule>
    <cfRule type="cellIs" dxfId="116" priority="117" operator="notEqual">
      <formula>0</formula>
    </cfRule>
  </conditionalFormatting>
  <conditionalFormatting sqref="A323:C323">
    <cfRule type="cellIs" dxfId="115" priority="116" operator="equal">
      <formula>0</formula>
    </cfRule>
    <cfRule type="cellIs" dxfId="114" priority="115" operator="notEqual">
      <formula>0</formula>
    </cfRule>
  </conditionalFormatting>
  <conditionalFormatting sqref="A337:C337">
    <cfRule type="cellIs" dxfId="113" priority="114" operator="equal">
      <formula>0</formula>
    </cfRule>
    <cfRule type="cellIs" dxfId="112" priority="113" operator="notEqual">
      <formula>0</formula>
    </cfRule>
  </conditionalFormatting>
  <conditionalFormatting sqref="A351:C351">
    <cfRule type="cellIs" dxfId="111" priority="112" operator="equal">
      <formula>0</formula>
    </cfRule>
    <cfRule type="cellIs" dxfId="110" priority="111" operator="notEqual">
      <formula>0</formula>
    </cfRule>
  </conditionalFormatting>
  <conditionalFormatting sqref="A365:C365">
    <cfRule type="cellIs" dxfId="109" priority="110" operator="equal">
      <formula>0</formula>
    </cfRule>
    <cfRule type="cellIs" dxfId="108" priority="109" operator="notEqual">
      <formula>0</formula>
    </cfRule>
  </conditionalFormatting>
  <conditionalFormatting sqref="A379:C379">
    <cfRule type="cellIs" dxfId="107" priority="108" operator="equal">
      <formula>0</formula>
    </cfRule>
    <cfRule type="cellIs" dxfId="106" priority="107" operator="notEqual">
      <formula>0</formula>
    </cfRule>
  </conditionalFormatting>
  <conditionalFormatting sqref="A393:C393">
    <cfRule type="cellIs" dxfId="105" priority="106" operator="equal">
      <formula>0</formula>
    </cfRule>
    <cfRule type="cellIs" dxfId="104" priority="105" operator="notEqual">
      <formula>0</formula>
    </cfRule>
  </conditionalFormatting>
  <conditionalFormatting sqref="A407:C407">
    <cfRule type="cellIs" dxfId="103" priority="104" operator="equal">
      <formula>0</formula>
    </cfRule>
    <cfRule type="cellIs" dxfId="102" priority="103" operator="notEqual">
      <formula>0</formula>
    </cfRule>
  </conditionalFormatting>
  <conditionalFormatting sqref="A421:C421">
    <cfRule type="cellIs" dxfId="101" priority="101" operator="notEqual">
      <formula>0</formula>
    </cfRule>
    <cfRule type="cellIs" dxfId="100" priority="102" operator="equal">
      <formula>0</formula>
    </cfRule>
  </conditionalFormatting>
  <conditionalFormatting sqref="A435:C435">
    <cfRule type="cellIs" dxfId="99" priority="100" operator="equal">
      <formula>0</formula>
    </cfRule>
    <cfRule type="cellIs" dxfId="98" priority="99" operator="notEqual">
      <formula>0</formula>
    </cfRule>
  </conditionalFormatting>
  <conditionalFormatting sqref="A449:C449">
    <cfRule type="cellIs" dxfId="97" priority="98" operator="equal">
      <formula>0</formula>
    </cfRule>
    <cfRule type="cellIs" dxfId="96" priority="97" operator="notEqual">
      <formula>0</formula>
    </cfRule>
  </conditionalFormatting>
  <conditionalFormatting sqref="A463:C463">
    <cfRule type="cellIs" dxfId="95" priority="96" operator="equal">
      <formula>0</formula>
    </cfRule>
    <cfRule type="cellIs" dxfId="94" priority="95" operator="notEqual">
      <formula>0</formula>
    </cfRule>
  </conditionalFormatting>
  <conditionalFormatting sqref="A477:C477">
    <cfRule type="cellIs" dxfId="93" priority="94" operator="equal">
      <formula>0</formula>
    </cfRule>
    <cfRule type="cellIs" dxfId="92" priority="93" operator="notEqual">
      <formula>0</formula>
    </cfRule>
  </conditionalFormatting>
  <conditionalFormatting sqref="A491:C491">
    <cfRule type="cellIs" dxfId="91" priority="92" operator="equal">
      <formula>0</formula>
    </cfRule>
    <cfRule type="cellIs" dxfId="90" priority="91" operator="notEqual">
      <formula>0</formula>
    </cfRule>
  </conditionalFormatting>
  <conditionalFormatting sqref="A505:C505">
    <cfRule type="cellIs" dxfId="89" priority="90" operator="equal">
      <formula>0</formula>
    </cfRule>
    <cfRule type="cellIs" dxfId="88" priority="89" operator="notEqual">
      <formula>0</formula>
    </cfRule>
  </conditionalFormatting>
  <conditionalFormatting sqref="A519:C519">
    <cfRule type="cellIs" dxfId="87" priority="88" operator="equal">
      <formula>0</formula>
    </cfRule>
    <cfRule type="cellIs" dxfId="86" priority="87" operator="notEqual">
      <formula>0</formula>
    </cfRule>
  </conditionalFormatting>
  <conditionalFormatting sqref="A533:C533">
    <cfRule type="cellIs" dxfId="85" priority="86" operator="equal">
      <formula>0</formula>
    </cfRule>
    <cfRule type="cellIs" dxfId="84" priority="85" operator="notEqual">
      <formula>0</formula>
    </cfRule>
  </conditionalFormatting>
  <conditionalFormatting sqref="A547:C547">
    <cfRule type="cellIs" dxfId="83" priority="84" operator="equal">
      <formula>0</formula>
    </cfRule>
    <cfRule type="cellIs" dxfId="82" priority="83" operator="notEqual">
      <formula>0</formula>
    </cfRule>
  </conditionalFormatting>
  <conditionalFormatting sqref="A561:C561">
    <cfRule type="cellIs" dxfId="81" priority="81" operator="notEqual">
      <formula>0</formula>
    </cfRule>
    <cfRule type="cellIs" dxfId="80" priority="82" operator="equal">
      <formula>0</formula>
    </cfRule>
  </conditionalFormatting>
  <conditionalFormatting sqref="A575:C575">
    <cfRule type="cellIs" dxfId="79" priority="80" operator="equal">
      <formula>0</formula>
    </cfRule>
    <cfRule type="cellIs" dxfId="78" priority="79" operator="notEqual">
      <formula>0</formula>
    </cfRule>
  </conditionalFormatting>
  <conditionalFormatting sqref="A589:C589">
    <cfRule type="cellIs" dxfId="77" priority="78" operator="equal">
      <formula>0</formula>
    </cfRule>
    <cfRule type="cellIs" dxfId="76" priority="77" operator="notEqual">
      <formula>0</formula>
    </cfRule>
  </conditionalFormatting>
  <conditionalFormatting sqref="A603:C603">
    <cfRule type="cellIs" dxfId="75" priority="76" operator="equal">
      <formula>0</formula>
    </cfRule>
    <cfRule type="cellIs" dxfId="74" priority="75" operator="notEqual">
      <formula>0</formula>
    </cfRule>
  </conditionalFormatting>
  <conditionalFormatting sqref="A617:C617">
    <cfRule type="cellIs" dxfId="73" priority="74" operator="equal">
      <formula>0</formula>
    </cfRule>
    <cfRule type="cellIs" dxfId="72" priority="73" operator="notEqual">
      <formula>0</formula>
    </cfRule>
  </conditionalFormatting>
  <conditionalFormatting sqref="A631:C631">
    <cfRule type="cellIs" dxfId="71" priority="72" operator="equal">
      <formula>0</formula>
    </cfRule>
    <cfRule type="cellIs" dxfId="70" priority="71" operator="notEqual">
      <formula>0</formula>
    </cfRule>
  </conditionalFormatting>
  <conditionalFormatting sqref="A645:C645">
    <cfRule type="cellIs" dxfId="69" priority="70" operator="equal">
      <formula>0</formula>
    </cfRule>
    <cfRule type="cellIs" dxfId="68" priority="69" operator="notEqual">
      <formula>0</formula>
    </cfRule>
  </conditionalFormatting>
  <conditionalFormatting sqref="A659:C659">
    <cfRule type="cellIs" dxfId="67" priority="68" operator="equal">
      <formula>0</formula>
    </cfRule>
    <cfRule type="cellIs" dxfId="66" priority="67" operator="notEqual">
      <formula>0</formula>
    </cfRule>
  </conditionalFormatting>
  <conditionalFormatting sqref="A673:C673">
    <cfRule type="cellIs" dxfId="65" priority="66" operator="equal">
      <formula>0</formula>
    </cfRule>
    <cfRule type="cellIs" dxfId="64" priority="65" operator="notEqual">
      <formula>0</formula>
    </cfRule>
  </conditionalFormatting>
  <conditionalFormatting sqref="A687:C687">
    <cfRule type="cellIs" dxfId="63" priority="64" operator="equal">
      <formula>0</formula>
    </cfRule>
    <cfRule type="cellIs" dxfId="62" priority="63" operator="notEqual">
      <formula>0</formula>
    </cfRule>
  </conditionalFormatting>
  <conditionalFormatting sqref="A701:C701">
    <cfRule type="cellIs" dxfId="61" priority="61" operator="notEqual">
      <formula>0</formula>
    </cfRule>
    <cfRule type="cellIs" dxfId="60" priority="62" operator="equal">
      <formula>0</formula>
    </cfRule>
  </conditionalFormatting>
  <conditionalFormatting sqref="A715:C715">
    <cfRule type="cellIs" dxfId="59" priority="60" operator="equal">
      <formula>0</formula>
    </cfRule>
    <cfRule type="cellIs" dxfId="58" priority="59" operator="notEqual">
      <formula>0</formula>
    </cfRule>
  </conditionalFormatting>
  <conditionalFormatting sqref="A729:C729">
    <cfRule type="cellIs" dxfId="57" priority="58" operator="equal">
      <formula>0</formula>
    </cfRule>
    <cfRule type="cellIs" dxfId="56" priority="57" operator="notEqual">
      <formula>0</formula>
    </cfRule>
  </conditionalFormatting>
  <conditionalFormatting sqref="A743:C743">
    <cfRule type="cellIs" dxfId="55" priority="56" operator="equal">
      <formula>0</formula>
    </cfRule>
    <cfRule type="cellIs" dxfId="54" priority="55" operator="notEqual">
      <formula>0</formula>
    </cfRule>
  </conditionalFormatting>
  <conditionalFormatting sqref="A757:C757">
    <cfRule type="cellIs" dxfId="53" priority="54" operator="equal">
      <formula>0</formula>
    </cfRule>
    <cfRule type="cellIs" dxfId="52" priority="53" operator="notEqual">
      <formula>0</formula>
    </cfRule>
  </conditionalFormatting>
  <conditionalFormatting sqref="A771:C771">
    <cfRule type="cellIs" dxfId="51" priority="52" operator="equal">
      <formula>0</formula>
    </cfRule>
    <cfRule type="cellIs" dxfId="50" priority="51" operator="notEqual">
      <formula>0</formula>
    </cfRule>
  </conditionalFormatting>
  <conditionalFormatting sqref="A785:C785">
    <cfRule type="cellIs" dxfId="49" priority="50" operator="equal">
      <formula>0</formula>
    </cfRule>
    <cfRule type="cellIs" dxfId="48" priority="49" operator="notEqual">
      <formula>0</formula>
    </cfRule>
  </conditionalFormatting>
  <conditionalFormatting sqref="A799:C799">
    <cfRule type="cellIs" dxfId="47" priority="48" operator="equal">
      <formula>0</formula>
    </cfRule>
    <cfRule type="cellIs" dxfId="46" priority="47" operator="notEqual">
      <formula>0</formula>
    </cfRule>
  </conditionalFormatting>
  <conditionalFormatting sqref="A813:C813">
    <cfRule type="cellIs" dxfId="45" priority="46" operator="equal">
      <formula>0</formula>
    </cfRule>
    <cfRule type="cellIs" dxfId="44" priority="45" operator="notEqual">
      <formula>0</formula>
    </cfRule>
  </conditionalFormatting>
  <conditionalFormatting sqref="A827:C827">
    <cfRule type="cellIs" dxfId="43" priority="44" operator="equal">
      <formula>0</formula>
    </cfRule>
    <cfRule type="cellIs" dxfId="42" priority="43" operator="notEqual">
      <formula>0</formula>
    </cfRule>
  </conditionalFormatting>
  <conditionalFormatting sqref="A841:C841">
    <cfRule type="cellIs" dxfId="41" priority="42" operator="equal">
      <formula>0</formula>
    </cfRule>
    <cfRule type="cellIs" dxfId="40" priority="41" operator="notEqual">
      <formula>0</formula>
    </cfRule>
  </conditionalFormatting>
  <conditionalFormatting sqref="A855:C855">
    <cfRule type="cellIs" dxfId="39" priority="40" operator="equal">
      <formula>0</formula>
    </cfRule>
    <cfRule type="cellIs" dxfId="38" priority="39" operator="notEqual">
      <formula>0</formula>
    </cfRule>
  </conditionalFormatting>
  <conditionalFormatting sqref="A869:C869">
    <cfRule type="cellIs" dxfId="37" priority="38" operator="equal">
      <formula>0</formula>
    </cfRule>
    <cfRule type="cellIs" dxfId="36" priority="37" operator="notEqual">
      <formula>0</formula>
    </cfRule>
  </conditionalFormatting>
  <conditionalFormatting sqref="A883:C883">
    <cfRule type="cellIs" dxfId="35" priority="36" operator="equal">
      <formula>0</formula>
    </cfRule>
    <cfRule type="cellIs" dxfId="34" priority="35" operator="notEqual">
      <formula>0</formula>
    </cfRule>
  </conditionalFormatting>
  <conditionalFormatting sqref="A897:C897">
    <cfRule type="cellIs" dxfId="33" priority="34" operator="equal">
      <formula>0</formula>
    </cfRule>
    <cfRule type="cellIs" dxfId="32" priority="33" operator="notEqual">
      <formula>0</formula>
    </cfRule>
  </conditionalFormatting>
  <conditionalFormatting sqref="A911:C911">
    <cfRule type="cellIs" dxfId="31" priority="32" operator="equal">
      <formula>0</formula>
    </cfRule>
    <cfRule type="cellIs" dxfId="30" priority="31" operator="notEqual">
      <formula>0</formula>
    </cfRule>
  </conditionalFormatting>
  <conditionalFormatting sqref="A925:C925">
    <cfRule type="cellIs" dxfId="29" priority="30" operator="equal">
      <formula>0</formula>
    </cfRule>
    <cfRule type="cellIs" dxfId="28" priority="29" operator="notEqual">
      <formula>0</formula>
    </cfRule>
  </conditionalFormatting>
  <conditionalFormatting sqref="A939:C939">
    <cfRule type="cellIs" dxfId="27" priority="28" operator="equal">
      <formula>0</formula>
    </cfRule>
    <cfRule type="cellIs" dxfId="26" priority="27" operator="notEqual">
      <formula>0</formula>
    </cfRule>
  </conditionalFormatting>
  <conditionalFormatting sqref="A953:C953">
    <cfRule type="cellIs" dxfId="25" priority="26" operator="equal">
      <formula>0</formula>
    </cfRule>
    <cfRule type="cellIs" dxfId="24" priority="25" operator="notEqual">
      <formula>0</formula>
    </cfRule>
  </conditionalFormatting>
  <conditionalFormatting sqref="A967:C967">
    <cfRule type="cellIs" dxfId="23" priority="24" operator="equal">
      <formula>0</formula>
    </cfRule>
    <cfRule type="cellIs" dxfId="22" priority="23" operator="notEqual">
      <formula>0</formula>
    </cfRule>
  </conditionalFormatting>
  <conditionalFormatting sqref="A981:C981">
    <cfRule type="cellIs" dxfId="21" priority="22" operator="equal">
      <formula>0</formula>
    </cfRule>
    <cfRule type="cellIs" dxfId="20" priority="21" operator="notEqual">
      <formula>0</formula>
    </cfRule>
  </conditionalFormatting>
  <conditionalFormatting sqref="A995:C995">
    <cfRule type="cellIs" dxfId="19" priority="20" operator="equal">
      <formula>0</formula>
    </cfRule>
    <cfRule type="cellIs" dxfId="18" priority="19" operator="notEqual">
      <formula>0</formula>
    </cfRule>
  </conditionalFormatting>
  <conditionalFormatting sqref="A1009:C1009">
    <cfRule type="cellIs" dxfId="17" priority="18" operator="equal">
      <formula>0</formula>
    </cfRule>
    <cfRule type="cellIs" dxfId="16" priority="17" operator="notEqual">
      <formula>0</formula>
    </cfRule>
  </conditionalFormatting>
  <conditionalFormatting sqref="A1023:C1023">
    <cfRule type="cellIs" dxfId="15" priority="16" operator="equal">
      <formula>0</formula>
    </cfRule>
    <cfRule type="cellIs" dxfId="14" priority="15" operator="notEqual">
      <formula>0</formula>
    </cfRule>
  </conditionalFormatting>
  <conditionalFormatting sqref="A1037:C1037">
    <cfRule type="cellIs" dxfId="13" priority="14" operator="equal">
      <formula>0</formula>
    </cfRule>
    <cfRule type="cellIs" dxfId="12" priority="13" operator="notEqual">
      <formula>0</formula>
    </cfRule>
  </conditionalFormatting>
  <conditionalFormatting sqref="A1051:C1051">
    <cfRule type="cellIs" dxfId="11" priority="12" operator="equal">
      <formula>0</formula>
    </cfRule>
    <cfRule type="cellIs" dxfId="10" priority="11" operator="notEqual">
      <formula>0</formula>
    </cfRule>
  </conditionalFormatting>
  <conditionalFormatting sqref="A1065:C1065">
    <cfRule type="cellIs" dxfId="9" priority="10" operator="equal">
      <formula>0</formula>
    </cfRule>
    <cfRule type="cellIs" dxfId="8" priority="9" operator="notEqual">
      <formula>0</formula>
    </cfRule>
  </conditionalFormatting>
  <conditionalFormatting sqref="A1079:C1079">
    <cfRule type="cellIs" dxfId="7" priority="8" operator="equal">
      <formula>0</formula>
    </cfRule>
    <cfRule type="cellIs" dxfId="6" priority="7" operator="notEqual">
      <formula>0</formula>
    </cfRule>
  </conditionalFormatting>
  <conditionalFormatting sqref="A1093:C1093">
    <cfRule type="cellIs" dxfId="5" priority="6" operator="equal">
      <formula>0</formula>
    </cfRule>
    <cfRule type="cellIs" dxfId="4" priority="5" operator="notEqual">
      <formula>0</formula>
    </cfRule>
  </conditionalFormatting>
  <conditionalFormatting sqref="A1107:C1107">
    <cfRule type="cellIs" dxfId="3" priority="4" operator="equal">
      <formula>0</formula>
    </cfRule>
    <cfRule type="cellIs" dxfId="2" priority="3" operator="notEqual">
      <formula>0</formula>
    </cfRule>
  </conditionalFormatting>
  <conditionalFormatting sqref="A1121:C1121">
    <cfRule type="cellIs" dxfId="1" priority="1" operator="notEqual">
      <formula>0</formula>
    </cfRule>
    <cfRule type="cellIs" dxfId="0" priority="2" operator="equal">
      <formula>0</formula>
    </cfRule>
  </conditionalFormatting>
  <pageMargins left="1.2" right="1.2" top="0.75" bottom="0.75" header="0.3" footer="0.3"/>
  <pageSetup fitToHeight="1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14AA-5B3E-4314-9CDF-D664E870206D}">
  <sheetPr>
    <tabColor theme="0" tint="-0.249977111117893"/>
  </sheetPr>
  <dimension ref="A1:E41"/>
  <sheetViews>
    <sheetView workbookViewId="0">
      <selection activeCell="B11" sqref="B11"/>
    </sheetView>
  </sheetViews>
  <sheetFormatPr defaultRowHeight="15" x14ac:dyDescent="0.25"/>
  <cols>
    <col min="1" max="1" width="6.7109375" customWidth="1"/>
    <col min="2" max="2" width="83.85546875" customWidth="1"/>
    <col min="3" max="3" width="4.140625" customWidth="1"/>
    <col min="4" max="4" width="66" customWidth="1"/>
    <col min="5" max="5" width="98.42578125" bestFit="1" customWidth="1"/>
  </cols>
  <sheetData>
    <row r="1" spans="1:5" ht="20.25" x14ac:dyDescent="0.3">
      <c r="A1" s="167" t="s">
        <v>48</v>
      </c>
      <c r="B1" s="168"/>
    </row>
    <row r="2" spans="1:5" ht="30.75" customHeight="1" x14ac:dyDescent="0.25">
      <c r="A2" s="169" t="s">
        <v>49</v>
      </c>
      <c r="B2" s="170"/>
      <c r="C2" s="26"/>
      <c r="D2" s="62"/>
      <c r="E2" s="26"/>
    </row>
    <row r="3" spans="1:5" ht="43.5" x14ac:dyDescent="0.25">
      <c r="A3" s="63" t="s">
        <v>50</v>
      </c>
      <c r="B3" s="74" t="s">
        <v>51</v>
      </c>
      <c r="C3" s="26"/>
      <c r="D3" s="32" t="s">
        <v>52</v>
      </c>
      <c r="E3" s="33"/>
    </row>
    <row r="4" spans="1:5" x14ac:dyDescent="0.25">
      <c r="A4" s="48" t="s">
        <v>53</v>
      </c>
      <c r="B4" s="64" t="s">
        <v>54</v>
      </c>
      <c r="C4" s="26"/>
      <c r="D4" s="65" t="s">
        <v>55</v>
      </c>
      <c r="E4" s="23" t="s">
        <v>56</v>
      </c>
    </row>
    <row r="5" spans="1:5" ht="29.25" x14ac:dyDescent="0.25">
      <c r="A5" s="48" t="s">
        <v>57</v>
      </c>
      <c r="B5" s="28" t="s">
        <v>58</v>
      </c>
      <c r="C5" s="26"/>
      <c r="D5" s="25" t="s">
        <v>59</v>
      </c>
      <c r="E5" s="24" t="s">
        <v>60</v>
      </c>
    </row>
    <row r="6" spans="1:5" x14ac:dyDescent="0.25">
      <c r="A6" s="48" t="s">
        <v>61</v>
      </c>
      <c r="B6" s="27" t="s">
        <v>62</v>
      </c>
      <c r="C6" s="26"/>
      <c r="D6" s="25" t="s">
        <v>26</v>
      </c>
      <c r="E6" s="24" t="s">
        <v>63</v>
      </c>
    </row>
    <row r="7" spans="1:5" ht="29.25" x14ac:dyDescent="0.25">
      <c r="A7" s="48" t="s">
        <v>64</v>
      </c>
      <c r="B7" s="27" t="s">
        <v>65</v>
      </c>
      <c r="C7" s="26"/>
      <c r="D7" s="25" t="s">
        <v>66</v>
      </c>
      <c r="E7" s="30" t="s">
        <v>67</v>
      </c>
    </row>
    <row r="8" spans="1:5" ht="72.75" x14ac:dyDescent="0.25">
      <c r="A8" s="48" t="s">
        <v>68</v>
      </c>
      <c r="B8" s="28" t="s">
        <v>69</v>
      </c>
      <c r="C8" s="26"/>
      <c r="D8" s="24" t="s">
        <v>70</v>
      </c>
      <c r="E8" s="25" t="s">
        <v>71</v>
      </c>
    </row>
    <row r="9" spans="1:5" ht="43.5" x14ac:dyDescent="0.25">
      <c r="A9" s="48" t="s">
        <v>72</v>
      </c>
      <c r="B9" s="27" t="s">
        <v>73</v>
      </c>
      <c r="C9" s="26"/>
      <c r="D9" s="24" t="s">
        <v>74</v>
      </c>
      <c r="E9" s="24" t="s">
        <v>75</v>
      </c>
    </row>
    <row r="10" spans="1:5" ht="20.25" customHeight="1" x14ac:dyDescent="0.25">
      <c r="A10" s="48" t="s">
        <v>76</v>
      </c>
      <c r="B10" s="27" t="s">
        <v>77</v>
      </c>
      <c r="C10" s="26"/>
      <c r="D10" s="24" t="s">
        <v>29</v>
      </c>
      <c r="E10" s="24" t="s">
        <v>78</v>
      </c>
    </row>
    <row r="11" spans="1:5" ht="57.75" x14ac:dyDescent="0.25">
      <c r="A11" s="48" t="s">
        <v>79</v>
      </c>
      <c r="B11" s="28" t="s">
        <v>80</v>
      </c>
      <c r="C11" s="26"/>
      <c r="D11" s="66" t="s">
        <v>81</v>
      </c>
      <c r="E11" s="24" t="s">
        <v>82</v>
      </c>
    </row>
    <row r="12" spans="1:5" ht="29.25" x14ac:dyDescent="0.25">
      <c r="A12" s="48" t="s">
        <v>83</v>
      </c>
      <c r="B12" s="75" t="s">
        <v>84</v>
      </c>
      <c r="C12" s="26"/>
      <c r="D12" s="67" t="s">
        <v>85</v>
      </c>
      <c r="E12" s="31" t="s">
        <v>86</v>
      </c>
    </row>
    <row r="13" spans="1:5" ht="43.5" x14ac:dyDescent="0.25">
      <c r="A13" s="48" t="s">
        <v>87</v>
      </c>
      <c r="B13" s="42" t="s">
        <v>88</v>
      </c>
      <c r="C13" s="26"/>
    </row>
    <row r="14" spans="1:5" x14ac:dyDescent="0.25">
      <c r="A14" s="48" t="s">
        <v>89</v>
      </c>
      <c r="B14" s="68" t="s">
        <v>90</v>
      </c>
      <c r="C14" s="26"/>
    </row>
    <row r="15" spans="1:5" x14ac:dyDescent="0.25">
      <c r="A15" s="48" t="s">
        <v>91</v>
      </c>
      <c r="B15" s="42" t="s">
        <v>92</v>
      </c>
      <c r="C15" s="26"/>
      <c r="D15" s="26"/>
      <c r="E15" s="26"/>
    </row>
    <row r="16" spans="1:5" x14ac:dyDescent="0.25">
      <c r="A16" s="51" t="s">
        <v>93</v>
      </c>
      <c r="B16" s="43" t="s">
        <v>94</v>
      </c>
      <c r="C16" s="26"/>
      <c r="E16" s="26"/>
    </row>
    <row r="17" spans="1:5" x14ac:dyDescent="0.25">
      <c r="A17" s="49"/>
      <c r="B17" s="41"/>
      <c r="C17" s="26"/>
      <c r="E17" s="26"/>
    </row>
    <row r="18" spans="1:5" x14ac:dyDescent="0.25">
      <c r="A18" s="165" t="s">
        <v>95</v>
      </c>
      <c r="B18" s="166"/>
      <c r="C18" s="26"/>
      <c r="D18" s="69" t="s">
        <v>96</v>
      </c>
      <c r="E18" s="26"/>
    </row>
    <row r="19" spans="1:5" x14ac:dyDescent="0.25">
      <c r="A19" s="50" t="s">
        <v>50</v>
      </c>
      <c r="B19" s="34" t="s">
        <v>97</v>
      </c>
      <c r="C19" s="26"/>
      <c r="D19" s="70" t="s">
        <v>98</v>
      </c>
      <c r="E19" s="26"/>
    </row>
    <row r="20" spans="1:5" x14ac:dyDescent="0.25">
      <c r="A20" s="48" t="s">
        <v>53</v>
      </c>
      <c r="B20" s="27" t="s">
        <v>99</v>
      </c>
      <c r="C20" s="26"/>
      <c r="D20" s="45" t="s">
        <v>100</v>
      </c>
      <c r="E20" s="26"/>
    </row>
    <row r="21" spans="1:5" ht="29.25" x14ac:dyDescent="0.25">
      <c r="A21" s="51" t="s">
        <v>57</v>
      </c>
      <c r="B21" s="29" t="s">
        <v>101</v>
      </c>
      <c r="C21" s="26"/>
      <c r="D21" s="45" t="s">
        <v>102</v>
      </c>
      <c r="E21" s="26"/>
    </row>
    <row r="22" spans="1:5" x14ac:dyDescent="0.25">
      <c r="A22" s="49"/>
      <c r="B22" s="41"/>
      <c r="C22" s="26"/>
      <c r="D22" s="46" t="s">
        <v>103</v>
      </c>
      <c r="E22" s="26"/>
    </row>
    <row r="23" spans="1:5" x14ac:dyDescent="0.25">
      <c r="A23" s="165" t="s">
        <v>104</v>
      </c>
      <c r="B23" s="171"/>
      <c r="C23" s="26"/>
      <c r="D23" s="26"/>
      <c r="E23" s="26"/>
    </row>
    <row r="24" spans="1:5" ht="72.75" customHeight="1" x14ac:dyDescent="0.25">
      <c r="A24" s="50" t="s">
        <v>50</v>
      </c>
      <c r="B24" s="34" t="s">
        <v>105</v>
      </c>
      <c r="C24" s="26"/>
      <c r="D24" s="26"/>
      <c r="E24" s="26"/>
    </row>
    <row r="25" spans="1:5" ht="203.25" customHeight="1" x14ac:dyDescent="0.25">
      <c r="A25" s="48" t="s">
        <v>53</v>
      </c>
      <c r="B25" s="27" t="s">
        <v>106</v>
      </c>
      <c r="C25" s="26"/>
      <c r="D25" s="26"/>
      <c r="E25" s="26"/>
    </row>
    <row r="26" spans="1:5" ht="85.5" x14ac:dyDescent="0.25">
      <c r="A26" s="51" t="s">
        <v>57</v>
      </c>
      <c r="B26" s="47" t="s">
        <v>107</v>
      </c>
      <c r="C26" s="26"/>
      <c r="D26" s="26"/>
      <c r="E26" s="26"/>
    </row>
    <row r="27" spans="1:5" x14ac:dyDescent="0.25">
      <c r="A27" s="49"/>
      <c r="B27" s="41"/>
      <c r="C27" s="26"/>
      <c r="D27" s="26"/>
      <c r="E27" s="26"/>
    </row>
    <row r="28" spans="1:5" x14ac:dyDescent="0.25">
      <c r="A28" s="165" t="s">
        <v>108</v>
      </c>
      <c r="B28" s="171"/>
      <c r="C28" s="26"/>
      <c r="D28" s="26"/>
      <c r="E28" s="26"/>
    </row>
    <row r="29" spans="1:5" ht="57.75" x14ac:dyDescent="0.25">
      <c r="A29" s="55" t="s">
        <v>50</v>
      </c>
      <c r="B29" s="41" t="s">
        <v>109</v>
      </c>
      <c r="C29" s="26"/>
      <c r="D29" s="26"/>
      <c r="E29" s="26"/>
    </row>
    <row r="30" spans="1:5" x14ac:dyDescent="0.25">
      <c r="A30" s="49"/>
      <c r="B30" s="41"/>
      <c r="C30" s="26"/>
      <c r="D30" s="26"/>
      <c r="E30" s="26"/>
    </row>
    <row r="31" spans="1:5" x14ac:dyDescent="0.25">
      <c r="A31" s="172" t="s">
        <v>110</v>
      </c>
      <c r="B31" s="173"/>
      <c r="C31" s="26"/>
      <c r="D31" s="26"/>
      <c r="E31" s="26"/>
    </row>
    <row r="32" spans="1:5" ht="43.5" x14ac:dyDescent="0.25">
      <c r="A32" s="71" t="s">
        <v>50</v>
      </c>
      <c r="B32" s="72" t="s">
        <v>111</v>
      </c>
      <c r="C32" s="26"/>
      <c r="D32" s="26"/>
      <c r="E32" s="26"/>
    </row>
    <row r="33" spans="1:5" ht="43.5" x14ac:dyDescent="0.25">
      <c r="A33" s="51" t="s">
        <v>53</v>
      </c>
      <c r="B33" s="29" t="s">
        <v>112</v>
      </c>
      <c r="C33" s="26"/>
      <c r="D33" s="26"/>
      <c r="E33" s="26"/>
    </row>
    <row r="34" spans="1:5" x14ac:dyDescent="0.25">
      <c r="A34" s="52"/>
      <c r="B34" s="40"/>
      <c r="C34" s="26"/>
      <c r="D34" s="26"/>
      <c r="E34" s="26"/>
    </row>
    <row r="35" spans="1:5" x14ac:dyDescent="0.25">
      <c r="A35" s="165" t="s">
        <v>113</v>
      </c>
      <c r="B35" s="166"/>
      <c r="C35" s="26"/>
      <c r="D35" s="26"/>
      <c r="E35" s="26"/>
    </row>
    <row r="36" spans="1:5" ht="86.25" x14ac:dyDescent="0.25">
      <c r="A36" s="50" t="s">
        <v>50</v>
      </c>
      <c r="B36" s="34" t="s">
        <v>114</v>
      </c>
      <c r="C36" s="26"/>
      <c r="D36" s="26"/>
      <c r="E36" s="26"/>
    </row>
    <row r="37" spans="1:5" ht="116.25" customHeight="1" x14ac:dyDescent="0.25">
      <c r="A37" s="48" t="s">
        <v>53</v>
      </c>
      <c r="B37" s="27" t="s">
        <v>115</v>
      </c>
      <c r="C37" s="26"/>
      <c r="D37" s="26"/>
      <c r="E37" s="26"/>
    </row>
    <row r="38" spans="1:5" ht="61.5" customHeight="1" x14ac:dyDescent="0.25">
      <c r="A38" s="51" t="s">
        <v>57</v>
      </c>
      <c r="B38" s="29" t="s">
        <v>116</v>
      </c>
      <c r="C38" s="26"/>
      <c r="D38" s="26"/>
      <c r="E38" s="26"/>
    </row>
    <row r="39" spans="1:5" x14ac:dyDescent="0.25">
      <c r="A39" s="54"/>
      <c r="B39" s="6"/>
    </row>
    <row r="40" spans="1:5" x14ac:dyDescent="0.25">
      <c r="A40" s="165" t="s">
        <v>117</v>
      </c>
      <c r="B40" s="166"/>
      <c r="C40" s="26"/>
      <c r="D40" s="26"/>
      <c r="E40" s="26"/>
    </row>
    <row r="41" spans="1:5" ht="115.5" x14ac:dyDescent="0.25">
      <c r="A41" s="53" t="s">
        <v>50</v>
      </c>
      <c r="B41" s="44" t="s">
        <v>118</v>
      </c>
      <c r="C41" s="26"/>
      <c r="D41" s="26"/>
      <c r="E41" s="26"/>
    </row>
  </sheetData>
  <mergeCells count="8">
    <mergeCell ref="A35:B35"/>
    <mergeCell ref="A40:B40"/>
    <mergeCell ref="A1:B1"/>
    <mergeCell ref="A2:B2"/>
    <mergeCell ref="A18:B18"/>
    <mergeCell ref="A23:B23"/>
    <mergeCell ref="A28:B28"/>
    <mergeCell ref="A31:B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B16"/>
  <sheetViews>
    <sheetView workbookViewId="0">
      <selection sqref="A1:XFD1048576"/>
    </sheetView>
  </sheetViews>
  <sheetFormatPr defaultColWidth="8.85546875" defaultRowHeight="15" x14ac:dyDescent="0.2"/>
  <cols>
    <col min="1" max="1" width="8.85546875" style="59" customWidth="1"/>
    <col min="2" max="2" width="48.7109375" style="59" customWidth="1"/>
    <col min="3" max="3" width="8.85546875" style="57" customWidth="1"/>
    <col min="4" max="16384" width="8.85546875" style="57"/>
  </cols>
  <sheetData>
    <row r="1" spans="1:2" x14ac:dyDescent="0.2">
      <c r="A1" s="56"/>
      <c r="B1" s="56"/>
    </row>
    <row r="2" spans="1:2" x14ac:dyDescent="0.2">
      <c r="A2" s="56"/>
      <c r="B2" s="56"/>
    </row>
    <row r="3" spans="1:2" x14ac:dyDescent="0.2">
      <c r="A3" s="56"/>
      <c r="B3" s="56"/>
    </row>
    <row r="4" spans="1:2" x14ac:dyDescent="0.2">
      <c r="A4" s="56"/>
      <c r="B4" s="56"/>
    </row>
    <row r="5" spans="1:2" x14ac:dyDescent="0.2">
      <c r="A5" s="56"/>
      <c r="B5" s="56"/>
    </row>
    <row r="6" spans="1:2" x14ac:dyDescent="0.2">
      <c r="A6" s="56"/>
      <c r="B6" s="56"/>
    </row>
    <row r="7" spans="1:2" x14ac:dyDescent="0.2">
      <c r="A7" s="56"/>
      <c r="B7" s="56"/>
    </row>
    <row r="8" spans="1:2" x14ac:dyDescent="0.2">
      <c r="A8" s="56"/>
      <c r="B8" s="56"/>
    </row>
    <row r="9" spans="1:2" x14ac:dyDescent="0.2">
      <c r="A9" s="56"/>
      <c r="B9" s="56"/>
    </row>
    <row r="10" spans="1:2" x14ac:dyDescent="0.2">
      <c r="A10" s="56"/>
      <c r="B10" s="56"/>
    </row>
    <row r="11" spans="1:2" x14ac:dyDescent="0.2">
      <c r="A11" s="56"/>
      <c r="B11" s="56"/>
    </row>
    <row r="12" spans="1:2" x14ac:dyDescent="0.2">
      <c r="A12" s="56"/>
      <c r="B12" s="56"/>
    </row>
    <row r="13" spans="1:2" x14ac:dyDescent="0.2">
      <c r="A13" s="56"/>
      <c r="B13" s="56"/>
    </row>
    <row r="14" spans="1:2" x14ac:dyDescent="0.2">
      <c r="A14" s="56"/>
      <c r="B14" s="56"/>
    </row>
    <row r="15" spans="1:2" x14ac:dyDescent="0.2">
      <c r="A15" s="56"/>
      <c r="B15" s="56"/>
    </row>
    <row r="16" spans="1:2" x14ac:dyDescent="0.2">
      <c r="A16" s="58"/>
      <c r="B16" s="58"/>
    </row>
  </sheetData>
  <customSheetViews>
    <customSheetView guid="{68E7B74C-C3B2-4B0B-8DBB-C6EB7678BF05}">
      <pageMargins left="0" right="0" top="0" bottom="0" header="0" footer="0"/>
      <pageSetup orientation="portrait"/>
    </customSheetView>
    <customSheetView guid="{056DF672-C699-49F3-9F8F-FF611E6486A3}">
      <pageMargins left="0" right="0" top="0" bottom="0" header="0" footer="0"/>
      <pageSetup orientation="portrait"/>
    </customSheetView>
  </customSheetView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273CF0100BEA408CA85B99C9285D24" ma:contentTypeVersion="2" ma:contentTypeDescription="Create a new document." ma:contentTypeScope="" ma:versionID="99866b221484a3e8569250f4fc948634">
  <xsd:schema xmlns:xsd="http://www.w3.org/2001/XMLSchema" xmlns:xs="http://www.w3.org/2001/XMLSchema" xmlns:p="http://schemas.microsoft.com/office/2006/metadata/properties" targetNamespace="http://schemas.microsoft.com/office/2006/metadata/properties" ma:root="true" ma:fieldsID="385f2738f13900dcfdaa380c0eea8ee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02F9C6-5C87-4777-B8CE-18907F8BEAD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4D25509-4B91-482F-9908-60812C4F7D65}">
  <ds:schemaRefs>
    <ds:schemaRef ds:uri="http://schemas.microsoft.com/sharepoint/v3/contenttype/forms"/>
  </ds:schemaRefs>
</ds:datastoreItem>
</file>

<file path=customXml/itemProps3.xml><?xml version="1.0" encoding="utf-8"?>
<ds:datastoreItem xmlns:ds="http://schemas.openxmlformats.org/officeDocument/2006/customXml" ds:itemID="{7EF659BD-16BA-4DA3-9334-E3DF958913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RFQ</vt:lpstr>
      <vt:lpstr>Tech Eval HNC USE ONLY</vt:lpstr>
      <vt:lpstr>Instructions</vt:lpstr>
      <vt:lpstr>Prep Tab</vt:lpstr>
      <vt:lpstr>RFQ!Print_Area</vt:lpstr>
      <vt:lpstr>'Tech Eval HNC USE ONLY'!Print_Area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Woods, Stephanie D CIV USARMY CEHNC (USA)</dc:creator>
  <cp:keywords/>
  <dc:description/>
  <cp:lastModifiedBy>Smith, Cheryl C CIV USARMY CEHNC (USA)</cp:lastModifiedBy>
  <cp:revision/>
  <dcterms:created xsi:type="dcterms:W3CDTF">2019-04-08T19:42:10Z</dcterms:created>
  <dcterms:modified xsi:type="dcterms:W3CDTF">2026-04-14T18:23:49Z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0x01010014273CF0100BEA408CA85B99C9285D24</vt:lpwstr>
  </property>
  <property fmtid="{D5CDD505-2E9C-101B-9397-08002B2CF9AE}" pid="3" name="MediaServiceImageTags">
    <vt:lpwstr/>
  </property>
</Properties>
</file>