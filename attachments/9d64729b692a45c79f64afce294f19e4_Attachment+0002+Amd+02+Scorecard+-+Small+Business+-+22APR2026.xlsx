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myeitaas-my.sharepoint-mil.us/personal/molly_e_beale_civ_army_mil/Documents/Desktop/RS3 Workload/01 - Pre-Award/MAPS/RFP/Amendment 03 - 22APR2026/"/>
    </mc:Choice>
  </mc:AlternateContent>
  <xr:revisionPtr revIDLastSave="0" documentId="8_{E7246906-5444-4416-8DA1-2637FA9C237F}" xr6:coauthVersionLast="47" xr6:coauthVersionMax="47" xr10:uidLastSave="{00000000-0000-0000-0000-000000000000}"/>
  <workbookProtection workbookAlgorithmName="SHA-512" workbookHashValue="4u3W8bZu0hWgzNj9ceLmJ7d5pavxnQCmslXMDLR7/4Ll96kS09ok1Ufwbta8mCEQf4SCqHKU+I5QEjXu6DDdQw==" workbookSaltValue="SiVH0zP2rexh3uPiTOJ7Ow==" workbookSpinCount="100000" lockStructure="1"/>
  <bookViews>
    <workbookView xWindow="28680" yWindow="-90" windowWidth="29040" windowHeight="15690" tabRatio="770" xr2:uid="{00000000-000D-0000-FFFF-FFFF00000000}"/>
  </bookViews>
  <sheets>
    <sheet name="Small Business" sheetId="24" r:id="rId1"/>
    <sheet name="LIST" sheetId="26"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24" l="1"/>
  <c r="G56" i="24"/>
</calcChain>
</file>

<file path=xl/sharedStrings.xml><?xml version="1.0" encoding="utf-8"?>
<sst xmlns="http://schemas.openxmlformats.org/spreadsheetml/2006/main" count="221" uniqueCount="100">
  <si>
    <t xml:space="preserve">DOMAIN: </t>
  </si>
  <si>
    <t>Please answer the following questions and provide the required documentation.</t>
  </si>
  <si>
    <t>SECTION 01 - SCREENING QUESTIONS</t>
  </si>
  <si>
    <r>
      <t xml:space="preserve">
</t>
    </r>
    <r>
      <rPr>
        <b/>
        <sz val="10"/>
        <color rgb="FF000000"/>
        <rFont val="Times New Roman"/>
        <family val="1"/>
      </rPr>
      <t>Have all submission requirements been met?</t>
    </r>
    <r>
      <rPr>
        <sz val="10"/>
        <color rgb="FF000000"/>
        <rFont val="Times New Roman"/>
        <family val="1"/>
      </rPr>
      <t xml:space="preserve"> 
Please refer to RFP Section L.1.
</t>
    </r>
  </si>
  <si>
    <r>
      <t xml:space="preserve">
</t>
    </r>
    <r>
      <rPr>
        <b/>
        <sz val="10"/>
        <color rgb="FF000000"/>
        <rFont val="Times New Roman"/>
        <family val="1"/>
      </rPr>
      <t>Does your company have an active facility clearance of SECRET?</t>
    </r>
    <r>
      <rPr>
        <sz val="10"/>
        <color rgb="FF000000"/>
        <rFont val="Times New Roman"/>
        <family val="1"/>
      </rPr>
      <t xml:space="preserve">
Offerors shall submit supporting documentation to show that your company has a Secret Clearance.
</t>
    </r>
  </si>
  <si>
    <r>
      <t xml:space="preserve">
</t>
    </r>
    <r>
      <rPr>
        <b/>
        <sz val="10"/>
        <color rgb="FF000000"/>
        <rFont val="Times New Roman"/>
        <family val="1"/>
      </rPr>
      <t>Is your company ISO 9001:2015 or ISO 9001:2013 certified?</t>
    </r>
    <r>
      <rPr>
        <sz val="10"/>
        <color rgb="FF000000"/>
        <rFont val="Times New Roman"/>
        <family val="1"/>
      </rPr>
      <t xml:space="preserve">
Offerors shall provide verification of a current ISO 9001:2015 or ISO 9001:2013 Certification. Verification requirements include a copy of the Offeror’s official certification from an approved ISO 9001:2015 or ISO 9001:2013 certification body. The Offeror shall provide POC information that includes the name of the certification body and name, address, phone number, and email address of the representative who provided the current ISO 9001:2015 or ISO 9001:2013 Certification.
</t>
    </r>
  </si>
  <si>
    <r>
      <rPr>
        <sz val="10"/>
        <color rgb="FF000000"/>
        <rFont val="Times New Roman"/>
        <family val="1"/>
      </rPr>
      <t xml:space="preserve">
</t>
    </r>
    <r>
      <rPr>
        <b/>
        <sz val="10"/>
        <color rgb="FF000000"/>
        <rFont val="Times New Roman"/>
        <family val="1"/>
      </rPr>
      <t>Is your company CMMC Final Level 2 (self) certified?</t>
    </r>
    <r>
      <rPr>
        <sz val="10"/>
        <color rgb="FF000000"/>
        <rFont val="Times New Roman"/>
        <family val="1"/>
      </rPr>
      <t xml:space="preserve"> 
Offerors shall provide documentation of a CMMC Final Level 2 (self) or higher CMMC Certification. 
*Documentation shall include a screenshot of your Supplier Performance Risk System (SPRS) certificate. 
</t>
    </r>
  </si>
  <si>
    <r>
      <rPr>
        <b/>
        <u/>
        <sz val="20"/>
        <color rgb="FF000000"/>
        <rFont val="Times New Roman"/>
        <family val="1"/>
      </rPr>
      <t>STOP!!</t>
    </r>
    <r>
      <rPr>
        <b/>
        <sz val="14"/>
        <color rgb="FF000000"/>
        <rFont val="Times New Roman"/>
        <family val="1"/>
      </rPr>
      <t xml:space="preserve">
If you have answered NO to any of the above questions, your proposal will not be evaluated any further. Only move on to Section 02 of this Scorecard if all answers above are YES.</t>
    </r>
  </si>
  <si>
    <t>SECTION 02 - SCORECARD</t>
  </si>
  <si>
    <t>#</t>
  </si>
  <si>
    <t>RFP Section</t>
  </si>
  <si>
    <t>Capability</t>
  </si>
  <si>
    <t>Qualification</t>
  </si>
  <si>
    <t>Max Point(s)</t>
  </si>
  <si>
    <t xml:space="preserve">Self Scored Rating </t>
  </si>
  <si>
    <t>Self Point(s) Received</t>
  </si>
  <si>
    <t>Government Verified Rating</t>
  </si>
  <si>
    <t>Gov't Point(s) Received</t>
  </si>
  <si>
    <t>Government Approved Systems and Certifications</t>
  </si>
  <si>
    <t>M.4.1</t>
  </si>
  <si>
    <t>Systems</t>
  </si>
  <si>
    <t>M.4.2</t>
  </si>
  <si>
    <t>Certifications</t>
  </si>
  <si>
    <t xml:space="preserve">Past Performance </t>
  </si>
  <si>
    <t>M.5.1</t>
  </si>
  <si>
    <t>Recency - QP 1</t>
  </si>
  <si>
    <t>Recency - QP 2</t>
  </si>
  <si>
    <t>Recency - QP 3</t>
  </si>
  <si>
    <t>M.5.2</t>
  </si>
  <si>
    <t>Relevance - QP 1</t>
  </si>
  <si>
    <t>Relevance - QP 2</t>
  </si>
  <si>
    <t>Relevance - QP 3</t>
  </si>
  <si>
    <t>M.5.3</t>
  </si>
  <si>
    <t>NAICS Alignment - QP 1</t>
  </si>
  <si>
    <t>NAICS Alignment - QP 2</t>
  </si>
  <si>
    <t>NAICS Alignment - QP 3</t>
  </si>
  <si>
    <t>M.5.4</t>
  </si>
  <si>
    <t>Performance Quality - QP 1</t>
  </si>
  <si>
    <t>Performance Quality - QP 2</t>
  </si>
  <si>
    <t>Performance Quality - QP 3</t>
  </si>
  <si>
    <t>M.5.5</t>
  </si>
  <si>
    <t>Dollar Value - QP 1</t>
  </si>
  <si>
    <t>Dollar Value - QP 2</t>
  </si>
  <si>
    <t>Dollar Value - QP 3</t>
  </si>
  <si>
    <t>M.5.6</t>
  </si>
  <si>
    <t>Passthrough Rate - QP 1</t>
  </si>
  <si>
    <t>Passthrough Rate - QP 2</t>
  </si>
  <si>
    <t>Passthrough Rate - QP 3</t>
  </si>
  <si>
    <t>LOE QPs ONLY:</t>
  </si>
  <si>
    <t>Vacancy Rate - QP 1</t>
  </si>
  <si>
    <t>Vacancy Rate - QP 2</t>
  </si>
  <si>
    <t>Vacancy Rate - QP 3</t>
  </si>
  <si>
    <t>Time to Fill Rate - QP 1</t>
  </si>
  <si>
    <t>Time to Fill Rate - QP 2</t>
  </si>
  <si>
    <t>Time to Fill Rate - QP 3</t>
  </si>
  <si>
    <t xml:space="preserve">OUTCOME BASED QPs ONLY: </t>
  </si>
  <si>
    <t>Schedule - QP 1</t>
  </si>
  <si>
    <t>Schedule - QP 2</t>
  </si>
  <si>
    <t>Schedule - QP 3</t>
  </si>
  <si>
    <t>Completeness - QP 1</t>
  </si>
  <si>
    <t>Completeness - QP 2</t>
  </si>
  <si>
    <t>Completeness - QP 3</t>
  </si>
  <si>
    <t>TOTAL CREDITS AVAILABLE</t>
  </si>
  <si>
    <t>TOTAL SELF CREDIT EARNED</t>
  </si>
  <si>
    <r>
      <rPr>
        <sz val="10"/>
        <color rgb="FF000000"/>
        <rFont val="Times New Roman"/>
        <family val="1"/>
      </rPr>
      <t xml:space="preserve">
Offeror will receive: 
</t>
    </r>
    <r>
      <rPr>
        <b/>
        <sz val="10"/>
        <color rgb="FF000000"/>
        <rFont val="Wingdings"/>
        <charset val="2"/>
      </rPr>
      <t>Ø</t>
    </r>
    <r>
      <rPr>
        <sz val="10"/>
        <color rgb="FF000000"/>
        <rFont val="Times New Roman"/>
        <family val="1"/>
      </rPr>
      <t xml:space="preserve"> 1,000 points for having a scheduled Conditional or scheduled Final CMMC Level 2 (C3PAO) Certification (without an approved conditional in place); or, 
</t>
    </r>
    <r>
      <rPr>
        <b/>
        <sz val="10"/>
        <color rgb="FF000000"/>
        <rFont val="Wingdings"/>
        <charset val="2"/>
      </rPr>
      <t>Ø</t>
    </r>
    <r>
      <rPr>
        <sz val="10"/>
        <color rgb="FF000000"/>
        <rFont val="Times New Roman"/>
        <family val="1"/>
      </rPr>
      <t xml:space="preserve"> 2,000 points for having an active and approved Conditional CMMC Level 2 (C3PAO) Certification; or, 
</t>
    </r>
    <r>
      <rPr>
        <b/>
        <sz val="10"/>
        <color rgb="FF000000"/>
        <rFont val="Wingdings"/>
        <charset val="2"/>
      </rPr>
      <t>Ø</t>
    </r>
    <r>
      <rPr>
        <b/>
        <sz val="10"/>
        <color rgb="FF000000"/>
        <rFont val="Times New Roman"/>
        <family val="1"/>
      </rPr>
      <t xml:space="preserve"> </t>
    </r>
    <r>
      <rPr>
        <sz val="10"/>
        <color rgb="FF000000"/>
        <rFont val="Times New Roman"/>
        <family val="1"/>
      </rPr>
      <t xml:space="preserve">3,000 points for having an active and approved Final CMMC Level 2 (C3PAO) Certification
</t>
    </r>
  </si>
  <si>
    <r>
      <t xml:space="preserve">
</t>
    </r>
    <r>
      <rPr>
        <b/>
        <sz val="10"/>
        <color rgb="FF000000"/>
        <rFont val="Times New Roman"/>
        <family val="1"/>
      </rPr>
      <t>Are you a Small Business?</t>
    </r>
    <r>
      <rPr>
        <sz val="10"/>
        <color rgb="FF000000"/>
        <rFont val="Times New Roman"/>
        <family val="1"/>
      </rPr>
      <t xml:space="preserve">
Offerors shall provide Small Business Certification.
</t>
    </r>
  </si>
  <si>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 will receive 2,500 points for having an Active TOP SECRET Facility Clearance
</t>
    </r>
  </si>
  <si>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 will receive 2,500 points for having an active and approved ISO/IEC 27001:2022 Certification
</t>
    </r>
  </si>
  <si>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Offerors will receive 7,000 points per QP that meets 100.00% of the Technical Capabilities under the Domain they are proposing.
</t>
    </r>
    <r>
      <rPr>
        <b/>
        <sz val="10"/>
        <color rgb="FF000000"/>
        <rFont val="Wingdings"/>
        <charset val="2"/>
      </rPr>
      <t>Ø</t>
    </r>
    <r>
      <rPr>
        <sz val="10"/>
        <color rgb="FF000000"/>
        <rFont val="Times New Roman"/>
        <family val="1"/>
      </rPr>
      <t xml:space="preserve"> Offerors will receive 5,000 points per QP that meets 75.00-99.99% of the Technical Capabilities under the Domain they are proposing.
</t>
    </r>
    <r>
      <rPr>
        <b/>
        <sz val="10"/>
        <color rgb="FF000000"/>
        <rFont val="Wingdings"/>
        <charset val="2"/>
      </rPr>
      <t>Ø</t>
    </r>
    <r>
      <rPr>
        <sz val="10"/>
        <color rgb="FF000000"/>
        <rFont val="Times New Roman"/>
        <family val="1"/>
      </rPr>
      <t xml:space="preserve"> Offerors will receive 2,500 points per QP that meets 50.00-74.99% of the Technical Capabilities under the Domain they are proposing.
</t>
    </r>
    <r>
      <rPr>
        <b/>
        <sz val="10"/>
        <color rgb="FF000000"/>
        <rFont val="Wingdings"/>
        <charset val="2"/>
      </rPr>
      <t>Ø</t>
    </r>
    <r>
      <rPr>
        <sz val="10"/>
        <color rgb="FF000000"/>
        <rFont val="Times New Roman"/>
        <family val="1"/>
      </rPr>
      <t xml:space="preserve"> Offerors will receive 1,000 points per QP that meets 25.00-49.99% of the Technical Capabilities under the Domain they are proposing.
</t>
    </r>
    <r>
      <rPr>
        <b/>
        <sz val="10"/>
        <color rgb="FF000000"/>
        <rFont val="Wingdings"/>
        <charset val="2"/>
      </rPr>
      <t>Ø</t>
    </r>
    <r>
      <rPr>
        <sz val="10"/>
        <color rgb="FF000000"/>
        <rFont val="Times New Roman"/>
        <family val="1"/>
      </rPr>
      <t xml:space="preserve"> Offerors will receive 0 points per QPs that meets 0.00-24.99% of the Technical Capabilities under the Domain they are proposing.
</t>
    </r>
  </si>
  <si>
    <r>
      <t xml:space="preserve">
</t>
    </r>
    <r>
      <rPr>
        <b/>
        <sz val="10"/>
        <color rgb="FF000000"/>
        <rFont val="Wingdings"/>
        <charset val="2"/>
      </rPr>
      <t>Ø</t>
    </r>
    <r>
      <rPr>
        <sz val="10"/>
        <color rgb="FF000000"/>
        <rFont val="Times New Roman"/>
        <family val="1"/>
      </rPr>
      <t xml:space="preserve"> Offeror will receive 1,000 points per QP that aligns with proposed Domain specific NAICS. 
</t>
    </r>
  </si>
  <si>
    <r>
      <rPr>
        <b/>
        <sz val="10"/>
        <color rgb="FF000000"/>
        <rFont val="Wingdings"/>
        <charset val="2"/>
      </rPr>
      <t xml:space="preserve">
Ø</t>
    </r>
    <r>
      <rPr>
        <sz val="10"/>
        <color rgb="FF000000"/>
        <rFont val="Times New Roman"/>
        <family val="1"/>
      </rPr>
      <t xml:space="preserve"> Offeror will receive 10,000 points per QP that has Exceptional Past Performance (PP) Rating in all CPARS/PPQ elements.
</t>
    </r>
    <r>
      <rPr>
        <b/>
        <sz val="10"/>
        <color rgb="FF000000"/>
        <rFont val="Wingdings"/>
        <charset val="2"/>
      </rPr>
      <t>Ø</t>
    </r>
    <r>
      <rPr>
        <sz val="10"/>
        <color rgb="FF000000"/>
        <rFont val="Times New Roman"/>
        <family val="1"/>
      </rPr>
      <t xml:space="preserve"> Offeror will receive 7,500 points per QP that has at least a Very Good (or combination of Very Good and higher) PP Rating in each CPARS/PPQ elements. 
</t>
    </r>
    <r>
      <rPr>
        <b/>
        <sz val="10"/>
        <color rgb="FF000000"/>
        <rFont val="Wingdings"/>
        <charset val="2"/>
      </rPr>
      <t>Ø</t>
    </r>
    <r>
      <rPr>
        <sz val="10"/>
        <color rgb="FF000000"/>
        <rFont val="Times New Roman"/>
        <family val="1"/>
      </rPr>
      <t xml:space="preserve"> Offeror will receive 4,500 points per QP that has at least a Satisfactory (or combination of Satisfactory and higher) PP Rating in each CPARS/PPQ elements. 
</t>
    </r>
    <r>
      <rPr>
        <b/>
        <sz val="10"/>
        <color rgb="FF000000"/>
        <rFont val="Wingdings"/>
        <charset val="2"/>
      </rPr>
      <t>Ø</t>
    </r>
    <r>
      <rPr>
        <sz val="10"/>
        <color rgb="FF000000"/>
        <rFont val="Times New Roman"/>
        <family val="1"/>
      </rPr>
      <t xml:space="preserve"> Offeror will receive 1,000 points per QP that has a neutral PP Rating in each CPARS/PPQ elements.
</t>
    </r>
    <r>
      <rPr>
        <b/>
        <sz val="10"/>
        <color rgb="FF000000"/>
        <rFont val="Wingdings"/>
        <charset val="2"/>
      </rPr>
      <t>Ø</t>
    </r>
    <r>
      <rPr>
        <sz val="10"/>
        <color rgb="FF000000"/>
        <rFont val="Times New Roman"/>
        <family val="1"/>
      </rPr>
      <t xml:space="preserve"> Offeror will receive zero (0) points per QP that has Marginal (or below) PP Rating in each CPARS/PPQ elements.
</t>
    </r>
    <r>
      <rPr>
        <b/>
        <sz val="10"/>
        <color rgb="FF000000"/>
        <rFont val="Times New Roman"/>
        <family val="1"/>
      </rPr>
      <t xml:space="preserve">※ </t>
    </r>
    <r>
      <rPr>
        <sz val="10"/>
        <color rgb="FF000000"/>
        <rFont val="Times New Roman"/>
        <family val="1"/>
      </rPr>
      <t xml:space="preserve"> Offeror does not receive credit for a project with a below satisfactory rating in any of the CPARS ratings, a neutral rating (i.e., lack of past performance information), or a non-relevant project (regardless of the PP score). If offeror has CPARS the Government will utilize CPARS. If no CPARS is available then the offeror can submit PPQs.
</t>
    </r>
  </si>
  <si>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 will receive 4,000 points per QP  if their total contract value is greater than $10M
</t>
    </r>
    <r>
      <rPr>
        <b/>
        <sz val="10"/>
        <color rgb="FF000000"/>
        <rFont val="Wingdings"/>
        <charset val="2"/>
      </rPr>
      <t>Ø</t>
    </r>
    <r>
      <rPr>
        <b/>
        <sz val="10"/>
        <color rgb="FF000000"/>
        <rFont val="Times New Roman"/>
        <family val="1"/>
      </rPr>
      <t xml:space="preserve"> </t>
    </r>
    <r>
      <rPr>
        <sz val="10"/>
        <color rgb="FF000000"/>
        <rFont val="Times New Roman"/>
        <family val="1"/>
      </rPr>
      <t xml:space="preserve">Offeror will receive 2,000 points per QP  if their total contract value is greater than $5M to $10M
</t>
    </r>
    <r>
      <rPr>
        <b/>
        <sz val="10"/>
        <color rgb="FF000000"/>
        <rFont val="Wingdings"/>
        <charset val="2"/>
      </rPr>
      <t>Ø</t>
    </r>
    <r>
      <rPr>
        <sz val="10"/>
        <color rgb="FF000000"/>
        <rFont val="Times New Roman"/>
        <family val="1"/>
      </rPr>
      <t xml:space="preserve"> Offeror will receive 1,000 points per QP  if their total contract value is greater than  $2.5M to $5M
</t>
    </r>
  </si>
  <si>
    <r>
      <rPr>
        <b/>
        <sz val="10"/>
        <color rgb="FF000000"/>
        <rFont val="Wingdings"/>
        <charset val="2"/>
      </rPr>
      <t xml:space="preserve">
Ø</t>
    </r>
    <r>
      <rPr>
        <sz val="10"/>
        <color rgb="FF000000"/>
        <rFont val="Times New Roman"/>
        <family val="1"/>
      </rPr>
      <t xml:space="preserve">Offerors will receive 6,000 points per QP if the Subcontractor performed between 0.00% to 30.00% of the work
</t>
    </r>
    <r>
      <rPr>
        <b/>
        <sz val="10"/>
        <color rgb="FF000000"/>
        <rFont val="Wingdings"/>
        <charset val="2"/>
      </rPr>
      <t>Ø</t>
    </r>
    <r>
      <rPr>
        <sz val="10"/>
        <color rgb="FF000000"/>
        <rFont val="Times New Roman"/>
        <family val="1"/>
      </rPr>
      <t xml:space="preserve">Offerors will receive 2,500 points per QP if the Subcontractor performed greater than 30.00% but less than/or equal to 50.00% of the work
</t>
    </r>
    <r>
      <rPr>
        <b/>
        <sz val="10"/>
        <color rgb="FF000000"/>
        <rFont val="Wingdings"/>
        <charset val="2"/>
      </rPr>
      <t>Ø</t>
    </r>
    <r>
      <rPr>
        <sz val="10"/>
        <color rgb="FF000000"/>
        <rFont val="Times New Roman"/>
        <family val="1"/>
      </rPr>
      <t xml:space="preserve"> Offerors will receive 1,000 points per QP if the Subcontractor performed greater than 50.00% but less than/or equal to 65.00% of the work
</t>
    </r>
    <r>
      <rPr>
        <b/>
        <sz val="10"/>
        <color rgb="FF000000"/>
        <rFont val="Wingdings"/>
        <charset val="2"/>
      </rPr>
      <t>Ø</t>
    </r>
    <r>
      <rPr>
        <sz val="10"/>
        <color rgb="FF000000"/>
        <rFont val="Times New Roman"/>
        <family val="1"/>
      </rPr>
      <t xml:space="preserve"> Offerors will receive zero (0) points per QP if the Subcontractor performed greater than 65.00% of the work
</t>
    </r>
  </si>
  <si>
    <r>
      <rPr>
        <b/>
        <sz val="10"/>
        <color rgb="FF000000"/>
        <rFont val="Wingdings"/>
        <charset val="2"/>
      </rPr>
      <t xml:space="preserve">
Ø</t>
    </r>
    <r>
      <rPr>
        <sz val="10"/>
        <color rgb="FF000000"/>
        <rFont val="Times New Roman"/>
        <family val="1"/>
      </rPr>
      <t xml:space="preserve"> Offerors will receive 5,000 points per QP with a 0.00% Vacancy Rate
</t>
    </r>
    <r>
      <rPr>
        <b/>
        <sz val="10"/>
        <color rgb="FF000000"/>
        <rFont val="Wingdings"/>
        <charset val="2"/>
      </rPr>
      <t>Ø</t>
    </r>
    <r>
      <rPr>
        <sz val="10"/>
        <color rgb="FF000000"/>
        <rFont val="Times New Roman"/>
        <family val="1"/>
      </rPr>
      <t xml:space="preserve"> Offerors will receive 3,500 points per QP with a greater than 0.00% to 4.99% Vacancy Rate
</t>
    </r>
    <r>
      <rPr>
        <b/>
        <sz val="10"/>
        <color rgb="FF000000"/>
        <rFont val="Wingdings"/>
        <charset val="2"/>
      </rPr>
      <t>Ø</t>
    </r>
    <r>
      <rPr>
        <sz val="10"/>
        <color rgb="FF000000"/>
        <rFont val="Times New Roman"/>
        <family val="1"/>
      </rPr>
      <t xml:space="preserve"> Offerors will receive 2,750 points per QP with a 5.00% to 8.99% Vacancy Rate
</t>
    </r>
    <r>
      <rPr>
        <b/>
        <sz val="10"/>
        <color rgb="FF000000"/>
        <rFont val="Wingdings"/>
        <charset val="2"/>
      </rPr>
      <t>Ø</t>
    </r>
    <r>
      <rPr>
        <sz val="10"/>
        <color rgb="FF000000"/>
        <rFont val="Times New Roman"/>
        <family val="1"/>
      </rPr>
      <t xml:space="preserve"> Offerors will receive 2,000 points per QP with a 9.00% to 11.99% Vacancy Rate
</t>
    </r>
    <r>
      <rPr>
        <b/>
        <sz val="10"/>
        <color rgb="FF000000"/>
        <rFont val="Wingdings"/>
        <charset val="2"/>
      </rPr>
      <t>Ø</t>
    </r>
    <r>
      <rPr>
        <sz val="10"/>
        <color rgb="FF000000"/>
        <rFont val="Times New Roman"/>
        <family val="1"/>
      </rPr>
      <t xml:space="preserve"> Offerors will receive 1,000 point per QP with a 12.00 to 14.99% Vacancy Rate
</t>
    </r>
    <r>
      <rPr>
        <b/>
        <sz val="10"/>
        <color rgb="FF000000"/>
        <rFont val="Wingdings"/>
        <charset val="2"/>
      </rPr>
      <t>Ø</t>
    </r>
    <r>
      <rPr>
        <sz val="10"/>
        <color rgb="FF000000"/>
        <rFont val="Times New Roman"/>
        <family val="1"/>
      </rPr>
      <t xml:space="preserve"> Offerors will receive 0 points per QP with a 15.00% or greater Vacancy Rate
</t>
    </r>
  </si>
  <si>
    <r>
      <rPr>
        <b/>
        <sz val="10"/>
        <color rgb="FF000000"/>
        <rFont val="Wingdings"/>
        <charset val="2"/>
      </rPr>
      <t xml:space="preserve">
Ø</t>
    </r>
    <r>
      <rPr>
        <sz val="10"/>
        <color rgb="FF000000"/>
        <rFont val="Times New Roman"/>
        <family val="1"/>
      </rPr>
      <t xml:space="preserve"> Offerors will receive 5,000 points per QP that meets 30 days or less to fill
</t>
    </r>
    <r>
      <rPr>
        <b/>
        <sz val="10"/>
        <color rgb="FF000000"/>
        <rFont val="Wingdings"/>
        <charset val="2"/>
      </rPr>
      <t>Ø</t>
    </r>
    <r>
      <rPr>
        <sz val="10"/>
        <color rgb="FF000000"/>
        <rFont val="Times New Roman"/>
        <family val="1"/>
      </rPr>
      <t xml:space="preserve"> Offerors will receive 3,500 points per QP that meets 31-45 days to fill
</t>
    </r>
    <r>
      <rPr>
        <b/>
        <sz val="10"/>
        <color rgb="FF000000"/>
        <rFont val="Wingdings"/>
        <charset val="2"/>
      </rPr>
      <t>Ø</t>
    </r>
    <r>
      <rPr>
        <sz val="10"/>
        <color rgb="FF000000"/>
        <rFont val="Times New Roman"/>
        <family val="1"/>
      </rPr>
      <t xml:space="preserve"> Offerors will receive 2,750 points per QP that meets 46-50 days to fill
</t>
    </r>
    <r>
      <rPr>
        <b/>
        <sz val="10"/>
        <color rgb="FF000000"/>
        <rFont val="Wingdings"/>
        <charset val="2"/>
      </rPr>
      <t>Ø</t>
    </r>
    <r>
      <rPr>
        <sz val="10"/>
        <color rgb="FF000000"/>
        <rFont val="Times New Roman"/>
        <family val="1"/>
      </rPr>
      <t xml:space="preserve"> Offerors will receive 2,000 points per QP that meets 51-60 days to fill
</t>
    </r>
    <r>
      <rPr>
        <b/>
        <sz val="10"/>
        <color rgb="FF000000"/>
        <rFont val="Wingdings"/>
        <charset val="2"/>
      </rPr>
      <t>Ø</t>
    </r>
    <r>
      <rPr>
        <sz val="10"/>
        <color rgb="FF000000"/>
        <rFont val="Times New Roman"/>
        <family val="1"/>
      </rPr>
      <t xml:space="preserve"> Offerors will receive 1,000 points per QPs that meets 61-74 days to fill
</t>
    </r>
    <r>
      <rPr>
        <b/>
        <sz val="10"/>
        <color rgb="FF000000"/>
        <rFont val="Wingdings"/>
        <charset val="2"/>
      </rPr>
      <t>Ø</t>
    </r>
    <r>
      <rPr>
        <sz val="10"/>
        <color rgb="FF000000"/>
        <rFont val="Times New Roman"/>
        <family val="1"/>
      </rPr>
      <t xml:space="preserve"> Offerors will receive 0 points per QP that meets 75 days or more to fill
</t>
    </r>
  </si>
  <si>
    <r>
      <rPr>
        <b/>
        <sz val="10"/>
        <color rgb="FF000000"/>
        <rFont val="Wingdings"/>
        <charset val="2"/>
      </rPr>
      <t xml:space="preserve">
Ø</t>
    </r>
    <r>
      <rPr>
        <sz val="10"/>
        <color rgb="FF000000"/>
        <rFont val="Times New Roman"/>
        <family val="1"/>
      </rPr>
      <t xml:space="preserve"> Offerors will receive 5,000 points per QP if greater than 50.00% of the AQL
</t>
    </r>
    <r>
      <rPr>
        <b/>
        <sz val="10"/>
        <color rgb="FF000000"/>
        <rFont val="Wingdings"/>
        <charset val="2"/>
      </rPr>
      <t>Ø</t>
    </r>
    <r>
      <rPr>
        <sz val="10"/>
        <color rgb="FF000000"/>
        <rFont val="Times New Roman"/>
        <family val="1"/>
      </rPr>
      <t xml:space="preserve"> Offerors will receive 3,500 points per QP if greater than 20.00% but less than/or equal to 50.00% of the AQL 
</t>
    </r>
    <r>
      <rPr>
        <b/>
        <sz val="10"/>
        <color rgb="FF000000"/>
        <rFont val="Wingdings"/>
        <charset val="2"/>
      </rPr>
      <t>Ø</t>
    </r>
    <r>
      <rPr>
        <sz val="10"/>
        <color rgb="FF000000"/>
        <rFont val="Times New Roman"/>
        <family val="1"/>
      </rPr>
      <t xml:space="preserve"> Offerors will receive 2,500 points per QP if greater than the AQL but less than/or equal to 20.00% of the AQL 
</t>
    </r>
    <r>
      <rPr>
        <b/>
        <sz val="10"/>
        <color rgb="FF000000"/>
        <rFont val="Wingdings"/>
        <charset val="2"/>
      </rPr>
      <t>Ø</t>
    </r>
    <r>
      <rPr>
        <sz val="10"/>
        <color rgb="FF000000"/>
        <rFont val="Times New Roman"/>
        <family val="1"/>
      </rPr>
      <t xml:space="preserve"> Offerors will receive 1,000 points per QP if AQL has been met
</t>
    </r>
    <r>
      <rPr>
        <b/>
        <sz val="10"/>
        <color rgb="FF000000"/>
        <rFont val="Wingdings"/>
        <charset val="2"/>
      </rPr>
      <t>Ø</t>
    </r>
    <r>
      <rPr>
        <sz val="10"/>
        <color rgb="FF000000"/>
        <rFont val="Times New Roman"/>
        <family val="1"/>
      </rPr>
      <t xml:space="preserve"> Offerors will receive zero (0) points per QP if less than AQL is met
</t>
    </r>
  </si>
  <si>
    <r>
      <rPr>
        <b/>
        <sz val="10"/>
        <color rgb="FF000000"/>
        <rFont val="Wingdings"/>
        <charset val="2"/>
      </rPr>
      <t xml:space="preserve">
Ø</t>
    </r>
    <r>
      <rPr>
        <sz val="10"/>
        <color rgb="FF000000"/>
        <rFont val="Times New Roman"/>
        <family val="1"/>
      </rPr>
      <t xml:space="preserve"> Offerors will receive 5,000 points per QP that meets AQL and has greater than 10 documented efficiencies
</t>
    </r>
    <r>
      <rPr>
        <b/>
        <sz val="10"/>
        <color rgb="FF000000"/>
        <rFont val="Wingdings"/>
        <charset val="2"/>
      </rPr>
      <t>Ø</t>
    </r>
    <r>
      <rPr>
        <sz val="10"/>
        <color rgb="FF000000"/>
        <rFont val="Times New Roman"/>
        <family val="1"/>
      </rPr>
      <t xml:space="preserve"> Offerors will receive 3,500 points per QP that meets AQL and has 6-10 documented efficiencies
</t>
    </r>
    <r>
      <rPr>
        <b/>
        <sz val="10"/>
        <color rgb="FF000000"/>
        <rFont val="Wingdings"/>
        <charset val="2"/>
      </rPr>
      <t>Ø</t>
    </r>
    <r>
      <rPr>
        <sz val="10"/>
        <color rgb="FF000000"/>
        <rFont val="Times New Roman"/>
        <family val="1"/>
      </rPr>
      <t xml:space="preserve"> Offerors will receive 2,500 points per QP that meets AQL and has 1-5 documented efficiencies
</t>
    </r>
    <r>
      <rPr>
        <b/>
        <sz val="10"/>
        <color rgb="FF000000"/>
        <rFont val="Wingdings"/>
        <charset val="2"/>
      </rPr>
      <t>Ø</t>
    </r>
    <r>
      <rPr>
        <sz val="10"/>
        <color rgb="FF000000"/>
        <rFont val="Times New Roman"/>
        <family val="1"/>
      </rPr>
      <t xml:space="preserve"> Offerors will receive 1,000 points per QP if it only meets the AQL
</t>
    </r>
    <r>
      <rPr>
        <b/>
        <sz val="10"/>
        <color rgb="FF000000"/>
        <rFont val="Wingdings"/>
        <charset val="2"/>
      </rPr>
      <t>Ø</t>
    </r>
    <r>
      <rPr>
        <sz val="10"/>
        <color rgb="FF000000"/>
        <rFont val="Times New Roman"/>
        <family val="1"/>
      </rPr>
      <t xml:space="preserve"> Offerors will receive zero (0) points per QP if it meets less than the AQL
</t>
    </r>
  </si>
  <si>
    <t>M.5.7.1</t>
  </si>
  <si>
    <t>M.5.7.2</t>
  </si>
  <si>
    <t>M.5.7.3</t>
  </si>
  <si>
    <t>M.5.7.4</t>
  </si>
  <si>
    <t>Engineering, Logistics and Operational Services</t>
  </si>
  <si>
    <t>Management and Advisory Services</t>
  </si>
  <si>
    <t>Research Development Testing and Evaluation (RDT&amp;E) Services</t>
  </si>
  <si>
    <t>Emerging IT Services</t>
  </si>
  <si>
    <t>Foundational IT Services</t>
  </si>
  <si>
    <t>[PLEASE SELECT ONE]</t>
  </si>
  <si>
    <t>YES</t>
  </si>
  <si>
    <t>NO</t>
  </si>
  <si>
    <t>Active &amp; Approved Conditional CMMC Lvl 2 (C3PAO) Cert.</t>
  </si>
  <si>
    <t>Scheduled Conditional/Final CMMC Lvl 2 (C3PAO) Cert. (without an approved conditional in place)</t>
  </si>
  <si>
    <t>Active &amp; Approved Final CMMC Lvl 2 (C3PAO) Certification</t>
  </si>
  <si>
    <t>WITHIN CRITERIA</t>
  </si>
  <si>
    <t>OUTSIDE CRITERIA</t>
  </si>
  <si>
    <t>TOTAL GOVERNMENT CREDIT EARNED</t>
  </si>
  <si>
    <t>Does not Possess Any of the Options</t>
  </si>
  <si>
    <r>
      <t xml:space="preserve">
</t>
    </r>
    <r>
      <rPr>
        <b/>
        <sz val="10"/>
        <color rgb="FF000000"/>
        <rFont val="Wingdings"/>
        <charset val="2"/>
      </rPr>
      <t>Ø</t>
    </r>
    <r>
      <rPr>
        <sz val="10"/>
        <color rgb="FF000000"/>
        <rFont val="Times New Roman"/>
        <family val="1"/>
      </rPr>
      <t xml:space="preserve"> If LOE-Based QP, Offerors will receive 1,000 points per LOE-Based QP that has at least one (1) year of completed performance that has occurred within the last two (2) years prior to 01 May 2026. 
</t>
    </r>
    <r>
      <rPr>
        <b/>
        <sz val="10"/>
        <color rgb="FF000000"/>
        <rFont val="Times New Roman"/>
        <family val="1"/>
      </rPr>
      <t xml:space="preserve">※ </t>
    </r>
    <r>
      <rPr>
        <sz val="10"/>
        <color rgb="FF000000"/>
        <rFont val="Times New Roman"/>
        <family val="1"/>
      </rPr>
      <t xml:space="preserve">The QP submitted must have at least one (1) year of completed performance that has occurred within the last three (3) years prior 01 May 2026.
OR
</t>
    </r>
    <r>
      <rPr>
        <b/>
        <sz val="10"/>
        <color rgb="FF000000"/>
        <rFont val="Wingdings"/>
        <charset val="2"/>
      </rPr>
      <t>Ø</t>
    </r>
    <r>
      <rPr>
        <sz val="10"/>
        <color rgb="FF000000"/>
        <rFont val="Times New Roman"/>
        <family val="1"/>
      </rPr>
      <t xml:space="preserve"> If Outcome-Based QP, Offeror will receive 1,000 points per Outcome-Based QP that project's final delivery date has been realized and that it occurred within the last two (2) years prior to 01 May 2026. 
※ The QP submitted must have a project's final delivery date that has been realized and that it occurred within the last three (3) years prior to 01 May 2026.</t>
    </r>
  </si>
  <si>
    <t>MAPS - SMALL BUSINESS
ATTACHMENT 0002 Amendment 02</t>
  </si>
  <si>
    <r>
      <t xml:space="preserve">
</t>
    </r>
    <r>
      <rPr>
        <b/>
        <sz val="10"/>
        <color rgb="FF000000"/>
        <rFont val="Wingdings"/>
        <charset val="2"/>
      </rPr>
      <t>Ø</t>
    </r>
    <r>
      <rPr>
        <sz val="10"/>
        <color rgb="FF000000"/>
        <rFont val="Times New Roman"/>
        <family val="1"/>
      </rPr>
      <t xml:space="preserve"> Offeror will receive 5,000 points for having a Government Determined Acceptable Accounting System
</t>
    </r>
  </si>
  <si>
    <r>
      <rPr>
        <b/>
        <sz val="10"/>
        <color rgb="FF000000"/>
        <rFont val="Times New Roman"/>
        <family val="1"/>
      </rPr>
      <t xml:space="preserve">Does the UEI your company is proposing under meet the threshold identified below for performance elements rated MARGINAL or below in CPARS? 
</t>
    </r>
    <r>
      <rPr>
        <sz val="10"/>
        <color rgb="FF000000"/>
        <rFont val="Times New Roman"/>
        <family val="1"/>
      </rPr>
      <t xml:space="preserve">Parameters include: </t>
    </r>
    <r>
      <rPr>
        <b/>
        <sz val="10"/>
        <color rgb="FF000000"/>
        <rFont val="Times New Roman"/>
        <family val="1"/>
      </rPr>
      <t xml:space="preserve">
</t>
    </r>
    <r>
      <rPr>
        <sz val="10"/>
        <color rgb="FF000000"/>
        <rFont val="Times New Roman"/>
        <family val="1"/>
      </rPr>
      <t xml:space="preserve">     •CPARS will be pulled for all of the five (5) NAICS codes identified in the acquisition over the last three (3) years (the date will be calculated by the final proposal submission due date identified in the RFP).
  •For Small Businesses, if five (5) or more of the element ratings are MARGINAL or below the Offeror is excluded from evaluations.
If your company does not have CPARS, please select N/A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</si>
</sst>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font>
      <sz val="10"/>
      <color rgb="FF000000"/>
      <name val="Arial"/>
      <scheme val="minor"/>
    </font>
    <font>
      <sz val="10"/>
      <color rgb="FF000000"/>
      <name val="Times New Roman"/>
      <family val="1"/>
    </font>
    <font>
      <b/>
      <sz val="10"/>
      <color theme="1"/>
      <name val="Times New Roman"/>
      <family val="1"/>
    </font>
    <font>
      <b/>
      <sz val="10"/>
      <color rgb="FF000000"/>
      <name val="Times New Roman"/>
      <family val="1"/>
    </font>
    <font>
      <b/>
      <sz val="10"/>
      <color theme="7"/>
      <name val="Times New Roman"/>
      <family val="1"/>
    </font>
    <font>
      <b/>
      <sz val="24"/>
      <color theme="0"/>
      <name val="Times New Roman"/>
      <family val="1"/>
    </font>
    <font>
      <b/>
      <sz val="14"/>
      <color rgb="FF000000"/>
      <name val="Times New Roman"/>
      <family val="1"/>
    </font>
    <font>
      <b/>
      <sz val="12"/>
      <color rgb="FF000000"/>
      <name val="Times New Roman"/>
      <family val="1"/>
    </font>
    <font>
      <b/>
      <sz val="10"/>
      <color rgb="FF000000"/>
      <name val="Wingdings"/>
      <charset val="2"/>
    </font>
    <font>
      <sz val="10"/>
      <color rgb="FF000000"/>
      <name val="Times New Roman"/>
      <family val="1"/>
      <charset val="2"/>
    </font>
    <font>
      <b/>
      <sz val="36"/>
      <color theme="0"/>
      <name val="Times New Roman"/>
      <family val="1"/>
    </font>
    <font>
      <b/>
      <sz val="24"/>
      <color rgb="FF000000"/>
      <name val="Times New Roman"/>
      <family val="1"/>
    </font>
    <font>
      <sz val="10"/>
      <color rgb="FF000000"/>
      <name val="Arial"/>
      <family val="2"/>
      <scheme val="minor"/>
    </font>
    <font>
      <b/>
      <u/>
      <sz val="20"/>
      <color rgb="FF000000"/>
      <name val="Times New Roman"/>
      <family val="1"/>
    </font>
    <font>
      <sz val="10"/>
      <color rgb="FF000000"/>
      <name val="Arial"/>
      <family val="2"/>
      <scheme val="minor"/>
    </font>
    <font>
      <b/>
      <sz val="12"/>
      <name val="Times New Roman"/>
      <family val="1"/>
    </font>
    <font>
      <b/>
      <sz val="10"/>
      <color rgb="FF7030A0"/>
      <name val="Times New Roman"/>
      <family val="1"/>
    </font>
    <font>
      <b/>
      <sz val="10"/>
      <color rgb="FF000000"/>
      <name val="Arial"/>
      <family val="2"/>
      <scheme val="minor"/>
    </font>
  </fonts>
  <fills count="15">
    <fill>
      <patternFill patternType="none"/>
    </fill>
    <fill>
      <patternFill patternType="gray125"/>
    </fill>
    <fill>
      <patternFill patternType="solid">
        <fgColor theme="7" tint="0.79998168889431442"/>
        <bgColor indexed="64"/>
      </patternFill>
    </fill>
    <fill>
      <patternFill patternType="solid">
        <fgColor theme="2" tint="-4.9989318521683403E-2"/>
        <bgColor indexed="64"/>
      </patternFill>
    </fill>
    <fill>
      <patternFill patternType="solid">
        <fgColor theme="4" tint="0.79998168889431442"/>
        <bgColor indexed="64"/>
      </patternFill>
    </fill>
    <fill>
      <patternFill patternType="solid">
        <fgColor rgb="FF1F2353"/>
        <bgColor indexed="64"/>
      </patternFill>
    </fill>
    <fill>
      <patternFill patternType="solid">
        <fgColor rgb="FFFCBF5A"/>
        <bgColor indexed="64"/>
      </patternFill>
    </fill>
    <fill>
      <patternFill patternType="solid">
        <fgColor rgb="FF367BA3"/>
        <bgColor indexed="64"/>
      </patternFill>
    </fill>
    <fill>
      <patternFill patternType="solid">
        <fgColor rgb="FFFFDA9E"/>
        <bgColor indexed="64"/>
      </patternFill>
    </fill>
    <fill>
      <patternFill patternType="solid">
        <fgColor rgb="FF6CABCE"/>
        <bgColor indexed="64"/>
      </patternFill>
    </fill>
    <fill>
      <patternFill patternType="solid">
        <fgColor rgb="FF337599"/>
        <bgColor indexed="64"/>
      </patternFill>
    </fill>
    <fill>
      <patternFill patternType="solid">
        <fgColor rgb="FFFA9500"/>
        <bgColor indexed="64"/>
      </patternFill>
    </fill>
    <fill>
      <patternFill patternType="solid">
        <fgColor rgb="FFD5B8EA"/>
        <bgColor indexed="64"/>
      </patternFill>
    </fill>
    <fill>
      <patternFill patternType="solid">
        <fgColor theme="5" tint="0.59999389629810485"/>
        <bgColor indexed="64"/>
      </patternFill>
    </fill>
    <fill>
      <patternFill patternType="solid">
        <fgColor theme="1" tint="0.34998626667073579"/>
        <bgColor indexed="64"/>
      </patternFill>
    </fill>
  </fills>
  <borders count="59">
    <border>
      <left/>
      <right/>
      <top/>
      <bottom/>
      <diagonal/>
    </border>
    <border>
      <left style="thin">
        <color rgb="FF000000"/>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double">
        <color rgb="FF000000"/>
      </right>
      <top style="thin">
        <color indexed="64"/>
      </top>
      <bottom/>
      <diagonal/>
    </border>
    <border>
      <left style="thin">
        <color indexed="64"/>
      </left>
      <right style="double">
        <color rgb="FF000000"/>
      </right>
      <top style="thin">
        <color indexed="64"/>
      </top>
      <bottom style="thin">
        <color indexed="64"/>
      </bottom>
      <diagonal/>
    </border>
    <border>
      <left style="thin">
        <color indexed="64"/>
      </left>
      <right style="double">
        <color rgb="FF000000"/>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style="double">
        <color rgb="FF000000"/>
      </right>
      <top style="medium">
        <color indexed="64"/>
      </top>
      <bottom style="thin">
        <color indexed="64"/>
      </bottom>
      <diagonal/>
    </border>
    <border>
      <left/>
      <right style="double">
        <color rgb="FF000000"/>
      </right>
      <top/>
      <bottom style="thin">
        <color indexed="64"/>
      </bottom>
      <diagonal/>
    </border>
    <border>
      <left/>
      <right style="double">
        <color rgb="FF000000"/>
      </right>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s>
  <cellStyleXfs count="2">
    <xf numFmtId="0" fontId="0" fillId="0" borderId="0"/>
    <xf numFmtId="43" fontId="14" fillId="0" borderId="0" applyFont="0" applyFill="0" applyBorder="0" applyAlignment="0" applyProtection="0"/>
  </cellStyleXfs>
  <cellXfs count="115">
    <xf numFmtId="0" fontId="0" fillId="0" borderId="0" xfId="0"/>
    <xf numFmtId="0" fontId="0" fillId="14" borderId="0" xfId="0" applyFill="1"/>
    <xf numFmtId="43" fontId="17" fillId="14" borderId="0" xfId="1" applyFont="1" applyFill="1" applyAlignment="1" applyProtection="1">
      <alignment horizontal="center" vertical="center"/>
    </xf>
    <xf numFmtId="0" fontId="0" fillId="14" borderId="0" xfId="0" applyFill="1" applyAlignment="1">
      <alignment horizontal="center" vertical="center"/>
    </xf>
    <xf numFmtId="0" fontId="7" fillId="3" borderId="45" xfId="0" applyFont="1" applyFill="1" applyBorder="1" applyAlignment="1">
      <alignment horizontal="center" vertical="center" wrapText="1"/>
    </xf>
    <xf numFmtId="0" fontId="7" fillId="3" borderId="32" xfId="0" applyFont="1" applyFill="1" applyBorder="1" applyAlignment="1">
      <alignment horizontal="center" vertical="center" wrapText="1"/>
    </xf>
    <xf numFmtId="43" fontId="7" fillId="3" borderId="32" xfId="1" applyFont="1" applyFill="1" applyBorder="1" applyAlignment="1" applyProtection="1">
      <alignment horizontal="center" vertical="center" wrapText="1"/>
    </xf>
    <xf numFmtId="0" fontId="7" fillId="3" borderId="46" xfId="0" applyFont="1" applyFill="1" applyBorder="1" applyAlignment="1">
      <alignment horizontal="center" vertical="center" wrapText="1"/>
    </xf>
    <xf numFmtId="0" fontId="7" fillId="3" borderId="4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10" xfId="0" applyFont="1" applyFill="1" applyBorder="1" applyAlignment="1">
      <alignment horizontal="left" vertical="center" wrapText="1"/>
    </xf>
    <xf numFmtId="0" fontId="1" fillId="6" borderId="16" xfId="0" applyFont="1" applyFill="1" applyBorder="1" applyAlignment="1">
      <alignment horizontal="left" vertical="center" wrapText="1"/>
    </xf>
    <xf numFmtId="43" fontId="3" fillId="6" borderId="23" xfId="1" applyFont="1" applyFill="1" applyBorder="1" applyAlignment="1" applyProtection="1">
      <alignment horizontal="center" vertical="center" wrapText="1"/>
    </xf>
    <xf numFmtId="0" fontId="1" fillId="11" borderId="30" xfId="0" applyFont="1" applyFill="1" applyBorder="1" applyAlignment="1">
      <alignment horizontal="center" vertical="center" wrapText="1"/>
    </xf>
    <xf numFmtId="0" fontId="1" fillId="11" borderId="11" xfId="0" applyFont="1" applyFill="1" applyBorder="1" applyAlignment="1">
      <alignment horizontal="center" vertical="center" wrapText="1"/>
    </xf>
    <xf numFmtId="0" fontId="3" fillId="6" borderId="58" xfId="0" applyFont="1" applyFill="1" applyBorder="1" applyAlignment="1">
      <alignment horizontal="center" vertical="center" wrapText="1"/>
    </xf>
    <xf numFmtId="0" fontId="3" fillId="6" borderId="17" xfId="0" applyFont="1" applyFill="1" applyBorder="1" applyAlignment="1">
      <alignment vertical="center" wrapText="1"/>
    </xf>
    <xf numFmtId="0" fontId="3" fillId="6" borderId="5" xfId="0" applyFont="1" applyFill="1" applyBorder="1" applyAlignment="1">
      <alignment horizontal="center" vertical="center" wrapText="1"/>
    </xf>
    <xf numFmtId="0" fontId="1" fillId="6" borderId="1" xfId="0" applyFont="1" applyFill="1" applyBorder="1" applyAlignment="1">
      <alignment vertical="center" wrapText="1"/>
    </xf>
    <xf numFmtId="43" fontId="3" fillId="6" borderId="24" xfId="1" applyFont="1" applyFill="1" applyBorder="1" applyAlignment="1" applyProtection="1">
      <alignment horizontal="center" vertical="center" wrapText="1"/>
    </xf>
    <xf numFmtId="0" fontId="1" fillId="11" borderId="33" xfId="0" applyFont="1" applyFill="1" applyBorder="1" applyAlignment="1">
      <alignment horizontal="center" vertical="center" wrapText="1"/>
    </xf>
    <xf numFmtId="0" fontId="1" fillId="11" borderId="8" xfId="0" applyFont="1" applyFill="1" applyBorder="1" applyAlignment="1">
      <alignment horizontal="center" vertical="center" wrapText="1"/>
    </xf>
    <xf numFmtId="43" fontId="17" fillId="0" borderId="0" xfId="1" applyFont="1" applyAlignment="1" applyProtection="1">
      <alignment horizontal="center" vertical="center"/>
    </xf>
    <xf numFmtId="0" fontId="0" fillId="0" borderId="0" xfId="0" applyAlignment="1">
      <alignment horizontal="center" vertical="center"/>
    </xf>
    <xf numFmtId="0" fontId="3" fillId="7" borderId="7" xfId="0" applyFont="1" applyFill="1" applyBorder="1" applyAlignment="1">
      <alignment horizontal="center" vertical="center" wrapText="1"/>
    </xf>
    <xf numFmtId="0" fontId="3" fillId="7" borderId="6" xfId="0" applyFont="1" applyFill="1" applyBorder="1" applyAlignment="1">
      <alignment horizontal="left" vertical="center" wrapText="1"/>
    </xf>
    <xf numFmtId="0" fontId="1" fillId="7" borderId="16" xfId="0" applyFont="1" applyFill="1" applyBorder="1" applyAlignment="1">
      <alignment horizontal="left" vertical="center" wrapText="1"/>
    </xf>
    <xf numFmtId="43" fontId="3" fillId="7" borderId="24" xfId="1" applyFont="1" applyFill="1" applyBorder="1" applyAlignment="1" applyProtection="1">
      <alignment horizontal="center" vertical="center" wrapText="1"/>
    </xf>
    <xf numFmtId="0" fontId="1" fillId="10" borderId="35"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3" fillId="7" borderId="22" xfId="0" applyFont="1" applyFill="1" applyBorder="1" applyAlignment="1">
      <alignment horizontal="center" vertical="center" wrapText="1"/>
    </xf>
    <xf numFmtId="0" fontId="1" fillId="10" borderId="36"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0" xfId="0" applyFont="1" applyFill="1" applyBorder="1" applyAlignment="1">
      <alignment horizontal="left" vertical="center" wrapText="1"/>
    </xf>
    <xf numFmtId="0" fontId="1" fillId="7" borderId="21" xfId="0" applyFont="1" applyFill="1" applyBorder="1" applyAlignment="1">
      <alignment horizontal="left" vertical="center" wrapText="1"/>
    </xf>
    <xf numFmtId="43" fontId="3" fillId="7" borderId="25" xfId="1" applyFont="1" applyFill="1" applyBorder="1" applyAlignment="1" applyProtection="1">
      <alignment horizontal="center" vertical="center" wrapText="1"/>
    </xf>
    <xf numFmtId="0" fontId="1" fillId="10" borderId="31" xfId="0" applyFont="1" applyFill="1" applyBorder="1" applyAlignment="1">
      <alignment horizontal="center" vertical="center" wrapText="1"/>
    </xf>
    <xf numFmtId="0" fontId="1" fillId="10" borderId="26" xfId="0" applyFont="1" applyFill="1" applyBorder="1" applyAlignment="1">
      <alignment horizontal="center" vertical="center" wrapText="1"/>
    </xf>
    <xf numFmtId="0" fontId="9" fillId="7" borderId="16" xfId="0" applyFont="1" applyFill="1" applyBorder="1" applyAlignment="1">
      <alignment horizontal="left" vertical="center" wrapText="1"/>
    </xf>
    <xf numFmtId="0" fontId="3" fillId="7" borderId="27" xfId="0" applyFont="1" applyFill="1" applyBorder="1" applyAlignment="1">
      <alignment horizontal="left" vertical="center" wrapText="1"/>
    </xf>
    <xf numFmtId="0" fontId="1" fillId="10" borderId="37" xfId="0" applyFont="1" applyFill="1" applyBorder="1" applyAlignment="1">
      <alignment horizontal="center" vertical="center" wrapText="1"/>
    </xf>
    <xf numFmtId="43" fontId="3" fillId="7" borderId="23" xfId="1" applyFont="1" applyFill="1" applyBorder="1" applyAlignment="1" applyProtection="1">
      <alignment horizontal="center" vertical="center" wrapText="1"/>
    </xf>
    <xf numFmtId="0" fontId="1" fillId="10" borderId="28" xfId="0" applyFont="1" applyFill="1" applyBorder="1" applyAlignment="1">
      <alignment horizontal="center" vertical="center" wrapText="1"/>
    </xf>
    <xf numFmtId="0" fontId="0" fillId="14" borderId="0" xfId="0" applyFill="1" applyAlignment="1">
      <alignment vertical="center"/>
    </xf>
    <xf numFmtId="0" fontId="12" fillId="0" borderId="0" xfId="0" applyFont="1"/>
    <xf numFmtId="0" fontId="3" fillId="8" borderId="16" xfId="0" applyFont="1" applyFill="1" applyBorder="1" applyAlignment="1" applyProtection="1">
      <alignment horizontal="center" vertical="center" wrapText="1"/>
      <protection locked="0"/>
    </xf>
    <xf numFmtId="43" fontId="3" fillId="8" borderId="6" xfId="1" applyFont="1" applyFill="1" applyBorder="1" applyAlignment="1" applyProtection="1">
      <alignment horizontal="center" vertical="center" wrapText="1"/>
      <protection locked="0"/>
    </xf>
    <xf numFmtId="0" fontId="3" fillId="9" borderId="6" xfId="0" applyFont="1" applyFill="1" applyBorder="1" applyAlignment="1" applyProtection="1">
      <alignment horizontal="center" vertical="center" wrapText="1"/>
      <protection locked="0"/>
    </xf>
    <xf numFmtId="0" fontId="3" fillId="9" borderId="34" xfId="0" applyFont="1" applyFill="1" applyBorder="1" applyAlignment="1" applyProtection="1">
      <alignment horizontal="center" vertical="center" wrapText="1"/>
      <protection locked="0"/>
    </xf>
    <xf numFmtId="0" fontId="3" fillId="9" borderId="10" xfId="0" applyFont="1" applyFill="1" applyBorder="1" applyAlignment="1" applyProtection="1">
      <alignment horizontal="center" vertical="center" wrapText="1"/>
      <protection locked="0"/>
    </xf>
    <xf numFmtId="0" fontId="3" fillId="9" borderId="27" xfId="0" applyFont="1" applyFill="1" applyBorder="1" applyAlignment="1" applyProtection="1">
      <alignment horizontal="center" vertical="center" wrapText="1"/>
      <protection locked="0"/>
    </xf>
    <xf numFmtId="0" fontId="16" fillId="0" borderId="39" xfId="0" applyFont="1" applyBorder="1" applyAlignment="1">
      <alignment horizontal="center" wrapText="1"/>
    </xf>
    <xf numFmtId="0" fontId="16" fillId="0" borderId="33" xfId="0" applyFont="1" applyBorder="1" applyAlignment="1">
      <alignment horizontal="center" wrapText="1"/>
    </xf>
    <xf numFmtId="0" fontId="16" fillId="0" borderId="36" xfId="0" applyFont="1" applyBorder="1" applyAlignment="1">
      <alignment horizontal="center" wrapText="1"/>
    </xf>
    <xf numFmtId="43" fontId="4" fillId="12" borderId="16" xfId="0" applyNumberFormat="1" applyFont="1" applyFill="1" applyBorder="1" applyAlignment="1">
      <alignment horizontal="center" wrapText="1"/>
    </xf>
    <xf numFmtId="0" fontId="4" fillId="12" borderId="33" xfId="0" applyFont="1" applyFill="1" applyBorder="1" applyAlignment="1">
      <alignment horizontal="center" wrapText="1"/>
    </xf>
    <xf numFmtId="0" fontId="4" fillId="12" borderId="12" xfId="0" applyFont="1" applyFill="1" applyBorder="1" applyAlignment="1">
      <alignment horizontal="center" wrapText="1"/>
    </xf>
    <xf numFmtId="0" fontId="4" fillId="0" borderId="13" xfId="0" applyFont="1" applyBorder="1" applyAlignment="1">
      <alignment horizontal="center" wrapText="1"/>
    </xf>
    <xf numFmtId="0" fontId="4" fillId="0" borderId="14" xfId="0" applyFont="1" applyBorder="1" applyAlignment="1">
      <alignment horizontal="center" wrapText="1"/>
    </xf>
    <xf numFmtId="0" fontId="4" fillId="0" borderId="15" xfId="0" applyFont="1" applyBorder="1" applyAlignment="1">
      <alignment horizontal="center" wrapText="1"/>
    </xf>
    <xf numFmtId="43" fontId="4" fillId="2" borderId="16" xfId="0" applyNumberFormat="1" applyFont="1" applyFill="1" applyBorder="1" applyAlignment="1">
      <alignment horizontal="center" wrapText="1"/>
    </xf>
    <xf numFmtId="0" fontId="4" fillId="2" borderId="33" xfId="0" applyFont="1" applyFill="1" applyBorder="1" applyAlignment="1">
      <alignment horizontal="center" wrapText="1"/>
    </xf>
    <xf numFmtId="0" fontId="4" fillId="2" borderId="12" xfId="0" applyFont="1" applyFill="1" applyBorder="1" applyAlignment="1">
      <alignment horizontal="center" wrapText="1"/>
    </xf>
    <xf numFmtId="0" fontId="6" fillId="13" borderId="2"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1" fillId="13" borderId="4" xfId="0" applyFont="1" applyFill="1" applyBorder="1" applyAlignment="1">
      <alignment horizontal="center" vertical="center" wrapText="1"/>
    </xf>
    <xf numFmtId="0" fontId="5" fillId="5" borderId="52" xfId="0" applyFont="1" applyFill="1" applyBorder="1" applyAlignment="1">
      <alignment horizontal="center" vertical="center" wrapText="1"/>
    </xf>
    <xf numFmtId="0" fontId="5" fillId="5" borderId="40" xfId="0" applyFont="1" applyFill="1" applyBorder="1" applyAlignment="1">
      <alignment horizontal="center" vertical="center" wrapText="1"/>
    </xf>
    <xf numFmtId="0" fontId="5" fillId="5" borderId="41"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6" borderId="2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3" fillId="0" borderId="39" xfId="0" applyFont="1" applyBorder="1" applyAlignment="1">
      <alignment horizontal="center" wrapText="1"/>
    </xf>
    <xf numFmtId="0" fontId="3" fillId="0" borderId="33" xfId="0" applyFont="1" applyBorder="1" applyAlignment="1">
      <alignment horizontal="center" wrapText="1"/>
    </xf>
    <xf numFmtId="0" fontId="3" fillId="0" borderId="36" xfId="0" applyFont="1" applyBorder="1" applyAlignment="1">
      <alignment horizontal="center" wrapText="1"/>
    </xf>
    <xf numFmtId="3" fontId="2" fillId="4" borderId="21" xfId="0" applyNumberFormat="1" applyFont="1" applyFill="1" applyBorder="1" applyAlignment="1">
      <alignment horizontal="center" vertical="center" wrapText="1"/>
    </xf>
    <xf numFmtId="0" fontId="2" fillId="4" borderId="30" xfId="0" applyFont="1" applyFill="1" applyBorder="1" applyAlignment="1">
      <alignment horizontal="center" vertical="center" wrapText="1"/>
    </xf>
    <xf numFmtId="0" fontId="2" fillId="4" borderId="26" xfId="0" applyFont="1" applyFill="1" applyBorder="1" applyAlignment="1">
      <alignment horizontal="center" vertical="center" wrapText="1"/>
    </xf>
    <xf numFmtId="0" fontId="3" fillId="7" borderId="56" xfId="0" applyFont="1" applyFill="1" applyBorder="1" applyAlignment="1">
      <alignment horizontal="center" vertical="center" wrapText="1"/>
    </xf>
    <xf numFmtId="0" fontId="3" fillId="7" borderId="57" xfId="0" applyFont="1" applyFill="1" applyBorder="1" applyAlignment="1">
      <alignment horizontal="center" vertical="center" wrapText="1"/>
    </xf>
    <xf numFmtId="0" fontId="3" fillId="7" borderId="28" xfId="0" applyFont="1" applyFill="1" applyBorder="1" applyAlignment="1">
      <alignment horizontal="center" vertical="center" wrapText="1"/>
    </xf>
    <xf numFmtId="0" fontId="3" fillId="7" borderId="39" xfId="0" applyFont="1" applyFill="1" applyBorder="1" applyAlignment="1">
      <alignment horizontal="center" vertical="center" wrapText="1"/>
    </xf>
    <xf numFmtId="0" fontId="3" fillId="7" borderId="33"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1" fillId="6" borderId="29" xfId="0" applyFont="1" applyFill="1" applyBorder="1" applyAlignment="1">
      <alignment horizontal="left" vertical="center" wrapText="1"/>
    </xf>
    <xf numFmtId="0" fontId="1" fillId="6" borderId="30" xfId="0" applyFont="1" applyFill="1" applyBorder="1" applyAlignment="1">
      <alignment horizontal="left" vertical="center" wrapText="1"/>
    </xf>
    <xf numFmtId="0" fontId="1" fillId="6" borderId="54" xfId="0" applyFont="1" applyFill="1" applyBorder="1" applyAlignment="1">
      <alignment horizontal="left" vertical="center" wrapText="1"/>
    </xf>
    <xf numFmtId="0" fontId="15" fillId="8" borderId="6" xfId="0" applyFont="1" applyFill="1" applyBorder="1" applyAlignment="1" applyProtection="1">
      <alignment horizontal="center" vertical="center" wrapText="1"/>
      <protection locked="0"/>
    </xf>
    <xf numFmtId="0" fontId="15" fillId="8" borderId="8" xfId="0" applyFont="1" applyFill="1" applyBorder="1" applyAlignment="1" applyProtection="1">
      <alignment horizontal="center" vertical="center" wrapText="1"/>
      <protection locked="0"/>
    </xf>
    <xf numFmtId="0" fontId="1" fillId="6" borderId="52" xfId="0" applyFont="1" applyFill="1" applyBorder="1" applyAlignment="1">
      <alignment horizontal="left" vertical="center" wrapText="1"/>
    </xf>
    <xf numFmtId="0" fontId="1" fillId="6" borderId="40" xfId="0" applyFont="1" applyFill="1" applyBorder="1" applyAlignment="1">
      <alignment horizontal="left" vertical="center" wrapText="1"/>
    </xf>
    <xf numFmtId="0" fontId="1" fillId="6" borderId="55" xfId="0" applyFont="1" applyFill="1" applyBorder="1" applyAlignment="1">
      <alignment horizontal="left" vertical="center" wrapText="1"/>
    </xf>
    <xf numFmtId="0" fontId="15" fillId="8" borderId="38" xfId="0" applyFont="1" applyFill="1" applyBorder="1" applyAlignment="1" applyProtection="1">
      <alignment horizontal="center" vertical="center" wrapText="1"/>
      <protection locked="0"/>
    </xf>
    <xf numFmtId="0" fontId="15" fillId="8" borderId="49" xfId="0" applyFont="1" applyFill="1" applyBorder="1" applyAlignment="1" applyProtection="1">
      <alignment horizontal="center" vertical="center" wrapText="1"/>
      <protection locked="0"/>
    </xf>
    <xf numFmtId="0" fontId="15" fillId="8" borderId="34" xfId="0" applyFont="1" applyFill="1" applyBorder="1" applyAlignment="1" applyProtection="1">
      <alignment horizontal="center" vertical="center" wrapText="1"/>
      <protection locked="0"/>
    </xf>
    <xf numFmtId="0" fontId="15" fillId="8" borderId="48" xfId="0" applyFont="1" applyFill="1" applyBorder="1" applyAlignment="1" applyProtection="1">
      <alignment horizontal="center" vertical="center" wrapText="1"/>
      <protection locked="0"/>
    </xf>
    <xf numFmtId="0" fontId="10" fillId="5" borderId="42" xfId="0" applyFont="1" applyFill="1" applyBorder="1" applyAlignment="1">
      <alignment horizontal="center" vertical="center" wrapText="1"/>
    </xf>
    <xf numFmtId="0" fontId="10" fillId="5" borderId="43" xfId="0" applyFont="1" applyFill="1" applyBorder="1" applyAlignment="1">
      <alignment horizontal="center" vertical="center" wrapText="1"/>
    </xf>
    <xf numFmtId="0" fontId="10" fillId="5" borderId="44"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1" fillId="6" borderId="50" xfId="0" applyFont="1" applyFill="1" applyBorder="1" applyAlignment="1">
      <alignment horizontal="left" vertical="center" wrapText="1"/>
    </xf>
    <xf numFmtId="0" fontId="1" fillId="6" borderId="51" xfId="0" applyFont="1" applyFill="1" applyBorder="1" applyAlignment="1">
      <alignment horizontal="left" vertical="center" wrapText="1"/>
    </xf>
    <xf numFmtId="0" fontId="1" fillId="6" borderId="53" xfId="0" applyFont="1" applyFill="1" applyBorder="1" applyAlignment="1">
      <alignment horizontal="left" vertical="center"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3" xfId="0" applyFont="1" applyFill="1" applyBorder="1" applyAlignment="1" applyProtection="1">
      <alignment horizontal="left" vertical="center" wrapText="1"/>
      <protection locked="0"/>
    </xf>
    <xf numFmtId="0" fontId="11" fillId="3" borderId="4" xfId="0" applyFont="1" applyFill="1" applyBorder="1" applyAlignment="1" applyProtection="1">
      <alignment horizontal="left" vertical="center" wrapText="1"/>
      <protection locked="0"/>
    </xf>
  </cellXfs>
  <cellStyles count="2">
    <cellStyle name="Comma" xfId="1" builtinId="3"/>
    <cellStyle name="Normal" xfId="0" builtinId="0"/>
  </cellStyles>
  <dxfs count="1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DA9E"/>
      <color rgb="FFD5B8EA"/>
      <color rgb="FF337599"/>
      <color rgb="FFFA9500"/>
      <color rgb="FFFFB64B"/>
      <color rgb="FFFF9900"/>
      <color rgb="FFDEDEDE"/>
      <color rgb="FF6CABCE"/>
      <color rgb="FF0000FF"/>
      <color rgb="FF69C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447675</xdr:colOff>
      <xdr:row>1</xdr:row>
      <xdr:rowOff>142875</xdr:rowOff>
    </xdr:from>
    <xdr:to>
      <xdr:col>4</xdr:col>
      <xdr:colOff>1122680</xdr:colOff>
      <xdr:row>1</xdr:row>
      <xdr:rowOff>1523524</xdr:rowOff>
    </xdr:to>
    <xdr:pic>
      <xdr:nvPicPr>
        <xdr:cNvPr id="4" name="Picture 3">
          <a:extLst>
            <a:ext uri="{FF2B5EF4-FFF2-40B4-BE49-F238E27FC236}">
              <a16:creationId xmlns:a16="http://schemas.microsoft.com/office/drawing/2014/main" id="{53AC9ACF-EEC6-401A-AF3B-ACEBF8A09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275" y="142875"/>
          <a:ext cx="1397000" cy="1380649"/>
        </a:xfrm>
        <a:prstGeom prst="rect">
          <a:avLst/>
        </a:prstGeom>
      </xdr:spPr>
    </xdr:pic>
    <xdr:clientData/>
  </xdr:twoCellAnchor>
  <xdr:twoCellAnchor editAs="oneCell">
    <xdr:from>
      <xdr:col>8</xdr:col>
      <xdr:colOff>847725</xdr:colOff>
      <xdr:row>1</xdr:row>
      <xdr:rowOff>209550</xdr:rowOff>
    </xdr:from>
    <xdr:to>
      <xdr:col>10</xdr:col>
      <xdr:colOff>149225</xdr:colOff>
      <xdr:row>1</xdr:row>
      <xdr:rowOff>1584484</xdr:rowOff>
    </xdr:to>
    <xdr:pic>
      <xdr:nvPicPr>
        <xdr:cNvPr id="5" name="Picture 4">
          <a:extLst>
            <a:ext uri="{FF2B5EF4-FFF2-40B4-BE49-F238E27FC236}">
              <a16:creationId xmlns:a16="http://schemas.microsoft.com/office/drawing/2014/main" id="{C2426423-6D73-4959-A754-C86E014746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96725" y="209550"/>
          <a:ext cx="1397000" cy="138064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5B9D2-9533-4A99-B326-32F1763F348E}">
  <sheetPr>
    <pageSetUpPr fitToPage="1"/>
  </sheetPr>
  <dimension ref="A1:N58"/>
  <sheetViews>
    <sheetView tabSelected="1" topLeftCell="C46" zoomScaleNormal="100" workbookViewId="0">
      <selection activeCell="H48" sqref="H48:H50"/>
    </sheetView>
  </sheetViews>
  <sheetFormatPr defaultRowHeight="12.75"/>
  <cols>
    <col min="1" max="1" width="2" customWidth="1"/>
    <col min="2" max="2" width="1.42578125" customWidth="1"/>
    <col min="3" max="3" width="7.7109375" customWidth="1"/>
    <col min="4" max="4" width="10.7109375" bestFit="1" customWidth="1"/>
    <col min="5" max="5" width="27.42578125" customWidth="1"/>
    <col min="6" max="6" width="89.140625" customWidth="1"/>
    <col min="7" max="7" width="13.5703125" style="22" customWidth="1"/>
    <col min="8" max="10" width="15.7109375" style="23" customWidth="1"/>
    <col min="11" max="11" width="15.5703125" customWidth="1"/>
    <col min="12" max="12" width="7" customWidth="1"/>
  </cols>
  <sheetData>
    <row r="1" spans="1:14" ht="13.5" thickBot="1">
      <c r="A1" s="1"/>
      <c r="B1" s="1"/>
      <c r="C1" s="1"/>
      <c r="D1" s="1"/>
      <c r="E1" s="1"/>
      <c r="F1" s="1"/>
      <c r="G1" s="2"/>
      <c r="H1" s="3"/>
      <c r="I1" s="3"/>
      <c r="J1" s="3"/>
      <c r="K1" s="1"/>
      <c r="L1" s="1"/>
    </row>
    <row r="2" spans="1:14" ht="135" customHeight="1" thickBot="1">
      <c r="A2" s="1"/>
      <c r="B2" s="1"/>
      <c r="C2" s="99" t="s">
        <v>97</v>
      </c>
      <c r="D2" s="100"/>
      <c r="E2" s="100"/>
      <c r="F2" s="100"/>
      <c r="G2" s="100"/>
      <c r="H2" s="100"/>
      <c r="I2" s="100"/>
      <c r="J2" s="100"/>
      <c r="K2" s="101"/>
      <c r="L2" s="1"/>
    </row>
    <row r="3" spans="1:14" ht="51" customHeight="1" thickBot="1">
      <c r="A3" s="1"/>
      <c r="B3" s="1"/>
      <c r="C3" s="111" t="s">
        <v>0</v>
      </c>
      <c r="D3" s="112"/>
      <c r="E3" s="112"/>
      <c r="F3" s="113" t="s">
        <v>86</v>
      </c>
      <c r="G3" s="113"/>
      <c r="H3" s="113"/>
      <c r="I3" s="113"/>
      <c r="J3" s="113"/>
      <c r="K3" s="114"/>
      <c r="L3" s="1"/>
    </row>
    <row r="4" spans="1:14" ht="19.5" thickBot="1">
      <c r="A4" s="1"/>
      <c r="B4" s="1"/>
      <c r="C4" s="102" t="s">
        <v>1</v>
      </c>
      <c r="D4" s="103"/>
      <c r="E4" s="103"/>
      <c r="F4" s="103"/>
      <c r="G4" s="103"/>
      <c r="H4" s="103"/>
      <c r="I4" s="103"/>
      <c r="J4" s="103"/>
      <c r="K4" s="104"/>
      <c r="L4" s="1"/>
    </row>
    <row r="5" spans="1:14" ht="30.75" customHeight="1" thickBot="1">
      <c r="A5" s="1"/>
      <c r="B5" s="1"/>
      <c r="C5" s="105" t="s">
        <v>2</v>
      </c>
      <c r="D5" s="106"/>
      <c r="E5" s="106"/>
      <c r="F5" s="106"/>
      <c r="G5" s="106"/>
      <c r="H5" s="106"/>
      <c r="I5" s="106"/>
      <c r="J5" s="106"/>
      <c r="K5" s="107"/>
      <c r="L5" s="1"/>
    </row>
    <row r="6" spans="1:14" ht="48" customHeight="1" thickBot="1">
      <c r="A6" s="1"/>
      <c r="B6" s="1"/>
      <c r="C6" s="108" t="s">
        <v>3</v>
      </c>
      <c r="D6" s="109"/>
      <c r="E6" s="109"/>
      <c r="F6" s="109"/>
      <c r="G6" s="109"/>
      <c r="H6" s="110"/>
      <c r="I6" s="97" t="s">
        <v>86</v>
      </c>
      <c r="J6" s="97"/>
      <c r="K6" s="98"/>
      <c r="L6" s="1"/>
    </row>
    <row r="7" spans="1:14" ht="48" customHeight="1">
      <c r="A7" s="1"/>
      <c r="B7" s="1"/>
      <c r="C7" s="87" t="s">
        <v>65</v>
      </c>
      <c r="D7" s="88"/>
      <c r="E7" s="88"/>
      <c r="F7" s="88"/>
      <c r="G7" s="88"/>
      <c r="H7" s="89"/>
      <c r="I7" s="97" t="s">
        <v>86</v>
      </c>
      <c r="J7" s="97"/>
      <c r="K7" s="98"/>
      <c r="L7" s="1"/>
    </row>
    <row r="8" spans="1:14" ht="48" customHeight="1">
      <c r="A8" s="1"/>
      <c r="B8" s="1"/>
      <c r="C8" s="87" t="s">
        <v>4</v>
      </c>
      <c r="D8" s="88"/>
      <c r="E8" s="88"/>
      <c r="F8" s="88"/>
      <c r="G8" s="88"/>
      <c r="H8" s="89"/>
      <c r="I8" s="90" t="s">
        <v>86</v>
      </c>
      <c r="J8" s="90"/>
      <c r="K8" s="91"/>
      <c r="L8" s="1"/>
    </row>
    <row r="9" spans="1:14" ht="74.25" customHeight="1">
      <c r="A9" s="1"/>
      <c r="B9" s="1"/>
      <c r="C9" s="87" t="s">
        <v>5</v>
      </c>
      <c r="D9" s="88"/>
      <c r="E9" s="88"/>
      <c r="F9" s="88"/>
      <c r="G9" s="88"/>
      <c r="H9" s="89"/>
      <c r="I9" s="90" t="s">
        <v>86</v>
      </c>
      <c r="J9" s="90"/>
      <c r="K9" s="91"/>
      <c r="L9" s="1"/>
    </row>
    <row r="10" spans="1:14" ht="79.5" customHeight="1">
      <c r="A10" s="1"/>
      <c r="B10" s="1"/>
      <c r="C10" s="87" t="s">
        <v>6</v>
      </c>
      <c r="D10" s="88"/>
      <c r="E10" s="88"/>
      <c r="F10" s="88"/>
      <c r="G10" s="88"/>
      <c r="H10" s="89"/>
      <c r="I10" s="90" t="s">
        <v>86</v>
      </c>
      <c r="J10" s="90"/>
      <c r="K10" s="91"/>
      <c r="L10" s="1"/>
    </row>
    <row r="11" spans="1:14" ht="123" customHeight="1" thickBot="1">
      <c r="A11" s="1"/>
      <c r="B11" s="1"/>
      <c r="C11" s="92" t="s">
        <v>99</v>
      </c>
      <c r="D11" s="93"/>
      <c r="E11" s="93"/>
      <c r="F11" s="93"/>
      <c r="G11" s="93"/>
      <c r="H11" s="94"/>
      <c r="I11" s="95" t="s">
        <v>86</v>
      </c>
      <c r="J11" s="95"/>
      <c r="K11" s="96"/>
      <c r="L11" s="1"/>
      <c r="N11" s="44"/>
    </row>
    <row r="12" spans="1:14" ht="93" customHeight="1" thickBot="1">
      <c r="A12" s="1"/>
      <c r="B12" s="1"/>
      <c r="C12" s="63" t="s">
        <v>7</v>
      </c>
      <c r="D12" s="64"/>
      <c r="E12" s="64"/>
      <c r="F12" s="64"/>
      <c r="G12" s="64"/>
      <c r="H12" s="64"/>
      <c r="I12" s="64"/>
      <c r="J12" s="64"/>
      <c r="K12" s="65"/>
      <c r="L12" s="1"/>
    </row>
    <row r="13" spans="1:14" ht="30.75" thickBot="1">
      <c r="A13" s="1"/>
      <c r="B13" s="1"/>
      <c r="C13" s="66" t="s">
        <v>8</v>
      </c>
      <c r="D13" s="67"/>
      <c r="E13" s="67"/>
      <c r="F13" s="67"/>
      <c r="G13" s="67"/>
      <c r="H13" s="67"/>
      <c r="I13" s="67"/>
      <c r="J13" s="67"/>
      <c r="K13" s="68"/>
      <c r="L13" s="1"/>
    </row>
    <row r="14" spans="1:14" ht="48" thickBot="1">
      <c r="A14" s="1"/>
      <c r="B14" s="1"/>
      <c r="C14" s="4" t="s">
        <v>9</v>
      </c>
      <c r="D14" s="5" t="s">
        <v>10</v>
      </c>
      <c r="E14" s="5" t="s">
        <v>11</v>
      </c>
      <c r="F14" s="5" t="s">
        <v>12</v>
      </c>
      <c r="G14" s="6" t="s">
        <v>13</v>
      </c>
      <c r="H14" s="7" t="s">
        <v>14</v>
      </c>
      <c r="I14" s="7" t="s">
        <v>15</v>
      </c>
      <c r="J14" s="7" t="s">
        <v>16</v>
      </c>
      <c r="K14" s="8" t="s">
        <v>17</v>
      </c>
      <c r="L14" s="1"/>
    </row>
    <row r="15" spans="1:14" ht="18.75">
      <c r="A15" s="1"/>
      <c r="B15" s="1"/>
      <c r="C15" s="69" t="s">
        <v>18</v>
      </c>
      <c r="D15" s="70"/>
      <c r="E15" s="70"/>
      <c r="F15" s="70"/>
      <c r="G15" s="70"/>
      <c r="H15" s="70"/>
      <c r="I15" s="70"/>
      <c r="J15" s="70"/>
      <c r="K15" s="71"/>
      <c r="L15" s="1"/>
    </row>
    <row r="16" spans="1:14" ht="38.25">
      <c r="A16" s="1"/>
      <c r="B16" s="1"/>
      <c r="C16" s="9">
        <v>1</v>
      </c>
      <c r="D16" s="10" t="s">
        <v>19</v>
      </c>
      <c r="E16" s="10" t="s">
        <v>20</v>
      </c>
      <c r="F16" s="11" t="s">
        <v>98</v>
      </c>
      <c r="G16" s="12">
        <v>5000</v>
      </c>
      <c r="H16" s="45" t="s">
        <v>86</v>
      </c>
      <c r="I16" s="46" t="s">
        <v>86</v>
      </c>
      <c r="J16" s="13"/>
      <c r="K16" s="14"/>
      <c r="L16" s="1"/>
    </row>
    <row r="17" spans="1:12" ht="38.25">
      <c r="A17" s="1"/>
      <c r="B17" s="1"/>
      <c r="C17" s="15">
        <v>2</v>
      </c>
      <c r="D17" s="10" t="s">
        <v>21</v>
      </c>
      <c r="E17" s="16" t="s">
        <v>22</v>
      </c>
      <c r="F17" s="11" t="s">
        <v>66</v>
      </c>
      <c r="G17" s="12">
        <v>2500</v>
      </c>
      <c r="H17" s="45" t="s">
        <v>86</v>
      </c>
      <c r="I17" s="46" t="s">
        <v>86</v>
      </c>
      <c r="J17" s="13"/>
      <c r="K17" s="14"/>
      <c r="L17" s="1"/>
    </row>
    <row r="18" spans="1:12" ht="89.25">
      <c r="A18" s="1"/>
      <c r="B18" s="1"/>
      <c r="C18" s="17">
        <v>2</v>
      </c>
      <c r="D18" s="10" t="s">
        <v>21</v>
      </c>
      <c r="E18" s="16" t="s">
        <v>22</v>
      </c>
      <c r="F18" s="18" t="s">
        <v>64</v>
      </c>
      <c r="G18" s="19">
        <v>3000</v>
      </c>
      <c r="H18" s="45" t="s">
        <v>86</v>
      </c>
      <c r="I18" s="46" t="s">
        <v>86</v>
      </c>
      <c r="J18" s="20"/>
      <c r="K18" s="21"/>
      <c r="L18" s="1"/>
    </row>
    <row r="19" spans="1:12" ht="38.25">
      <c r="A19" s="1"/>
      <c r="B19" s="1"/>
      <c r="C19" s="17">
        <v>2</v>
      </c>
      <c r="D19" s="10" t="s">
        <v>21</v>
      </c>
      <c r="E19" s="16" t="s">
        <v>22</v>
      </c>
      <c r="F19" s="18" t="s">
        <v>67</v>
      </c>
      <c r="G19" s="19">
        <v>2500</v>
      </c>
      <c r="H19" s="45" t="s">
        <v>86</v>
      </c>
      <c r="I19" s="46" t="s">
        <v>86</v>
      </c>
      <c r="J19" s="20"/>
      <c r="K19" s="21"/>
      <c r="L19" s="1"/>
    </row>
    <row r="20" spans="1:12">
      <c r="A20" s="1"/>
      <c r="B20" s="1"/>
      <c r="L20" s="1"/>
    </row>
    <row r="21" spans="1:12" ht="19.5" thickBot="1">
      <c r="A21" s="1"/>
      <c r="B21" s="1"/>
      <c r="C21" s="72" t="s">
        <v>23</v>
      </c>
      <c r="D21" s="73"/>
      <c r="E21" s="73"/>
      <c r="F21" s="73"/>
      <c r="G21" s="73"/>
      <c r="H21" s="73"/>
      <c r="I21" s="73"/>
      <c r="J21" s="73"/>
      <c r="K21" s="74"/>
      <c r="L21" s="1"/>
    </row>
    <row r="22" spans="1:12" ht="179.25" thickBot="1">
      <c r="A22" s="1"/>
      <c r="B22" s="1"/>
      <c r="C22" s="24">
        <v>3</v>
      </c>
      <c r="D22" s="25" t="s">
        <v>24</v>
      </c>
      <c r="E22" s="25" t="s">
        <v>25</v>
      </c>
      <c r="F22" s="26" t="s">
        <v>96</v>
      </c>
      <c r="G22" s="27">
        <v>1000</v>
      </c>
      <c r="H22" s="47" t="s">
        <v>86</v>
      </c>
      <c r="I22" s="48" t="s">
        <v>86</v>
      </c>
      <c r="J22" s="28"/>
      <c r="K22" s="29"/>
      <c r="L22" s="1"/>
    </row>
    <row r="23" spans="1:12" ht="183.75" customHeight="1" thickBot="1">
      <c r="A23" s="1"/>
      <c r="B23" s="1"/>
      <c r="C23" s="30">
        <v>3</v>
      </c>
      <c r="D23" s="25" t="s">
        <v>24</v>
      </c>
      <c r="E23" s="25" t="s">
        <v>26</v>
      </c>
      <c r="F23" s="26" t="s">
        <v>96</v>
      </c>
      <c r="G23" s="27">
        <v>1000</v>
      </c>
      <c r="H23" s="47" t="s">
        <v>86</v>
      </c>
      <c r="I23" s="48" t="s">
        <v>86</v>
      </c>
      <c r="J23" s="31"/>
      <c r="K23" s="29"/>
      <c r="L23" s="1"/>
    </row>
    <row r="24" spans="1:12" ht="178.5">
      <c r="A24" s="1"/>
      <c r="B24" s="1"/>
      <c r="C24" s="24">
        <v>3</v>
      </c>
      <c r="D24" s="25" t="s">
        <v>24</v>
      </c>
      <c r="E24" s="25" t="s">
        <v>27</v>
      </c>
      <c r="F24" s="26" t="s">
        <v>96</v>
      </c>
      <c r="G24" s="27">
        <v>1000</v>
      </c>
      <c r="H24" s="47" t="s">
        <v>86</v>
      </c>
      <c r="I24" s="48" t="s">
        <v>86</v>
      </c>
      <c r="J24" s="31"/>
      <c r="K24" s="29"/>
      <c r="L24" s="1"/>
    </row>
    <row r="25" spans="1:12" ht="153">
      <c r="A25" s="1"/>
      <c r="B25" s="1"/>
      <c r="C25" s="32">
        <v>4</v>
      </c>
      <c r="D25" s="33" t="s">
        <v>28</v>
      </c>
      <c r="E25" s="33" t="s">
        <v>29</v>
      </c>
      <c r="F25" s="34" t="s">
        <v>68</v>
      </c>
      <c r="G25" s="35">
        <v>7000</v>
      </c>
      <c r="H25" s="49" t="s">
        <v>86</v>
      </c>
      <c r="I25" s="49" t="s">
        <v>86</v>
      </c>
      <c r="J25" s="36"/>
      <c r="K25" s="37"/>
      <c r="L25" s="1"/>
    </row>
    <row r="26" spans="1:12" ht="153">
      <c r="A26" s="1"/>
      <c r="B26" s="1"/>
      <c r="C26" s="24">
        <v>4</v>
      </c>
      <c r="D26" s="33" t="s">
        <v>28</v>
      </c>
      <c r="E26" s="25" t="s">
        <v>30</v>
      </c>
      <c r="F26" s="34" t="s">
        <v>68</v>
      </c>
      <c r="G26" s="35">
        <v>7000</v>
      </c>
      <c r="H26" s="49" t="s">
        <v>86</v>
      </c>
      <c r="I26" s="49" t="s">
        <v>86</v>
      </c>
      <c r="J26" s="31"/>
      <c r="K26" s="29"/>
      <c r="L26" s="1"/>
    </row>
    <row r="27" spans="1:12" ht="153">
      <c r="A27" s="1"/>
      <c r="B27" s="1"/>
      <c r="C27" s="24">
        <v>4</v>
      </c>
      <c r="D27" s="33" t="s">
        <v>28</v>
      </c>
      <c r="E27" s="25" t="s">
        <v>31</v>
      </c>
      <c r="F27" s="34" t="s">
        <v>68</v>
      </c>
      <c r="G27" s="35">
        <v>7000</v>
      </c>
      <c r="H27" s="49" t="s">
        <v>86</v>
      </c>
      <c r="I27" s="49" t="s">
        <v>86</v>
      </c>
      <c r="J27" s="31"/>
      <c r="K27" s="29"/>
      <c r="L27" s="1"/>
    </row>
    <row r="28" spans="1:12" ht="38.25">
      <c r="A28" s="1"/>
      <c r="B28" s="1"/>
      <c r="C28" s="24">
        <v>5</v>
      </c>
      <c r="D28" s="25" t="s">
        <v>32</v>
      </c>
      <c r="E28" s="25" t="s">
        <v>33</v>
      </c>
      <c r="F28" s="26" t="s">
        <v>69</v>
      </c>
      <c r="G28" s="27">
        <v>1000</v>
      </c>
      <c r="H28" s="47" t="s">
        <v>86</v>
      </c>
      <c r="I28" s="47" t="s">
        <v>86</v>
      </c>
      <c r="J28" s="31"/>
      <c r="K28" s="29"/>
      <c r="L28" s="1"/>
    </row>
    <row r="29" spans="1:12" ht="38.25">
      <c r="A29" s="1"/>
      <c r="B29" s="1"/>
      <c r="C29" s="24">
        <v>5</v>
      </c>
      <c r="D29" s="25" t="s">
        <v>32</v>
      </c>
      <c r="E29" s="25" t="s">
        <v>34</v>
      </c>
      <c r="F29" s="26" t="s">
        <v>69</v>
      </c>
      <c r="G29" s="27">
        <v>1000</v>
      </c>
      <c r="H29" s="47" t="s">
        <v>86</v>
      </c>
      <c r="I29" s="47" t="s">
        <v>86</v>
      </c>
      <c r="J29" s="31"/>
      <c r="K29" s="29"/>
      <c r="L29" s="1"/>
    </row>
    <row r="30" spans="1:12" ht="38.25">
      <c r="A30" s="1"/>
      <c r="B30" s="1"/>
      <c r="C30" s="24">
        <v>5</v>
      </c>
      <c r="D30" s="25" t="s">
        <v>32</v>
      </c>
      <c r="E30" s="25" t="s">
        <v>35</v>
      </c>
      <c r="F30" s="26" t="s">
        <v>69</v>
      </c>
      <c r="G30" s="27">
        <v>1000</v>
      </c>
      <c r="H30" s="47" t="s">
        <v>86</v>
      </c>
      <c r="I30" s="47" t="s">
        <v>86</v>
      </c>
      <c r="J30" s="31"/>
      <c r="K30" s="29"/>
      <c r="L30" s="1"/>
    </row>
    <row r="31" spans="1:12" ht="204">
      <c r="A31" s="1"/>
      <c r="B31" s="1"/>
      <c r="C31" s="30">
        <v>6</v>
      </c>
      <c r="D31" s="25" t="s">
        <v>36</v>
      </c>
      <c r="E31" s="25" t="s">
        <v>37</v>
      </c>
      <c r="F31" s="38" t="s">
        <v>70</v>
      </c>
      <c r="G31" s="27">
        <v>10000</v>
      </c>
      <c r="H31" s="47" t="s">
        <v>86</v>
      </c>
      <c r="I31" s="47" t="s">
        <v>86</v>
      </c>
      <c r="J31" s="31"/>
      <c r="K31" s="29"/>
      <c r="L31" s="1"/>
    </row>
    <row r="32" spans="1:12" ht="204">
      <c r="A32" s="1"/>
      <c r="B32" s="1"/>
      <c r="C32" s="30">
        <v>6</v>
      </c>
      <c r="D32" s="25" t="s">
        <v>36</v>
      </c>
      <c r="E32" s="25" t="s">
        <v>38</v>
      </c>
      <c r="F32" s="38" t="s">
        <v>70</v>
      </c>
      <c r="G32" s="27">
        <v>10000</v>
      </c>
      <c r="H32" s="47" t="s">
        <v>86</v>
      </c>
      <c r="I32" s="47" t="s">
        <v>86</v>
      </c>
      <c r="J32" s="31"/>
      <c r="K32" s="29"/>
      <c r="L32" s="1"/>
    </row>
    <row r="33" spans="1:12" ht="204">
      <c r="A33" s="1"/>
      <c r="B33" s="1"/>
      <c r="C33" s="30">
        <v>6</v>
      </c>
      <c r="D33" s="25" t="s">
        <v>36</v>
      </c>
      <c r="E33" s="39" t="s">
        <v>39</v>
      </c>
      <c r="F33" s="38" t="s">
        <v>70</v>
      </c>
      <c r="G33" s="27">
        <v>10000</v>
      </c>
      <c r="H33" s="47" t="s">
        <v>86</v>
      </c>
      <c r="I33" s="47" t="s">
        <v>86</v>
      </c>
      <c r="J33" s="40"/>
      <c r="K33" s="29"/>
      <c r="L33" s="1"/>
    </row>
    <row r="34" spans="1:12" ht="63.75">
      <c r="A34" s="1"/>
      <c r="B34" s="1"/>
      <c r="C34" s="30">
        <v>7</v>
      </c>
      <c r="D34" s="39" t="s">
        <v>40</v>
      </c>
      <c r="E34" s="39" t="s">
        <v>41</v>
      </c>
      <c r="F34" s="38" t="s">
        <v>71</v>
      </c>
      <c r="G34" s="41">
        <v>4000</v>
      </c>
      <c r="H34" s="50" t="s">
        <v>86</v>
      </c>
      <c r="I34" s="50" t="s">
        <v>86</v>
      </c>
      <c r="J34" s="40"/>
      <c r="K34" s="42"/>
      <c r="L34" s="1"/>
    </row>
    <row r="35" spans="1:12" ht="63.75">
      <c r="A35" s="1"/>
      <c r="B35" s="1"/>
      <c r="C35" s="30">
        <v>7</v>
      </c>
      <c r="D35" s="39" t="s">
        <v>40</v>
      </c>
      <c r="E35" s="39" t="s">
        <v>42</v>
      </c>
      <c r="F35" s="38" t="s">
        <v>71</v>
      </c>
      <c r="G35" s="41">
        <v>4000</v>
      </c>
      <c r="H35" s="50" t="s">
        <v>86</v>
      </c>
      <c r="I35" s="50" t="s">
        <v>86</v>
      </c>
      <c r="J35" s="40"/>
      <c r="K35" s="42"/>
      <c r="L35" s="1"/>
    </row>
    <row r="36" spans="1:12" ht="63.75">
      <c r="A36" s="1"/>
      <c r="B36" s="1"/>
      <c r="C36" s="30">
        <v>7</v>
      </c>
      <c r="D36" s="39" t="s">
        <v>40</v>
      </c>
      <c r="E36" s="39" t="s">
        <v>43</v>
      </c>
      <c r="F36" s="38" t="s">
        <v>71</v>
      </c>
      <c r="G36" s="41">
        <v>4000</v>
      </c>
      <c r="H36" s="50" t="s">
        <v>86</v>
      </c>
      <c r="I36" s="50" t="s">
        <v>86</v>
      </c>
      <c r="J36" s="40"/>
      <c r="K36" s="42"/>
      <c r="L36" s="1"/>
    </row>
    <row r="37" spans="1:12" ht="102">
      <c r="A37" s="1"/>
      <c r="B37" s="1"/>
      <c r="C37" s="24">
        <v>8</v>
      </c>
      <c r="D37" s="39" t="s">
        <v>44</v>
      </c>
      <c r="E37" s="25" t="s">
        <v>45</v>
      </c>
      <c r="F37" s="38" t="s">
        <v>72</v>
      </c>
      <c r="G37" s="27">
        <v>6000</v>
      </c>
      <c r="H37" s="47" t="s">
        <v>86</v>
      </c>
      <c r="I37" s="47" t="s">
        <v>86</v>
      </c>
      <c r="J37" s="31"/>
      <c r="K37" s="29"/>
      <c r="L37" s="1"/>
    </row>
    <row r="38" spans="1:12" ht="102">
      <c r="A38" s="1"/>
      <c r="B38" s="1"/>
      <c r="C38" s="24">
        <v>8</v>
      </c>
      <c r="D38" s="39" t="s">
        <v>44</v>
      </c>
      <c r="E38" s="25" t="s">
        <v>46</v>
      </c>
      <c r="F38" s="38" t="s">
        <v>72</v>
      </c>
      <c r="G38" s="27">
        <v>6000</v>
      </c>
      <c r="H38" s="47" t="s">
        <v>86</v>
      </c>
      <c r="I38" s="47" t="s">
        <v>86</v>
      </c>
      <c r="J38" s="31"/>
      <c r="K38" s="29"/>
      <c r="L38" s="1"/>
    </row>
    <row r="39" spans="1:12" ht="102">
      <c r="A39" s="1"/>
      <c r="B39" s="1"/>
      <c r="C39" s="24">
        <v>8</v>
      </c>
      <c r="D39" s="25" t="s">
        <v>44</v>
      </c>
      <c r="E39" s="25" t="s">
        <v>47</v>
      </c>
      <c r="F39" s="38" t="s">
        <v>72</v>
      </c>
      <c r="G39" s="27">
        <v>6000</v>
      </c>
      <c r="H39" s="47" t="s">
        <v>86</v>
      </c>
      <c r="I39" s="47" t="s">
        <v>86</v>
      </c>
      <c r="J39" s="31"/>
      <c r="K39" s="29"/>
      <c r="L39" s="1"/>
    </row>
    <row r="40" spans="1:12" ht="19.5" customHeight="1">
      <c r="A40" s="1"/>
      <c r="B40" s="1"/>
      <c r="C40" s="81" t="s">
        <v>48</v>
      </c>
      <c r="D40" s="82"/>
      <c r="E40" s="82"/>
      <c r="F40" s="82"/>
      <c r="G40" s="82"/>
      <c r="H40" s="82"/>
      <c r="I40" s="82"/>
      <c r="J40" s="82"/>
      <c r="K40" s="83"/>
      <c r="L40" s="1"/>
    </row>
    <row r="41" spans="1:12" ht="102">
      <c r="A41" s="1"/>
      <c r="B41" s="1"/>
      <c r="C41" s="24">
        <v>9</v>
      </c>
      <c r="D41" s="25" t="s">
        <v>77</v>
      </c>
      <c r="E41" s="25" t="s">
        <v>49</v>
      </c>
      <c r="F41" s="38" t="s">
        <v>73</v>
      </c>
      <c r="G41" s="27">
        <v>5000</v>
      </c>
      <c r="H41" s="47" t="s">
        <v>86</v>
      </c>
      <c r="I41" s="47" t="s">
        <v>86</v>
      </c>
      <c r="J41" s="31"/>
      <c r="K41" s="29"/>
      <c r="L41" s="1"/>
    </row>
    <row r="42" spans="1:12" ht="102">
      <c r="A42" s="1"/>
      <c r="B42" s="1"/>
      <c r="C42" s="32">
        <v>9</v>
      </c>
      <c r="D42" s="25" t="s">
        <v>77</v>
      </c>
      <c r="E42" s="33" t="s">
        <v>50</v>
      </c>
      <c r="F42" s="38" t="s">
        <v>73</v>
      </c>
      <c r="G42" s="27">
        <v>5000</v>
      </c>
      <c r="H42" s="47" t="s">
        <v>86</v>
      </c>
      <c r="I42" s="47" t="s">
        <v>86</v>
      </c>
      <c r="J42" s="36"/>
      <c r="K42" s="37"/>
      <c r="L42" s="43"/>
    </row>
    <row r="43" spans="1:12" ht="102">
      <c r="A43" s="1"/>
      <c r="B43" s="1"/>
      <c r="C43" s="24">
        <v>9</v>
      </c>
      <c r="D43" s="25" t="s">
        <v>77</v>
      </c>
      <c r="E43" s="25" t="s">
        <v>51</v>
      </c>
      <c r="F43" s="38" t="s">
        <v>73</v>
      </c>
      <c r="G43" s="27">
        <v>5000</v>
      </c>
      <c r="H43" s="47" t="s">
        <v>86</v>
      </c>
      <c r="I43" s="47" t="s">
        <v>86</v>
      </c>
      <c r="J43" s="31"/>
      <c r="K43" s="29"/>
      <c r="L43" s="43"/>
    </row>
    <row r="44" spans="1:12" ht="102">
      <c r="A44" s="1"/>
      <c r="B44" s="1"/>
      <c r="C44" s="32">
        <v>10</v>
      </c>
      <c r="D44" s="25" t="s">
        <v>78</v>
      </c>
      <c r="E44" s="33" t="s">
        <v>52</v>
      </c>
      <c r="F44" s="38" t="s">
        <v>74</v>
      </c>
      <c r="G44" s="35">
        <v>5000</v>
      </c>
      <c r="H44" s="49" t="s">
        <v>86</v>
      </c>
      <c r="I44" s="47" t="s">
        <v>86</v>
      </c>
      <c r="J44" s="36"/>
      <c r="K44" s="37"/>
      <c r="L44" s="43"/>
    </row>
    <row r="45" spans="1:12" ht="102">
      <c r="A45" s="1"/>
      <c r="B45" s="1"/>
      <c r="C45" s="24">
        <v>10</v>
      </c>
      <c r="D45" s="25" t="s">
        <v>78</v>
      </c>
      <c r="E45" s="33" t="s">
        <v>53</v>
      </c>
      <c r="F45" s="38" t="s">
        <v>74</v>
      </c>
      <c r="G45" s="35">
        <v>5000</v>
      </c>
      <c r="H45" s="49" t="s">
        <v>86</v>
      </c>
      <c r="I45" s="47" t="s">
        <v>86</v>
      </c>
      <c r="J45" s="36"/>
      <c r="K45" s="37"/>
      <c r="L45" s="43"/>
    </row>
    <row r="46" spans="1:12" ht="102">
      <c r="A46" s="1"/>
      <c r="B46" s="1"/>
      <c r="C46" s="24">
        <v>10</v>
      </c>
      <c r="D46" s="25" t="s">
        <v>78</v>
      </c>
      <c r="E46" s="25" t="s">
        <v>54</v>
      </c>
      <c r="F46" s="38" t="s">
        <v>74</v>
      </c>
      <c r="G46" s="35">
        <v>5000</v>
      </c>
      <c r="H46" s="49" t="s">
        <v>86</v>
      </c>
      <c r="I46" s="47" t="s">
        <v>86</v>
      </c>
      <c r="J46" s="31"/>
      <c r="K46" s="29"/>
      <c r="L46" s="43"/>
    </row>
    <row r="47" spans="1:12" ht="19.5" customHeight="1">
      <c r="A47" s="1"/>
      <c r="B47" s="1"/>
      <c r="C47" s="84" t="s">
        <v>55</v>
      </c>
      <c r="D47" s="85"/>
      <c r="E47" s="85"/>
      <c r="F47" s="85"/>
      <c r="G47" s="85"/>
      <c r="H47" s="85"/>
      <c r="I47" s="85"/>
      <c r="J47" s="85"/>
      <c r="K47" s="86"/>
      <c r="L47" s="43"/>
    </row>
    <row r="48" spans="1:12" ht="89.25">
      <c r="A48" s="1"/>
      <c r="B48" s="1"/>
      <c r="C48" s="24">
        <v>11</v>
      </c>
      <c r="D48" s="25" t="s">
        <v>79</v>
      </c>
      <c r="E48" s="33" t="s">
        <v>56</v>
      </c>
      <c r="F48" s="38" t="s">
        <v>75</v>
      </c>
      <c r="G48" s="27">
        <v>5000</v>
      </c>
      <c r="H48" s="47" t="s">
        <v>86</v>
      </c>
      <c r="I48" s="47" t="s">
        <v>86</v>
      </c>
      <c r="J48" s="31"/>
      <c r="K48" s="29"/>
      <c r="L48" s="43"/>
    </row>
    <row r="49" spans="1:12" ht="89.25">
      <c r="A49" s="1"/>
      <c r="B49" s="1"/>
      <c r="C49" s="24">
        <v>11</v>
      </c>
      <c r="D49" s="25" t="s">
        <v>79</v>
      </c>
      <c r="E49" s="33" t="s">
        <v>57</v>
      </c>
      <c r="F49" s="38" t="s">
        <v>75</v>
      </c>
      <c r="G49" s="27">
        <v>5000</v>
      </c>
      <c r="H49" s="47" t="s">
        <v>86</v>
      </c>
      <c r="I49" s="47" t="s">
        <v>86</v>
      </c>
      <c r="J49" s="31"/>
      <c r="K49" s="29"/>
      <c r="L49" s="43"/>
    </row>
    <row r="50" spans="1:12" ht="89.25">
      <c r="A50" s="1"/>
      <c r="B50" s="1"/>
      <c r="C50" s="24">
        <v>11</v>
      </c>
      <c r="D50" s="25" t="s">
        <v>79</v>
      </c>
      <c r="E50" s="25" t="s">
        <v>58</v>
      </c>
      <c r="F50" s="38" t="s">
        <v>75</v>
      </c>
      <c r="G50" s="27">
        <v>5000</v>
      </c>
      <c r="H50" s="47" t="s">
        <v>86</v>
      </c>
      <c r="I50" s="47" t="s">
        <v>86</v>
      </c>
      <c r="J50" s="31"/>
      <c r="K50" s="29"/>
      <c r="L50" s="43"/>
    </row>
    <row r="51" spans="1:12" ht="89.25">
      <c r="A51" s="1"/>
      <c r="B51" s="1"/>
      <c r="C51" s="24">
        <v>12</v>
      </c>
      <c r="D51" s="25" t="s">
        <v>80</v>
      </c>
      <c r="E51" s="25" t="s">
        <v>59</v>
      </c>
      <c r="F51" s="38" t="s">
        <v>76</v>
      </c>
      <c r="G51" s="27">
        <v>5000</v>
      </c>
      <c r="H51" s="47" t="s">
        <v>86</v>
      </c>
      <c r="I51" s="47" t="s">
        <v>86</v>
      </c>
      <c r="J51" s="31"/>
      <c r="K51" s="29"/>
      <c r="L51" s="43"/>
    </row>
    <row r="52" spans="1:12" ht="89.25">
      <c r="A52" s="1"/>
      <c r="B52" s="1"/>
      <c r="C52" s="24">
        <v>12</v>
      </c>
      <c r="D52" s="25" t="s">
        <v>80</v>
      </c>
      <c r="E52" s="25" t="s">
        <v>60</v>
      </c>
      <c r="F52" s="38" t="s">
        <v>76</v>
      </c>
      <c r="G52" s="27">
        <v>5000</v>
      </c>
      <c r="H52" s="47" t="s">
        <v>86</v>
      </c>
      <c r="I52" s="47" t="s">
        <v>86</v>
      </c>
      <c r="J52" s="31"/>
      <c r="K52" s="29"/>
      <c r="L52" s="43"/>
    </row>
    <row r="53" spans="1:12" ht="89.25">
      <c r="A53" s="1"/>
      <c r="B53" s="1"/>
      <c r="C53" s="24">
        <v>12</v>
      </c>
      <c r="D53" s="25" t="s">
        <v>80</v>
      </c>
      <c r="E53" s="25" t="s">
        <v>61</v>
      </c>
      <c r="F53" s="38" t="s">
        <v>76</v>
      </c>
      <c r="G53" s="27">
        <v>5000</v>
      </c>
      <c r="H53" s="47" t="s">
        <v>86</v>
      </c>
      <c r="I53" s="47" t="s">
        <v>86</v>
      </c>
      <c r="J53" s="31"/>
      <c r="K53" s="29"/>
      <c r="L53" s="1"/>
    </row>
    <row r="54" spans="1:12" ht="13.15" customHeight="1">
      <c r="A54" s="1"/>
      <c r="B54" s="1"/>
      <c r="C54" s="75" t="s">
        <v>62</v>
      </c>
      <c r="D54" s="76"/>
      <c r="E54" s="76"/>
      <c r="F54" s="77"/>
      <c r="G54" s="78">
        <v>130000</v>
      </c>
      <c r="H54" s="79"/>
      <c r="I54" s="79"/>
      <c r="J54" s="79"/>
      <c r="K54" s="80"/>
      <c r="L54" s="1"/>
    </row>
    <row r="55" spans="1:12" ht="13.15" customHeight="1">
      <c r="A55" s="1"/>
      <c r="B55" s="1"/>
      <c r="C55" s="51" t="s">
        <v>63</v>
      </c>
      <c r="D55" s="52"/>
      <c r="E55" s="52"/>
      <c r="F55" s="53"/>
      <c r="G55" s="54">
        <f>SUM(I16:I53)</f>
        <v>0</v>
      </c>
      <c r="H55" s="55"/>
      <c r="I55" s="55"/>
      <c r="J55" s="55"/>
      <c r="K55" s="56"/>
      <c r="L55" s="1"/>
    </row>
    <row r="56" spans="1:12" ht="13.9" customHeight="1" thickBot="1">
      <c r="A56" s="1"/>
      <c r="B56" s="1"/>
      <c r="C56" s="57" t="s">
        <v>94</v>
      </c>
      <c r="D56" s="58"/>
      <c r="E56" s="58"/>
      <c r="F56" s="59"/>
      <c r="G56" s="60">
        <f>SUM(K16:K53)</f>
        <v>0</v>
      </c>
      <c r="H56" s="61"/>
      <c r="I56" s="61"/>
      <c r="J56" s="61"/>
      <c r="K56" s="62"/>
      <c r="L56" s="1"/>
    </row>
    <row r="57" spans="1:12">
      <c r="A57" s="1"/>
      <c r="B57" s="1"/>
      <c r="C57" s="1"/>
      <c r="D57" s="1"/>
      <c r="E57" s="1"/>
      <c r="F57" s="1"/>
      <c r="G57" s="2"/>
      <c r="H57" s="3"/>
      <c r="I57" s="3"/>
      <c r="J57" s="3"/>
      <c r="K57" s="1"/>
      <c r="L57" s="1"/>
    </row>
    <row r="58" spans="1:12">
      <c r="A58" s="1"/>
      <c r="B58" s="1"/>
      <c r="C58" s="1"/>
      <c r="D58" s="1"/>
      <c r="E58" s="1"/>
      <c r="F58" s="1"/>
      <c r="G58" s="2"/>
      <c r="H58" s="3"/>
      <c r="I58" s="3"/>
      <c r="J58" s="3"/>
      <c r="K58" s="1"/>
      <c r="L58" s="1"/>
    </row>
  </sheetData>
  <sheetProtection algorithmName="SHA-512" hashValue="SJZm52Pd2YYd0PgG2EUjhcnQLvHG9gHs5iaWsqov30nXrdw5jTZhIpLnpl5avLm7j7P50zpzQ4JK1rz1r6MIQA==" saltValue="hZOsNZzi88iAG6HocZCk6g==" spinCount="100000" sheet="1" objects="1" scenarios="1"/>
  <mergeCells count="29">
    <mergeCell ref="C2:K2"/>
    <mergeCell ref="C4:K4"/>
    <mergeCell ref="C5:K5"/>
    <mergeCell ref="C6:H6"/>
    <mergeCell ref="I6:K6"/>
    <mergeCell ref="C3:E3"/>
    <mergeCell ref="F3:K3"/>
    <mergeCell ref="C10:H10"/>
    <mergeCell ref="I10:K10"/>
    <mergeCell ref="C11:H11"/>
    <mergeCell ref="I11:K11"/>
    <mergeCell ref="C7:H7"/>
    <mergeCell ref="I7:K7"/>
    <mergeCell ref="C8:H8"/>
    <mergeCell ref="I8:K8"/>
    <mergeCell ref="C9:H9"/>
    <mergeCell ref="I9:K9"/>
    <mergeCell ref="C55:F55"/>
    <mergeCell ref="G55:K55"/>
    <mergeCell ref="C56:F56"/>
    <mergeCell ref="G56:K56"/>
    <mergeCell ref="C12:K12"/>
    <mergeCell ref="C13:K13"/>
    <mergeCell ref="C15:K15"/>
    <mergeCell ref="C21:K21"/>
    <mergeCell ref="C54:F54"/>
    <mergeCell ref="G54:K54"/>
    <mergeCell ref="C40:K40"/>
    <mergeCell ref="C47:K47"/>
  </mergeCells>
  <conditionalFormatting sqref="A1:K1 M1:XFD1">
    <cfRule type="containsText" dxfId="9" priority="21" operator="containsText" text="[PLEASE SELECT ONE]">
      <formula>NOT(ISERROR(SEARCH("[PLEASE SELECT ONE]",A1)))</formula>
    </cfRule>
  </conditionalFormatting>
  <conditionalFormatting sqref="A57:XFD58">
    <cfRule type="containsText" dxfId="8" priority="17" operator="containsText" text="[PLEASE SELECT ONE]">
      <formula>NOT(ISERROR(SEARCH("[PLEASE SELECT ONE]",A57)))</formula>
    </cfRule>
  </conditionalFormatting>
  <conditionalFormatting sqref="C3:K3">
    <cfRule type="containsText" dxfId="7" priority="25" operator="containsText" text="[PLEASE SELECT ONE]">
      <formula>NOT(ISERROR(SEARCH("[PLEASE SELECT ONE]",C3)))</formula>
    </cfRule>
  </conditionalFormatting>
  <conditionalFormatting sqref="G54:K56">
    <cfRule type="containsText" dxfId="6" priority="2" operator="containsText" text="[PLEASE SELECT ONE]">
      <formula>NOT(ISERROR(SEARCH("[PLEASE SELECT ONE]",G54)))</formula>
    </cfRule>
  </conditionalFormatting>
  <conditionalFormatting sqref="H22:I39">
    <cfRule type="containsText" dxfId="5" priority="28" operator="containsText" text="[PLEASE SELECT ONE]">
      <formula>NOT(ISERROR(SEARCH("[PLEASE SELECT ONE]",H22)))</formula>
    </cfRule>
  </conditionalFormatting>
  <conditionalFormatting sqref="H41:I46">
    <cfRule type="containsText" dxfId="4" priority="27" operator="containsText" text="[PLEASE SELECT ONE]">
      <formula>NOT(ISERROR(SEARCH("[PLEASE SELECT ONE]",H41)))</formula>
    </cfRule>
  </conditionalFormatting>
  <conditionalFormatting sqref="H48:I53">
    <cfRule type="containsText" dxfId="3" priority="26" operator="containsText" text="[PLEASE SELECT ONE]">
      <formula>NOT(ISERROR(SEARCH("[PLEASE SELECT ONE]",H48)))</formula>
    </cfRule>
  </conditionalFormatting>
  <conditionalFormatting sqref="I6:K11">
    <cfRule type="containsText" dxfId="2" priority="12" operator="containsText" text="[PLEASE SELECT ONE]">
      <formula>NOT(ISERROR(SEARCH("[PLEASE SELECT ONE]",I6)))</formula>
    </cfRule>
  </conditionalFormatting>
  <conditionalFormatting sqref="L1:L56 A2:B56 H16:I19 A59:B1048576">
    <cfRule type="containsText" dxfId="1" priority="24" operator="containsText" text="[PLEASE SELECT ONE]">
      <formula>NOT(ISERROR(SEARCH("[PLEASE SELECT ONE]",A1)))</formula>
    </cfRule>
  </conditionalFormatting>
  <conditionalFormatting sqref="L59:L1048576">
    <cfRule type="containsText" dxfId="0" priority="19" operator="containsText" text="[PLEASE SELECT ONE]">
      <formula>NOT(ISERROR(SEARCH("[PLEASE SELECT ONE]",L59)))</formula>
    </cfRule>
  </conditionalFormatting>
  <dataValidations count="36">
    <dataValidation type="list" allowBlank="1" showInputMessage="1" showErrorMessage="1" sqref="J25:J27" xr:uid="{E42A0584-3C71-44F2-9F54-C8DC65D4D83E}">
      <formula1>"Offeror meets 100%, Offeror meets 75-99%, Offeror meets 50-74%, Offeror meets 25-49%, Offeror meets 0-24%"</formula1>
    </dataValidation>
    <dataValidation type="list" allowBlank="1" showInputMessage="1" showErrorMessage="1" sqref="K22:K24 K28:K30 K16:K19" xr:uid="{4A86647B-0DAE-4A49-99A8-E0A5C491835A}">
      <formula1>"0, 1"</formula1>
    </dataValidation>
    <dataValidation type="list" allowBlank="1" showInputMessage="1" showErrorMessage="1" sqref="K25:K27" xr:uid="{CE8B21CE-041D-45ED-AE18-643C040F0B06}">
      <formula1>"0, 1, 2, 3, 5"</formula1>
    </dataValidation>
    <dataValidation type="list" allowBlank="1" showInputMessage="1" showErrorMessage="1" sqref="J31:J33" xr:uid="{B5F12A20-1C81-40DA-9330-9F83555BD7F0}">
      <formula1>"Satisfactory, Very Good, Exceptional"</formula1>
    </dataValidation>
    <dataValidation type="list" allowBlank="1" showInputMessage="1" showErrorMessage="1" sqref="J28:J30" xr:uid="{0AF082E8-F0B9-4679-A70C-1FC29448F61C}">
      <formula1>"Aligns, Does Not Align"</formula1>
    </dataValidation>
    <dataValidation type="list" allowBlank="1" showInputMessage="1" showErrorMessage="1" sqref="J22:J24" xr:uid="{EEF4E589-14E3-41FA-A46D-FD411B393325}">
      <formula1>"Within 2 Years, Not Within 2 Years"</formula1>
    </dataValidation>
    <dataValidation type="list" allowBlank="1" showInputMessage="1" showErrorMessage="1" sqref="K41:K43" xr:uid="{867FDFAC-2803-425A-B82E-27D0B34A54EC}">
      <formula1>"0, 1, 2, 4, 7, 10"</formula1>
    </dataValidation>
    <dataValidation type="list" allowBlank="1" showInputMessage="1" showErrorMessage="1" sqref="J41:J43" xr:uid="{8947B434-4824-4D0F-9333-5BEEC6E7E01F}">
      <formula1>"Below 59%, 60-69%, 70-79%, 80-89%, 90-99%, 100%"</formula1>
    </dataValidation>
    <dataValidation type="list" allowBlank="1" showInputMessage="1" showErrorMessage="1" sqref="K34:K36" xr:uid="{600F8C77-5FB3-4B6E-AEF4-89AEA7AD2F14}">
      <formula1>"0, 1, 2, 3"</formula1>
    </dataValidation>
    <dataValidation type="list" allowBlank="1" showInputMessage="1" showErrorMessage="1" sqref="K31:K33" xr:uid="{DB5D62F9-1760-4F67-A2A7-6ED0E01D7FCF}">
      <formula1>"0, 1, 4, 7"</formula1>
    </dataValidation>
    <dataValidation type="list" allowBlank="1" showInputMessage="1" showErrorMessage="1" sqref="J34:J36" xr:uid="{C8E1F711-23C0-4136-9C59-106D524FC43C}">
      <formula1>"$2M, $&lt;25M, $25M-$50M, &gt;$50M"</formula1>
    </dataValidation>
    <dataValidation type="list" allowBlank="1" showInputMessage="1" showErrorMessage="1" sqref="J44:J46 J37:J39 J48:J53" xr:uid="{F011129B-9B03-4805-936F-CC6E4D748892}">
      <formula1>"30 days or less, 31-45 days. 46-50 days, 51-60 days, 61-74 days, 75 or more days"</formula1>
    </dataValidation>
    <dataValidation type="list" allowBlank="1" showInputMessage="1" showErrorMessage="1" sqref="K37:K39 K48:K53 K44:K46" xr:uid="{3A555258-8644-44B0-9D4E-1FB45CE1F47C}">
      <formula1>"0, 1, 2, 3, 5, 7"</formula1>
    </dataValidation>
    <dataValidation type="list" allowBlank="1" showInputMessage="1" showErrorMessage="1" sqref="I25:I27" xr:uid="{C7594BFA-A3DD-4329-B4A4-B87A2CEA8A65}">
      <formula1>"0, 1000.00, 2500.00, 5000.00, 7000.00, [PLEASE SELECT ONE]"</formula1>
    </dataValidation>
    <dataValidation type="list" allowBlank="1" showInputMessage="1" showErrorMessage="1" sqref="I31:I33" xr:uid="{A723F1F5-E598-4849-90B7-7A7F020AAE85}">
      <formula1>"0, 1000.00, 4500.00, 7500.00, 10000.00, [PLEASE SELECT ONE]"</formula1>
    </dataValidation>
    <dataValidation type="list" allowBlank="1" showInputMessage="1" showErrorMessage="1" sqref="I34:I36" xr:uid="{8ED1CBCD-DEA1-4FFF-9919-540BE3677470}">
      <formula1>"0, 1000.00, 2000.00, 4000.00, [PLEASE SELECT ONE]"</formula1>
    </dataValidation>
    <dataValidation type="list" allowBlank="1" showInputMessage="1" showErrorMessage="1" sqref="I37:I39" xr:uid="{BB072633-A523-4271-96C8-06BF9BEE8E4B}">
      <formula1>"0, 1000.00, 2500.00, 6000.00, [PLEASE SELECT ONE]"</formula1>
    </dataValidation>
    <dataValidation type="list" allowBlank="1" showInputMessage="1" showErrorMessage="1" sqref="H25:H27" xr:uid="{CB1D07AC-7E5B-4B92-942A-CD568CD1CA49}">
      <formula1>"Meets 100.00%, Meets 75.00-99.99%, Meets 50.00-74.99%, Meets 25.00-49.99%, Meets 0.00-24.99%, [PLEASE SELECT ONE]"</formula1>
    </dataValidation>
    <dataValidation type="list" allowBlank="1" showInputMessage="1" showErrorMessage="1" sqref="H28:H30" xr:uid="{91EBB480-BBE9-459B-ACC2-C9E441F9C193}">
      <formula1>"Aligns, Does Not Align, [PLEASE SELECT ONE]"</formula1>
    </dataValidation>
    <dataValidation type="list" allowBlank="1" showInputMessage="1" showErrorMessage="1" sqref="H31:H33" xr:uid="{CCD2FAF2-79DF-4213-A0E6-46E4D8D69A21}">
      <formula1>"All Exceptional, Very Good (or combination with higher), Satisfactory (or combination with higher), Neutral, Contains Marginal (or below), [PLEASE SELECT ONE]"</formula1>
    </dataValidation>
    <dataValidation type="list" allowBlank="1" showInputMessage="1" showErrorMessage="1" sqref="H37:H39" xr:uid="{FCCFA9D8-D882-4A01-980D-4ED33AB73CB0}">
      <formula1>"Sub Performed 0.00% to 30.00%, Sub Performed Greater than 30.00% to 50.00%, Sub Performed Greater than 50.00% to 65.00%, Sub Performed Greater than 65.00%, [PLEASE SELECT ONE]"</formula1>
    </dataValidation>
    <dataValidation type="list" allowBlank="1" showInputMessage="1" showErrorMessage="1" sqref="I22:I24 I28:I30" xr:uid="{F4C706C7-6DC9-4B18-8637-1C68ED68FE63}">
      <formula1>"0, 1000.00, [PLEASE SELECT ONE]"</formula1>
    </dataValidation>
    <dataValidation type="list" allowBlank="1" showInputMessage="1" showErrorMessage="1" sqref="I41:I46" xr:uid="{F2EF722F-E170-4C42-A133-7A972C3FC096}">
      <formula1>"0, 1000.00, 2000.00, 2750.00, 3500.00, 5000.00, [PLEASE SELECT ONE]"</formula1>
    </dataValidation>
    <dataValidation type="list" allowBlank="1" showInputMessage="1" showErrorMessage="1" sqref="H41:H43" xr:uid="{28436228-0611-4FA8-AF97-AFD465026372}">
      <formula1>"0.00%, Greater than 0.00% to 4.99%, 5.00% to 8.99%, 9.00% to 11.99%, 12.00% to 14.99%, 15.00% or Greater, [PLEASE SELECT ONE]"</formula1>
    </dataValidation>
    <dataValidation type="list" allowBlank="1" showInputMessage="1" showErrorMessage="1" sqref="H44:H46" xr:uid="{E5B25600-30A9-4DB1-8347-E6FCEDA665A8}">
      <formula1>"30 Days or Less, 31 to 45 Days, 46 to 50 Days, 51 to 60 Days, 61 to 74 Days, 75 Days or More, [PLEASE SELECT ONE]"</formula1>
    </dataValidation>
    <dataValidation type="list" allowBlank="1" showInputMessage="1" showErrorMessage="1" sqref="I48:I53" xr:uid="{07EC8A4E-C70F-4A76-AF5E-E3BC1514F908}">
      <formula1>"0, 1000.00, 2500.00, 3500.00, 5000.00, [PLEASE SELECT ONE]"</formula1>
    </dataValidation>
    <dataValidation type="list" allowBlank="1" showInputMessage="1" showErrorMessage="1" sqref="H51:H53" xr:uid="{082D1411-E5E3-4E73-9678-A2B794701D2E}">
      <formula1>"Met AQL &amp; &gt;10 Efficiencies, Met AQL &amp; 6 to 10 Efficiencies, Met AQL &amp; 1 to 5 Efficiencies, Only Met AQL, Less Than AQL, [PLEASE SELECT ONE]"</formula1>
    </dataValidation>
    <dataValidation type="list" allowBlank="1" showInputMessage="1" showErrorMessage="1" sqref="I6:K10" xr:uid="{A50C14DC-78E2-4DA4-9809-B618ED9B7620}">
      <formula1>"Yes, No, [PLEASE SELECT ONE]"</formula1>
    </dataValidation>
    <dataValidation type="list" allowBlank="1" showInputMessage="1" showErrorMessage="1" sqref="H16:H17 H19" xr:uid="{440D9378-6AEC-4E71-9BDF-F2B6F1979B8F}">
      <formula1>"Offeror has, Offeror does not have, [PLEASE SELECT ONE]"</formula1>
    </dataValidation>
    <dataValidation type="list" allowBlank="1" showInputMessage="1" showErrorMessage="1" sqref="I16" xr:uid="{54B1BDF6-928D-4D0E-99E2-88E8E1EFE291}">
      <formula1>"0, 5000.00, [PLEASE SELECT ONE]"</formula1>
    </dataValidation>
    <dataValidation type="list" allowBlank="1" showInputMessage="1" showErrorMessage="1" sqref="I17 I19" xr:uid="{DBC3450A-3D88-4D81-97EE-9244BFB08347}">
      <formula1>"0, 2500.00, [PLEASE SELECT ONE]"</formula1>
    </dataValidation>
    <dataValidation type="list" allowBlank="1" showInputMessage="1" showErrorMessage="1" sqref="I18" xr:uid="{BB09E5BB-1C61-4C42-82A2-8660205B24AA}">
      <formula1>"0, 1000.00, 2000.00, 3000.00, [PLEASE SELECT ONE]"</formula1>
    </dataValidation>
    <dataValidation type="list" allowBlank="1" showInputMessage="1" showErrorMessage="1" sqref="H34:H36" xr:uid="{548733D5-0260-4D5D-B911-CA2F043F8550}">
      <formula1>"Greater than $10M, Greater than $5M to $10M, Greater than $2.5M to $5M, [PLEASE SELECT ONE]"</formula1>
    </dataValidation>
    <dataValidation type="list" allowBlank="1" showInputMessage="1" showErrorMessage="1" sqref="I11:K11" xr:uid="{225ACCE2-8149-4564-AFE7-F9BD4CC23AA6}">
      <formula1>"Yes, No, N/A, [PLEASE SELECT ONE]"</formula1>
    </dataValidation>
    <dataValidation type="list" allowBlank="1" showInputMessage="1" showErrorMessage="1" sqref="J16:J19" xr:uid="{61F4E674-AFDB-4A30-9C6D-EBCE26E2D29E}">
      <formula1>"Offeror has, Offeror does not have"</formula1>
    </dataValidation>
    <dataValidation type="list" allowBlank="1" showInputMessage="1" showErrorMessage="1" sqref="H48:H50" xr:uid="{D19E7ADD-F2D6-4B5B-AC2C-9FAC299FC2FA}">
      <formula1>"Greater than 50.00% of the AQL [&gt;150.00%], Greater than 20.00% to 50.00% of the AQL [&gt;120.00%-150.00%], Met AQL [100.00%], Did Not Meet AQL [&lt;100.00%], [PLEASE SELECT ONE], Greater than the AQL to 20.00% of the AQL [100.00%-120.00%]"</formula1>
    </dataValidation>
  </dataValidations>
  <pageMargins left="0" right="0" top="0" bottom="0" header="0" footer="0"/>
  <pageSetup paperSize="3" scale="65" fitToHeight="0"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DB8A820-48F5-4FA1-9B31-B40CAEACC8BF}">
          <x14:formula1>
            <xm:f>LIST!$B$18:$B$20</xm:f>
          </x14:formula1>
          <xm:sqref>H22:H24</xm:sqref>
        </x14:dataValidation>
        <x14:dataValidation type="list" allowBlank="1" showInputMessage="1" showErrorMessage="1" xr:uid="{7077F7F4-27BA-4107-A43D-96A6FCE446FF}">
          <x14:formula1>
            <xm:f>LIST!$B$2:$B$7</xm:f>
          </x14:formula1>
          <xm:sqref>F3:K3</xm:sqref>
        </x14:dataValidation>
        <x14:dataValidation type="list" allowBlank="1" showInputMessage="1" showErrorMessage="1" xr:uid="{CC807CFB-AF45-4316-A965-FD8F3227828C}">
          <x14:formula1>
            <xm:f>LIST!$B$12:$B$16</xm:f>
          </x14:formula1>
          <xm:sqref>H18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BA48-A7C7-46D7-B41A-AC6C9EF78D12}">
  <dimension ref="B2:B20"/>
  <sheetViews>
    <sheetView workbookViewId="0">
      <selection activeCell="C20" sqref="C20"/>
    </sheetView>
  </sheetViews>
  <sheetFormatPr defaultRowHeight="12.75"/>
  <sheetData>
    <row r="2" spans="2:2">
      <c r="B2" t="s">
        <v>81</v>
      </c>
    </row>
    <row r="3" spans="2:2">
      <c r="B3" t="s">
        <v>82</v>
      </c>
    </row>
    <row r="4" spans="2:2">
      <c r="B4" t="s">
        <v>83</v>
      </c>
    </row>
    <row r="5" spans="2:2">
      <c r="B5" t="s">
        <v>84</v>
      </c>
    </row>
    <row r="6" spans="2:2">
      <c r="B6" t="s">
        <v>85</v>
      </c>
    </row>
    <row r="7" spans="2:2">
      <c r="B7" t="s">
        <v>86</v>
      </c>
    </row>
    <row r="9" spans="2:2">
      <c r="B9" t="s">
        <v>87</v>
      </c>
    </row>
    <row r="10" spans="2:2">
      <c r="B10" t="s">
        <v>88</v>
      </c>
    </row>
    <row r="12" spans="2:2">
      <c r="B12" s="44" t="s">
        <v>90</v>
      </c>
    </row>
    <row r="13" spans="2:2">
      <c r="B13" s="44" t="s">
        <v>89</v>
      </c>
    </row>
    <row r="14" spans="2:2">
      <c r="B14" s="44" t="s">
        <v>91</v>
      </c>
    </row>
    <row r="15" spans="2:2">
      <c r="B15" s="44" t="s">
        <v>95</v>
      </c>
    </row>
    <row r="16" spans="2:2">
      <c r="B16" t="s">
        <v>86</v>
      </c>
    </row>
    <row r="18" spans="2:2">
      <c r="B18" s="44" t="s">
        <v>92</v>
      </c>
    </row>
    <row r="19" spans="2:2">
      <c r="B19" s="44" t="s">
        <v>93</v>
      </c>
    </row>
    <row r="20" spans="2:2">
      <c r="B20" s="44" t="s">
        <v>86</v>
      </c>
    </row>
  </sheetData>
  <sheetProtection algorithmName="SHA-512" hashValue="UG0BqpKHUq4SwgauGQ4g6F6GTU7uSTRmkfD4f6ynjHDFxtJbxmkMl/JmrCC2/QPfucC5LYF0qanmq+3NzusWoQ==" saltValue="6LJ47S0oV4f0KvAEqIIBN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7E46AFC11BAA4AABBC9A305BF2B079" ma:contentTypeVersion="15" ma:contentTypeDescription="Create a new document." ma:contentTypeScope="" ma:versionID="b637bac86e17cbaf9eec5404d2c6e66a">
  <xsd:schema xmlns:xsd="http://www.w3.org/2001/XMLSchema" xmlns:xs="http://www.w3.org/2001/XMLSchema" xmlns:p="http://schemas.microsoft.com/office/2006/metadata/properties" xmlns:ns3="8e6635ee-ebad-41fe-b320-e29655db9d9d" xmlns:ns4="59f04339-d89e-4b30-9fe1-bdfb3bda091b" targetNamespace="http://schemas.microsoft.com/office/2006/metadata/properties" ma:root="true" ma:fieldsID="69ace838fde17233a5ab7ac4b986c0df" ns3:_="" ns4:_="">
    <xsd:import namespace="8e6635ee-ebad-41fe-b320-e29655db9d9d"/>
    <xsd:import namespace="59f04339-d89e-4b30-9fe1-bdfb3bda091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CR" minOccurs="0"/>
                <xsd:element ref="ns3:MediaServiceDateTaken" minOccurs="0"/>
                <xsd:element ref="ns3:_activity"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6635ee-ebad-41fe-b320-e29655db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f04339-d89e-4b30-9fe1-bdfb3bda091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e6635ee-ebad-41fe-b320-e29655db9d9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42C934-570E-463C-92F7-A3FEDB5271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6635ee-ebad-41fe-b320-e29655db9d9d"/>
    <ds:schemaRef ds:uri="59f04339-d89e-4b30-9fe1-bdfb3bda09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024027-9DB6-42C8-807F-5FBBA88641F6}">
  <ds:schemaRefs>
    <ds:schemaRef ds:uri="8e6635ee-ebad-41fe-b320-e29655db9d9d"/>
    <ds:schemaRef ds:uri="http://purl.org/dc/dcmitype/"/>
    <ds:schemaRef ds:uri="http://schemas.microsoft.com/office/2006/metadata/properties"/>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http://schemas.microsoft.com/office/infopath/2007/PartnerControls"/>
    <ds:schemaRef ds:uri="59f04339-d89e-4b30-9fe1-bdfb3bda091b"/>
  </ds:schemaRefs>
</ds:datastoreItem>
</file>

<file path=customXml/itemProps3.xml><?xml version="1.0" encoding="utf-8"?>
<ds:datastoreItem xmlns:ds="http://schemas.openxmlformats.org/officeDocument/2006/customXml" ds:itemID="{802BDF51-1922-4A4C-A34F-66597A8ECA61}">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Small Business</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Clark, Molly E CIV</dc:creator>
  <cp:keywords/>
  <dc:description/>
  <cp:lastModifiedBy>Beale, Molly E CIV USARMY ACC (USA)</cp:lastModifiedBy>
  <cp:revision/>
  <cp:lastPrinted>2026-03-30T17:15:21Z</cp:lastPrinted>
  <dcterms:created xsi:type="dcterms:W3CDTF">2024-09-03T19:24:57Z</dcterms:created>
  <dcterms:modified xsi:type="dcterms:W3CDTF">2026-04-23T15:30:00Z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0x0101003C7E46AFC11BAA4AABBC9A305BF2B079</vt:lpwstr>
  </property>
</Properties>
</file>