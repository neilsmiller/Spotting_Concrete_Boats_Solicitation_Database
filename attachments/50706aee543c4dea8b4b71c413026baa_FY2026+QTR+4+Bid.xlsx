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Form 10\FY 26 4th Qtr\"/>
    </mc:Choice>
  </mc:AlternateContent>
  <xr:revisionPtr revIDLastSave="0" documentId="13_ncr:1_{7DA553B9-3A43-4FFD-A3E3-680075347AE8}" xr6:coauthVersionLast="47" xr6:coauthVersionMax="47" xr10:uidLastSave="{00000000-0000-0000-0000-000000000000}"/>
  <bookViews>
    <workbookView xWindow="-120" yWindow="-120" windowWidth="29040" windowHeight="15720" xr2:uid="{00000000-000D-0000-FFFF-FFFF00000000}"/>
  </bookViews>
  <sheets>
    <sheet name="Specifications" sheetId="1" r:id="rId1"/>
  </sheets>
  <definedNames>
    <definedName name="_xlnm.Print_Area" localSheetId="0">Specifications!$A$1:$F$68</definedName>
    <definedName name="_xlnm.Print_Titles" localSheetId="0">Specifications!$1:$6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5" i="1" l="1"/>
  <c r="F96" i="1"/>
  <c r="F91" i="1"/>
  <c r="F92" i="1"/>
  <c r="F93" i="1"/>
  <c r="F94" i="1"/>
  <c r="F95" i="1"/>
  <c r="F88" i="1"/>
  <c r="F89" i="1"/>
  <c r="F90" i="1"/>
  <c r="F84" i="1"/>
  <c r="F86" i="1"/>
  <c r="F87" i="1"/>
  <c r="F82" i="1"/>
  <c r="F83" i="1"/>
  <c r="F81" i="1"/>
  <c r="F80" i="1"/>
  <c r="F79" i="1"/>
  <c r="F78" i="1"/>
  <c r="F76"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12" i="1"/>
  <c r="F8" i="1"/>
  <c r="F9" i="1"/>
  <c r="F10" i="1"/>
  <c r="F11" i="1"/>
  <c r="F7" i="1"/>
  <c r="A96" i="1"/>
  <c r="A93" i="1"/>
  <c r="A87" i="1"/>
  <c r="A88" i="1" s="1"/>
  <c r="A89" i="1" s="1"/>
  <c r="A90" i="1" s="1"/>
  <c r="A91" i="1" s="1"/>
  <c r="A80" i="1"/>
  <c r="A81" i="1" s="1"/>
  <c r="A82" i="1" s="1"/>
  <c r="A83" i="1" s="1"/>
  <c r="A77" i="1"/>
  <c r="A78" i="1" s="1"/>
  <c r="A14" i="1"/>
  <c r="A15" i="1" s="1"/>
  <c r="A19" i="1" s="1"/>
  <c r="A22" i="1" s="1"/>
  <c r="A24" i="1" s="1"/>
  <c r="A31" i="1" s="1"/>
  <c r="A34" i="1" s="1"/>
  <c r="A35" i="1" s="1"/>
  <c r="A47" i="1" s="1"/>
  <c r="A48" i="1" s="1"/>
  <c r="A53" i="1" l="1"/>
  <c r="A54" i="1" s="1"/>
  <c r="A57" i="1" s="1"/>
  <c r="A59" i="1" s="1"/>
  <c r="A60" i="1" s="1"/>
</calcChain>
</file>

<file path=xl/sharedStrings.xml><?xml version="1.0" encoding="utf-8"?>
<sst xmlns="http://schemas.openxmlformats.org/spreadsheetml/2006/main" count="199" uniqueCount="109">
  <si>
    <t>Number</t>
  </si>
  <si>
    <t>Item Description</t>
  </si>
  <si>
    <t>Total</t>
  </si>
  <si>
    <t>Issue</t>
  </si>
  <si>
    <t xml:space="preserve">Units to   </t>
  </si>
  <si>
    <t>Order</t>
  </si>
  <si>
    <t xml:space="preserve">Price Per  </t>
  </si>
  <si>
    <t>Unit</t>
  </si>
  <si>
    <t>Unit of</t>
  </si>
  <si>
    <t>LB</t>
  </si>
  <si>
    <t>CS</t>
  </si>
  <si>
    <t>EA</t>
  </si>
  <si>
    <t>Institution:</t>
  </si>
  <si>
    <t>Fiscal Year:</t>
  </si>
  <si>
    <t>Quarter:</t>
  </si>
  <si>
    <t>Eggs, Pasteurized, Homogenized Whole, Frozen, 30 pound case.  One case yields 270 large whole eggs.</t>
  </si>
  <si>
    <t>Soy Protein Products (SPP), Meat Flavor, Bits or Crumbles.  Soy Protein Products (SPP) covered by this specification are food products produced by the reduction or removal from soybeans of certain of the major non-protein constituents (water, oil, carbohydrates) in a manner to achieve a protein content of:
– in the case of soy protein flour (SPF) 50% or more and less than 65%;
– in the case of soy protein concentrate (SPC) 65% or more and less than 90%;
– in the case of soy protein isolate (SPI) 90% or more.
The protein content is calculated on a dry weight basis excluding added vitamins, minerals, amino acids and food additives.  Product comes dehydrated, in bulk packaging.   Product will not contain any animal by products or ingredients.</t>
  </si>
  <si>
    <t xml:space="preserve"> LB</t>
  </si>
  <si>
    <t>Mustard, Prepared, Yellow (Salad Style).  (CID A-A-20036D, Type I).  4/1 Gallon plastic containers per case.</t>
  </si>
  <si>
    <t>Sauce, Soy, Fermented or Fermented, Reduced Sodium.  (CID A-A-20087D, Type I or IV), 4/1 Gallon plastic containers per case</t>
  </si>
  <si>
    <r>
      <t xml:space="preserve">The delivered item(s) must comply with all applicable Federal, State, and local mandatory requirements and regulations relating to the preparation, packaging, labeling, storage, distribution, and sale of the supplies in the commercial marketplace.  Delivered item(s) must comply with all applicable provisions of the Federal Food, Drug, and Cosmetic (FD&amp;C) Act, the Fair Packaging and Labeling Act, and regulations promulgated thereunder.  When a known allergen is included in the item(s), the item(s) must comply with the allergen labeling requirements of the FD&amp;C Act.  Major allergens identified in the FD&amp;C Act include: wheat, fish, milk, soy, tree nuts, eggs, peanuts, shellfish, and sesame or those in effect on the date of the solicitation, contract, or purchase order.  Failure to comply with the National Menu Specifications will result in your quoted item not being considered for award.  No specification substitutions will be accepted.  If a specification does NOT state it must be a product of the United States or Canada, it is acceptable for it to be a "product of" a Foreign Country and distributed in the United States or Puerto Rico. </t>
    </r>
    <r>
      <rPr>
        <sz val="10"/>
        <color rgb="FFFF0000"/>
        <rFont val="Calibri"/>
        <family val="2"/>
        <scheme val="minor"/>
      </rPr>
      <t xml:space="preserve"> </t>
    </r>
    <r>
      <rPr>
        <sz val="10"/>
        <rFont val="Calibri"/>
        <family val="2"/>
        <scheme val="minor"/>
      </rPr>
      <t xml:space="preserve">When options are offered on the specifications, it is the FSA's determination as to what options are put out to bid.  Not all options need be put out for bid.  (i.e., cans and pouches).  Items that are fried may be baked at the institutions discretion. The NFSA/Chief Dietitian will make the final determination on product compliance. </t>
    </r>
  </si>
  <si>
    <t>Hominy Grits, Enriched, White, Regular, Unflavored (CID A-A-20035E, Type I or II, Style A, Flavor 1).</t>
  </si>
  <si>
    <t>Tomatoes, Canned, Diced, as defined in the standard of identity for canned tomatoes (21 CFR 155.190).  U.S. Grade A-C, Average drained weight of 54.7 to 63.5 ounces per #10 can.  6/#10 cans per case.</t>
  </si>
  <si>
    <t>Tomato, Paste, as defined in the standard of identity for tomato paste (21 CFR 155.191).  Natural Tomato Soluble Solids ranging from extra heavy to medium concentration (28 to 39.3%).  U.S. Grade A, U.S. Fancy, U.S. Grade C, or U.S. Standard.  6/#10 cans per case.</t>
  </si>
  <si>
    <t>Vegetable, Beans, Green, Canned, Cut, Sliced Lengthwise, or French Style, Round Tye, Good to reasonably good character (A or B), Minimum drain weight 59 oz.  U.S. Grade A-C.  As defined in Food and Drug Standard of Identity 21 CFR 155.120.  Originated from crops that have been 100 percent grown, processed, and packed in the United States or Canada.  6/#10 cans per case.</t>
  </si>
  <si>
    <t>Vegetable, Carrots, Canned, Sliced, Diced, Julienne, French Style, or Cut.  Minimum drain weight 64 oz.  U.S. Grade A, U.S. Fancy, U.S. Grade C or U.S. Standard.  As defined in Food and Drug Standard of Identity 21 CFR 155.200.  Originated from crops that have been 100 percent grown, processed, and packed in the United States or Canada.  6/#10 cans per case.</t>
  </si>
  <si>
    <t>Vegetable, Corn, Whole Kernel (Whole Grain), Canned, Conventional or Supersweet, Golden (or yellow), Grade A - C.  As defined in Food and Drug Standard of Identity 21 CFR 155.130.  Originated from crops that have been 100 percent grown, processed, and packed in the United States or Canada.  6/#10 cans per case or 6/75 oz vac-pack cans per case.</t>
  </si>
  <si>
    <t>Vegetable, Beets, Canned, Whole, Slices, Quarters, Diced, Julienne, French Style or Cut.  Minimum drain weight 64 oz.  U.S. Grade A, U.S. Grade C or U.S. Standard.  As defined in Food and Drug Standard of Identity 21 CFR 155.200.  Originated from crops that have been 100 percent grown, processed, and packed in the United States or Canada.  6/#10 cans per case.</t>
  </si>
  <si>
    <t>Vegetable, Peas, Sweet, Canned.  U.S. Grade A - C.  As defined in Food and Drug Standard of Identity 21 CFR 155.170.  Originated from crops that have been 100 percent grown, processed, and packed in the United States or Canada.  6/#10 cans per case.</t>
  </si>
  <si>
    <t>Vegetable, Mixed (5-7 way blend mix including carrots, potatoes, green beans, peas, corn, lima beans, and celery), Canned, With Salt, With Salt and onion flavoring, No Salt Added, Low Sodium, or Other.  (CID A-A-20120F, Type I, Type II, Style A, B, C, D, or E; Container size 4).  Minimum drain weight of 64 oz.  Originated from crops that have been 100 percent grown, processed, and packed in the United States or Canada.  6/#10 cans per case.</t>
  </si>
  <si>
    <t>Vegetable, Spinach, Cut leaf or Sliced, Chopped, U.S. Grade A, U.S. Fancy, U.S. Grade B, or U.S. Extra Standard.  As defined in Food and Drug Standard of Identity 21 CFR 155.200.  Originated from crops that have been 100 percent grown, processed, and packed in the United States or Canada, 6/#10 cans per case.</t>
  </si>
  <si>
    <t>FCC Yazoo</t>
  </si>
  <si>
    <t xml:space="preserve">4th </t>
  </si>
  <si>
    <r>
      <t xml:space="preserve">Beans, Dry, Pinto, Whole, U.S. Grade 1 - 3 </t>
    </r>
    <r>
      <rPr>
        <b/>
        <sz val="11"/>
        <color rgb="FFFF0000"/>
        <rFont val="Calibri"/>
        <family val="2"/>
        <scheme val="minor"/>
      </rPr>
      <t>*MUST BE 50lb BAG*</t>
    </r>
  </si>
  <si>
    <r>
      <t xml:space="preserve">Beans, Dry, Pea (Navy), Whole, U.S. Grade 1 - 2 </t>
    </r>
    <r>
      <rPr>
        <b/>
        <sz val="11"/>
        <color rgb="FFFF0000"/>
        <rFont val="Calibri"/>
        <family val="2"/>
        <scheme val="minor"/>
      </rPr>
      <t>*MUST BE 50lb BAG*</t>
    </r>
  </si>
  <si>
    <r>
      <t xml:space="preserve">Beans, Dry, Lentils, Whole, U.S. Grade 1 - 3 </t>
    </r>
    <r>
      <rPr>
        <b/>
        <sz val="11"/>
        <color rgb="FFFF0000"/>
        <rFont val="Calibri"/>
        <family val="2"/>
        <scheme val="minor"/>
      </rPr>
      <t>*MUST BE 50lb BAG*</t>
    </r>
  </si>
  <si>
    <r>
      <t xml:space="preserve">Beans, Dry, Kidney or Red, Whole, U.S. Grade 1 - 3 </t>
    </r>
    <r>
      <rPr>
        <b/>
        <sz val="11"/>
        <color rgb="FFFF0000"/>
        <rFont val="Calibri"/>
        <family val="2"/>
        <scheme val="minor"/>
      </rPr>
      <t>*MUST BE 50lb BAG*</t>
    </r>
  </si>
  <si>
    <r>
      <t xml:space="preserve">Beans, Dry, Black Beans, Whole, U.S. Grade 1 - 3 </t>
    </r>
    <r>
      <rPr>
        <b/>
        <sz val="11"/>
        <color rgb="FFFF0000"/>
        <rFont val="Calibri"/>
        <family val="2"/>
        <scheme val="minor"/>
      </rPr>
      <t>*MUST BE 50lb BAG*</t>
    </r>
  </si>
  <si>
    <t>BG</t>
  </si>
  <si>
    <t>Biscuits, 2oz Frozen EA</t>
  </si>
  <si>
    <t>Disposible Food Tray 3 Compartment 8 1/2 X 8 1/2 X 3 200 Count Case</t>
  </si>
  <si>
    <t xml:space="preserve">Disp. Napkins, Each 10,000 Count Case </t>
  </si>
  <si>
    <t xml:space="preserve">Disp. Spork, Each, 1000 Count Case </t>
  </si>
  <si>
    <t>PK</t>
  </si>
  <si>
    <t>Meats, Chicken, Ground, Raw, (Not Mechanically Separated), Bulk, Frozen, Fat content may not exceed 15%.  Delivered cases must be labeled with fat content.  Manufacturer’s letters will NOT be accepted in lieu of labeling.  Product must be in sealed bags.  No open bags or packaging.  Products produced or labeled with any phrase “under religious exemption” will be refused.</t>
  </si>
  <si>
    <r>
      <t xml:space="preserve">Cereal, Rolled Oats, Quick cooking, Unflavored, Regular, Any container size (CID A-A-20090J, Type II, Flavor A, Style 1, Container size n - Other (as specified by the purchaser) Agricultural practice (i) - Conventional). </t>
    </r>
    <r>
      <rPr>
        <b/>
        <sz val="11"/>
        <color rgb="FFFF0000"/>
        <rFont val="Calibri"/>
        <family val="2"/>
        <scheme val="minor"/>
      </rPr>
      <t>*MUST BE 50lb BAG*</t>
    </r>
  </si>
  <si>
    <t>4th</t>
  </si>
  <si>
    <t>Failure to comply with the Religious Diet Specifications will result in your quoted item not being considered for award.  No specification substitutions will be accepted. The NFSA/Chief Dietitian will make the final determination on product compliance.</t>
  </si>
  <si>
    <r>
      <rPr>
        <b/>
        <sz val="11"/>
        <rFont val="Calibri"/>
        <family val="2"/>
        <scheme val="minor"/>
      </rPr>
      <t>Kosher Parve - 14 ounce Fish Fillet Meal</t>
    </r>
    <r>
      <rPr>
        <sz val="11"/>
        <rFont val="Calibri"/>
        <family val="2"/>
        <scheme val="minor"/>
      </rPr>
      <t xml:space="preserve"> consisting of:
- 4 ounce-weight Fish Fillet cut from solid muscle fillet block flounder, cod, tilapia: or other white fish flesh fillet  (not Breaded)
-  2 ounce-weight Tomato Sauce
-  4 ounce-weight White Rice
-  4 ounce-weight Mature Lima Beans</t>
    </r>
  </si>
  <si>
    <r>
      <rPr>
        <b/>
        <sz val="11"/>
        <rFont val="Calibri"/>
        <family val="2"/>
        <scheme val="minor"/>
      </rPr>
      <t>Kosher Meat - 18 Ounce Beans and Franks Meal</t>
    </r>
    <r>
      <rPr>
        <sz val="11"/>
        <rFont val="Calibri"/>
        <family val="2"/>
        <scheme val="minor"/>
      </rPr>
      <t xml:space="preserve"> consisting of:
- 4 ounce Beef Franks or Cocktail Franks no artificial colors, 
 - 8 ounce-weight Vegetarian Beans w/Tomato Sauce
 - 6 ounce-weight Diced Potatoes
- The finished product of the Beef Frank may not contain more than 3.5% of a non-dairy/non-meat binders and extenders  or 2% isolated soy protein may be used, but must be shown in the ingredients statement on the product's label by its common name. </t>
    </r>
  </si>
  <si>
    <r>
      <rPr>
        <b/>
        <sz val="11"/>
        <rFont val="Calibri"/>
        <family val="2"/>
        <scheme val="minor"/>
      </rPr>
      <t>Kosher Meat - 16 ounce Chicken Wing Meal</t>
    </r>
    <r>
      <rPr>
        <sz val="11"/>
        <rFont val="Calibri"/>
        <family val="2"/>
        <scheme val="minor"/>
      </rPr>
      <t xml:space="preserve"> consisting of:
-5 ounce weight – Bone-in Chicken Wings
- 2 ounce weight – BBQ Sauce
- 5 ounce weight – Mashed Potato
- 4 ounce weight – Mixed Vegetables </t>
    </r>
    <r>
      <rPr>
        <strike/>
        <sz val="11"/>
        <rFont val="Calibri"/>
        <family val="2"/>
        <scheme val="minor"/>
      </rPr>
      <t xml:space="preserve">
</t>
    </r>
  </si>
  <si>
    <r>
      <rPr>
        <b/>
        <sz val="11"/>
        <rFont val="Calibri"/>
        <family val="2"/>
        <scheme val="minor"/>
      </rPr>
      <t>Kosher Meat - 16 Ounce Turkey Cutlet Meal</t>
    </r>
    <r>
      <rPr>
        <sz val="11"/>
        <rFont val="Calibri"/>
        <family val="2"/>
        <scheme val="minor"/>
      </rPr>
      <t xml:space="preserve"> consisting of:
- 4 ounce-weight Turkey Cutlet made from chunked and formed white meat (not from mechanically de-boned meat), Breaded (Combined breading and added ingredients may not exceed 35%  including no  more than 5% soy used as a stabilizer)  
- 2 ounce-weight Gravy
- 6 ounce-weight Mashed Potatoes
- 4 ounce-weight Mixed Vegetables. </t>
    </r>
  </si>
  <si>
    <r>
      <rPr>
        <b/>
        <sz val="11"/>
        <rFont val="Calibri"/>
        <family val="2"/>
        <scheme val="minor"/>
      </rPr>
      <t>Kosher Meat - 16 Ounce Meatloaf Meal</t>
    </r>
    <r>
      <rPr>
        <sz val="11"/>
        <rFont val="Calibri"/>
        <family val="2"/>
        <scheme val="minor"/>
      </rPr>
      <t xml:space="preserve"> consisting of:
- 4 ounce-weight Meatloaf (made with ground beef with not more than: 20% fat; 20% added ingredients)
- 2 ounce-weight Brown Gravy
- 6 ounce-weight Mashed Potatoes
- 4 ounce-weight Mixed Vegetables
- The finished product of the Meatloaf  may not contain more than 3.5% of a non-dairy/non-meat binders and extenders  or 2% isolated soy protein may be used, but must be shown in the ingredients statement on the product's label by its common name. </t>
    </r>
  </si>
  <si>
    <r>
      <rPr>
        <b/>
        <sz val="11"/>
        <rFont val="Calibri"/>
        <family val="2"/>
        <scheme val="minor"/>
      </rPr>
      <t xml:space="preserve">Kosher Meat - 15 Ounce Hawaiian Meatballs with Rice Meal </t>
    </r>
    <r>
      <rPr>
        <sz val="11"/>
        <rFont val="Calibri"/>
        <family val="2"/>
        <scheme val="minor"/>
      </rPr>
      <t>consisting of:
- 4 ounce weight – Cooked Beef Meatballs (made with ground beef with not more than: 20% fat; 20% added ingredients)
- 2 ounce weight – Sweet Hawaiian Sauce
- 5 ounce weight – Cooked White Rice
- 4 ounce weight – Green Beans</t>
    </r>
    <r>
      <rPr>
        <strike/>
        <sz val="11"/>
        <rFont val="Calibri"/>
        <family val="2"/>
        <scheme val="minor"/>
      </rPr>
      <t xml:space="preserve">
</t>
    </r>
  </si>
  <si>
    <r>
      <rPr>
        <b/>
        <sz val="11"/>
        <rFont val="Calibri"/>
        <family val="2"/>
        <scheme val="minor"/>
      </rPr>
      <t>Kosher Meat - 20 Ounce Spaghetti and Meatballs Meal</t>
    </r>
    <r>
      <rPr>
        <sz val="11"/>
        <rFont val="Calibri"/>
        <family val="2"/>
        <scheme val="minor"/>
      </rPr>
      <t xml:space="preserve"> consisting of:
- 4 ounce-weight cooked Beef Meatballs (made with ground beef with not more than: 20% fat; 20% added ingredients)
- 5 ounce-weight Spaghetti Pasta
- 3 ounce-weight Tomato Sauce
- 8 ounce-weight Sweet Peas
- The finished product of the Meatball  may not contain more than 3.5% of a non-dairy/non-meat binders and extenders  or 2% isolated soy protein may be used, but must be shown in the ingredients statement on the product's label by its common name.</t>
    </r>
  </si>
  <si>
    <r>
      <rPr>
        <b/>
        <sz val="11"/>
        <rFont val="Calibri"/>
        <family val="2"/>
        <scheme val="minor"/>
      </rPr>
      <t>Kosher Parve - 16 Ounce Pasta with Vegetable Protein Meat Sauce Meal</t>
    </r>
    <r>
      <rPr>
        <sz val="11"/>
        <rFont val="Calibri"/>
        <family val="2"/>
        <scheme val="minor"/>
      </rPr>
      <t xml:space="preserve"> consisting of:
Vegetable Protein Meat Sauce made from:
 - 0.5 ounce weight – Mushrooms,
 - 6.5 ounce weight – Pre-Flavored Textured Soy Protein.  Pre-flavored to mimic Beef and Italian Sausage.  Product to be Vegan.  
- 5 ounce-weight Cooked Elbow Pasta
- 4 ounce-weight Green Beans</t>
    </r>
  </si>
  <si>
    <r>
      <rPr>
        <b/>
        <sz val="11"/>
        <rFont val="Calibri"/>
        <family val="2"/>
        <scheme val="minor"/>
      </rPr>
      <t>Kosher Dairy - 7 Ounce Spanish Omelet Meal</t>
    </r>
    <r>
      <rPr>
        <sz val="11"/>
        <rFont val="Calibri"/>
        <family val="2"/>
        <scheme val="minor"/>
      </rPr>
      <t xml:space="preserve"> consisting of:
- 3 ounce-weight Plain Egg Omelet
- 1 ounce Spanish Sauce
- 3 ounce Potatoes</t>
    </r>
  </si>
  <si>
    <r>
      <rPr>
        <b/>
        <sz val="11"/>
        <rFont val="Calibri"/>
        <family val="2"/>
        <scheme val="minor"/>
      </rPr>
      <t>Kosher Bologna Luncheon Meat</t>
    </r>
    <r>
      <rPr>
        <sz val="11"/>
        <rFont val="Calibri"/>
        <family val="2"/>
        <scheme val="minor"/>
      </rPr>
      <t xml:space="preserve"> (chicken or turkey), Frozen, 4 Ounce multiple slice portion, (Shelf Stable may be 1-4 oz slice) Wrapped in Sealed Plastic. *Each individual package must be marked with the kosher certification hechsher.</t>
    </r>
  </si>
  <si>
    <t xml:space="preserve">Kosher- Halal </t>
  </si>
  <si>
    <t>Please read all instructions listed on line items. Failure to do so could result in bid being non-compliant and rejected. 14.404-2 Rejection of individual bids.</t>
  </si>
  <si>
    <r>
      <t xml:space="preserve">Pasta, Macaroni, Elbow Form, Whole Wheat Blend, Whole Wheat, or Regular.  (CID A-A-20062F, Type I, Style A, B, or C). Enrichment type (A).  1 lb to 40 lb sealed bags. </t>
    </r>
    <r>
      <rPr>
        <b/>
        <sz val="14"/>
        <rFont val="Calibri"/>
        <family val="2"/>
        <scheme val="minor"/>
      </rPr>
      <t>Specify on bid</t>
    </r>
  </si>
  <si>
    <r>
      <t xml:space="preserve">Pasta, Lasagna Noodles, Curl or Flat Form, Whole Wheat Blend, Whole Wheat, or Regular.  (CID A-A-20062F, Type VIII, Class 1 </t>
    </r>
    <r>
      <rPr>
        <strike/>
        <sz val="11"/>
        <rFont val="Calibri"/>
        <family val="2"/>
        <scheme val="minor"/>
      </rPr>
      <t>of</t>
    </r>
    <r>
      <rPr>
        <sz val="11"/>
        <rFont val="Calibri"/>
        <family val="2"/>
        <scheme val="minor"/>
      </rPr>
      <t xml:space="preserve"> or 2, Style A, B, or C). Enrichment type (A).  1 lb to 40 lb sealed bags. </t>
    </r>
    <r>
      <rPr>
        <b/>
        <sz val="14"/>
        <rFont val="Calibri"/>
        <family val="2"/>
        <scheme val="minor"/>
      </rPr>
      <t>Specify on bid</t>
    </r>
  </si>
  <si>
    <r>
      <t xml:space="preserve">Pasta, Macaroni, Rotini Form, Whole Wheat Blend, Whole Wheat, or Regular.  (CID A-A-20062F, Type V, Style A, B, C, or D). Enrichment type (A).  1 lb to 40 lb sealed bags. </t>
    </r>
    <r>
      <rPr>
        <b/>
        <sz val="14"/>
        <rFont val="Calibri"/>
        <family val="2"/>
        <scheme val="minor"/>
      </rPr>
      <t>Specify on bid</t>
    </r>
  </si>
  <si>
    <r>
      <t xml:space="preserve">Pasta, Spaghetti, Long Form, Whole Wheat Blend, Whole Wheat, or Regular.  (CID A-A-20062F, Type VI, Style A, B, or C). Enrichment type (A).  1 lb to 40 lb sealed bags. </t>
    </r>
    <r>
      <rPr>
        <b/>
        <sz val="14"/>
        <rFont val="Calibri"/>
        <family val="2"/>
        <scheme val="minor"/>
      </rPr>
      <t>Specify on bid</t>
    </r>
  </si>
  <si>
    <r>
      <t xml:space="preserve">Cereal, Prepared, Ready to Eat, Wheat, Bran Flakes, made from Whole grains or combination of whole and refined grains.  (CID A-A-20000E, Type I, Class 5, Grain Composition a or b, Fiber 2), Sodium (a), Packaging type (vii), Agricultural practice (aa)).  Bulk package 40 lb case.  </t>
    </r>
    <r>
      <rPr>
        <b/>
        <sz val="11"/>
        <color rgb="FFFF0000"/>
        <rFont val="Calibri"/>
        <family val="2"/>
        <scheme val="minor"/>
      </rPr>
      <t>*MUST BE 40lb CASE*</t>
    </r>
  </si>
  <si>
    <r>
      <t xml:space="preserve">Rice, U.S. Grade 1 or 2, Long Grain MILLED Rice, Parboiled Light </t>
    </r>
    <r>
      <rPr>
        <b/>
        <sz val="14"/>
        <rFont val="Calibri"/>
        <family val="2"/>
        <scheme val="minor"/>
      </rPr>
      <t>Specify on bid</t>
    </r>
  </si>
  <si>
    <r>
      <t xml:space="preserve">Peanut Butter, Regular or Reduced Fat, Smooth or Chunky/crunchy, Plain, Stabilized, Non-fortified, Salted or Unsalted, Conventional.  (CID A-A-20328C, Style I, Form (a) or (b), Class A or B, Texture 1 or 3, Type a, Flavor (1), Fortification </t>
    </r>
    <r>
      <rPr>
        <strike/>
        <sz val="11"/>
        <rFont val="Calibri"/>
        <family val="2"/>
        <scheme val="minor"/>
      </rPr>
      <t>1</t>
    </r>
    <r>
      <rPr>
        <sz val="11"/>
        <rFont val="Calibri"/>
        <family val="2"/>
        <scheme val="minor"/>
      </rPr>
      <t xml:space="preserve"> i, Seasoning (a) or (b), Packaging 5 - size g, Agricultural practices (1)).  1 to 50 lb sealed Plastic Pail.  </t>
    </r>
    <r>
      <rPr>
        <b/>
        <sz val="14"/>
        <rFont val="Calibri"/>
        <family val="2"/>
        <scheme val="minor"/>
      </rPr>
      <t>Specify weight of container on bid.</t>
    </r>
  </si>
  <si>
    <r>
      <t xml:space="preserve">Non-silken Tofu, Regular or Organic, Firm, Medium Firm, Extra Firm, or Super Firm, Refrigerated.  Ingredients include:  Water, Regular or Organic Soy Beans, Calcium Sulfate or Glucono Delta Lactone, and Calcium Chloride. </t>
    </r>
    <r>
      <rPr>
        <b/>
        <sz val="14"/>
        <rFont val="Calibri"/>
        <family val="2"/>
        <scheme val="minor"/>
      </rPr>
      <t xml:space="preserve"> Note package size on bid. </t>
    </r>
    <r>
      <rPr>
        <sz val="11"/>
        <rFont val="Calibri"/>
        <family val="2"/>
        <scheme val="minor"/>
      </rPr>
      <t xml:space="preserve"> Product will not contain any animal by product or ingredients.</t>
    </r>
  </si>
  <si>
    <r>
      <t xml:space="preserve">BUTTER, Bulk (Made exclusively from milk or cream or both, with or without common salt, and with or without additional coloring matter, and containing not less than 80 percent by weight of milkfat). U.S. Grade AA, A, or B. As defined in 7 CFR 58.2621-2627.  </t>
    </r>
    <r>
      <rPr>
        <b/>
        <sz val="14"/>
        <rFont val="Calibri"/>
        <family val="2"/>
        <scheme val="minor"/>
      </rPr>
      <t>State case size and pack on bid.</t>
    </r>
  </si>
  <si>
    <r>
      <t xml:space="preserve">BUTTER, Reddies. 90 patties per lb on paper chips, 5 grams each.  (Made exclusively from milk or cream or both, with or without common salt, and with or without additional coloring matter, and containing not less than 80 percent by weight of milkfat). U.S. Grade AA, A, or B. As defined in 7 CFR 58.2621-2627.  </t>
    </r>
    <r>
      <rPr>
        <b/>
        <sz val="14"/>
        <rFont val="Calibri"/>
        <family val="2"/>
        <scheme val="minor"/>
      </rPr>
      <t>State case size and pack on bid</t>
    </r>
    <r>
      <rPr>
        <sz val="11"/>
        <rFont val="Calibri"/>
        <family val="2"/>
        <scheme val="minor"/>
      </rPr>
      <t>.</t>
    </r>
  </si>
  <si>
    <r>
      <t xml:space="preserve">Dressing, Mayonnaise (21 Code of Federal Regulations (CFR) § 169.140), Regular, Reduced Fat, Fat Free, or Light (CID A-A-20140E, Type I, Flavor A, Style 1, 2, 3, or 4, Agricultural practice a).  4/1 Gallon plastic containers per case. Heavy Duty Mayonnaise is acceptable.  </t>
    </r>
    <r>
      <rPr>
        <b/>
        <sz val="14"/>
        <rFont val="Calibri"/>
        <family val="2"/>
        <scheme val="minor"/>
      </rPr>
      <t>Note type on bid.</t>
    </r>
  </si>
  <si>
    <r>
      <t xml:space="preserve">Pizza, Prepared, Frozen, Cheese, Thin Crust, Mozzarella Cheese (Regular, Lite or Low-moisture part-skim as indicated in 21 CFR 133, except 21 CFR §133.123-137 and 21 CFR §133.167-180), Enriched wheat or whole wheat crust, Wedge, Rectangle, Round Individual, or Round Oversized (specify size), Individually Quick Frozen. (CID A-A-20277A, Type I, Type of pizza I - Traditional, Type of Cheese A - Natural Cheese, Subtype 1, 2, 3, or 8-Other (as specified by the purchaser), Style of crust b - Thin crust, Component (1) - Cheese, Fat content (a) or (c)-other (as specified by the purchaser), Sodium content (i) or (ii)-other (as specified by the purchaser), Agricultural practice (aa) - Conventional.
Ingredients:  Pizza will consist of a dough crust, tomato sauce, cheese and spices. The dough crust shall contain enriched flour and yeast and/or other leavening agents. The sauce shall be prepared from peeled and cored tomatoes, tomato puree, and/or tomato paste; water; and spices, including salt; and/or other ingredients as appropriate. Product shall be manufactured not more than 180 days prior to delivery.  </t>
    </r>
    <r>
      <rPr>
        <b/>
        <sz val="14"/>
        <rFont val="Calibri"/>
        <family val="2"/>
        <scheme val="minor"/>
      </rPr>
      <t>Bid Quote MUST indicate actual portion weight, shape, dimensions, &amp; case pack.</t>
    </r>
  </si>
  <si>
    <r>
      <t xml:space="preserve">Tortillas, Wheat, White with spices or herbs, or Other.  10" in diameter, Round Shelf stable, refrigerated, or frozen, Table Ready.  (CID A-A-20143B, Type 1, Style B, C, or E, Size 7, 8, or 9, Shape a, Enrichment type I, Product state a, c, or d, Cook state I).  Each. </t>
    </r>
    <r>
      <rPr>
        <b/>
        <sz val="14"/>
        <rFont val="Calibri"/>
        <family val="2"/>
        <scheme val="minor"/>
      </rPr>
      <t xml:space="preserve"> State case count on bid.</t>
    </r>
  </si>
  <si>
    <r>
      <t xml:space="preserve">Tortilla Chips, Corn, Round or Triangular, Enriched, Shelf Stable, Table Ready (CID A-A-20143B, Type II, Style A, Enrichment type I).  Bulk packaged. </t>
    </r>
    <r>
      <rPr>
        <b/>
        <sz val="14"/>
        <rFont val="Calibri"/>
        <family val="2"/>
        <scheme val="minor"/>
      </rPr>
      <t>Specify on bid</t>
    </r>
  </si>
  <si>
    <r>
      <t xml:space="preserve">Spices, Cajun Seasoning, Spice Blends, (CID A-A-20001C, Type II, Blend B -Cajun Seasoning, Agricultral practice (i)).  Packaging must indicate actual delivered weight of product.  Pure - no additives, extenders, foreign matter, or flow agents.  1/2 oz to 50 lb sealed plastic containers or boxes.  </t>
    </r>
    <r>
      <rPr>
        <b/>
        <sz val="14"/>
        <rFont val="Calibri"/>
        <family val="2"/>
        <scheme val="minor"/>
      </rPr>
      <t>Note package size on bid.  Note price by the pound.</t>
    </r>
  </si>
  <si>
    <r>
      <t xml:space="preserve">Spice, Chili Powder Blend, Ground, (CID A-A-20001C, Type II, Blend D, Salt-free Seasoning (6) -Other (as specified by the purchaser), Agricultural practice (i)).  Blend shall have a reddish brown color and be free from lumps. The chili powder blend should include, but is not limited to, the following ingredients: ground chili pepper, cumin, oregano, salt, and garlic powder. Packaging must indicate actual delivered weight of product, Pure Spice - no additives or extenders. All delivered product must be labeled with ingredients. 1/2 oz. to 50 lb sealed containers.  </t>
    </r>
    <r>
      <rPr>
        <b/>
        <sz val="14"/>
        <rFont val="Calibri"/>
        <family val="2"/>
        <scheme val="minor"/>
      </rPr>
      <t>Note size on the bid.</t>
    </r>
  </si>
  <si>
    <r>
      <t xml:space="preserve">Spices, Garlic, Powder.  From dehydrated garlic bulb ground to a fine powder after the milling process.  100% air dried garlic.  Appearance and Flavor Cream Brown Fine Powder with the characteristic odor and flavor of garlic.  No off notes.  Texture - A dry medium fine granular powder, slightly fibrous.  Moisture less than 12%.  Packaging must indicate actual delivered weight of product.  Pure - no additives, extenders, foreign matter, or flow agents.  1/2 oz to 50 lb sealed plastic containers or boxes. </t>
    </r>
    <r>
      <rPr>
        <b/>
        <sz val="14"/>
        <rFont val="Calibri"/>
        <family val="2"/>
        <scheme val="minor"/>
      </rPr>
      <t xml:space="preserve"> Note package size on bid.  Note price by the pound.</t>
    </r>
  </si>
  <si>
    <r>
      <t xml:space="preserve">Spices, Pepper, Black, Ground.  (CID A-A-20001C, Type I, Spice X, Form 1, Agricultural practice (i)).  Packaging must indicate actual delivered weight of product.  Pure - no additives, extenders, foreign matter, or flow agents.  1/2 oz to 50 lb sealed plastic containers or boxes.  </t>
    </r>
    <r>
      <rPr>
        <b/>
        <sz val="14"/>
        <rFont val="Calibri"/>
        <family val="2"/>
        <scheme val="minor"/>
      </rPr>
      <t>Note package size on bid.   Note price by the pound.</t>
    </r>
  </si>
  <si>
    <r>
      <t xml:space="preserve">Spice, Taco Seasoning, Ground, (CID A-A-20001C, Type II, Blend P - Other (as specified by the purchaser), Agricultural practice (i)).  Blend shall have a reddish orange color and be free from lumps. The taco seasoning blend should include, but is not limited to, the following ingredients: chili powder, ground cumin, dried oregano, salt, black pepper, ground paprika, garlic powder, and onion powder. Packaging must indicate actual delivered weight of product, Pure Spice - no additives or extenders. All delivered product must be labeled with ingredients. 1/2 oz. to 50 lb sealed containers. </t>
    </r>
    <r>
      <rPr>
        <b/>
        <sz val="14"/>
        <rFont val="Calibri"/>
        <family val="2"/>
        <scheme val="minor"/>
      </rPr>
      <t>Note package size on bid. Note price by the pound.</t>
    </r>
  </si>
  <si>
    <r>
      <t xml:space="preserve">Soup Base, Bouillon, Beef Flavor, Low or Reduced Sodium, Powdered, No added monosodium glutamate.  (CID A-A-20202B, Type I,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Quote must include cost for finished 10 gallons of broth. </t>
    </r>
    <r>
      <rPr>
        <b/>
        <sz val="14"/>
        <rFont val="Calibri"/>
        <family val="2"/>
        <scheme val="minor"/>
      </rPr>
      <t xml:space="preserve"> Specify case weight on bid.</t>
    </r>
  </si>
  <si>
    <r>
      <t xml:space="preserve">Soup Base, Bouillon, Chicken Flavor, Low or Reduced Sodium, Powdered, No added monosodium glutamate.  (CID A-A-20202B, Type II,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t>
    </r>
    <r>
      <rPr>
        <b/>
        <sz val="14"/>
        <rFont val="Calibri"/>
        <family val="2"/>
        <scheme val="minor"/>
      </rPr>
      <t>Quote must include cost for finished 10 gallons of broth.  Specify case weight on bid.</t>
    </r>
  </si>
  <si>
    <r>
      <t xml:space="preserve">Soup Base, Bouillon, Vegetable Flavor, Low or Reduced Sodium, Powdered, No added monosodium glutamate.  (CID A-A-20202B, Type IV, Class 2 or 3, Style A, Flavor Enhancer A). Maximum moisture percent by weight is 3.5.  Maximum total fat percent by weight is 15%.  Maximum of 140 mg of sodium per 8 oz. of finished product, Finished product must be completely soluble in boiling water when prepared according to the label instructions, Single yield:  The one (1) lb. of powdered finished product must dilute to a final volume of not less than five (5) gallons (5.67 grams makes an 8 oz. cup serving size) (Double yield -1 lb = 10&gt; gal) (triple yield -1 lb = 15&gt; gallon), Yield must be marked on container, All delivered product must be labeled with ingredients.  </t>
    </r>
    <r>
      <rPr>
        <b/>
        <sz val="14"/>
        <rFont val="Calibri"/>
        <family val="2"/>
        <scheme val="minor"/>
      </rPr>
      <t>Quote must include cost for finished 10 gallons of broth.  Specify case weight on bid.</t>
    </r>
  </si>
  <si>
    <r>
      <t xml:space="preserve">Meats, Beef, Ground, 80% Lean, IMPS 136, delivered Frozen.  Ground Beef shall consist of chopped fresh and/or frozen beef without seasoning.  In addition product must be produced from current raw material, no bench trimmings, steak trim, or re-ground product to be used as raw material.  Finished product shall not contain more than 20 percent fat, and shall not contain added water, phosphates, binders, or extenders.   No partially defatted tissue or advanced meat recovery product.   PRODUCT MUST BE 6 MONTHS OR YOUNGER UPON DELIVERY WITH THE DATE CLEARLY ON THE LABEL, (NO STAMPED OR WRITTEN DATES ALLOWED).  When beef cheek meat (trimmed beef cheeks) is used in the preparation, the amount of such meat shall be limited to 25 percent; (NO ORGAN OR TONGUE MEAT) Delivered cases must be labeled Beef, All Beef, Pure Beef, or 100% Beef and with fat percentage.  Manufacturer’s letters will NOT be accepted in lieu of labeling.   Upon delivery, product must have a rosy red appearance.  Product that is grey, brown or tan in color will be rejected.  Clear 1 mil or thicker sealed bags.  No open bags, opaque or colored bags. </t>
    </r>
    <r>
      <rPr>
        <b/>
        <sz val="14"/>
        <rFont val="Calibri"/>
        <family val="2"/>
        <scheme val="minor"/>
      </rPr>
      <t xml:space="preserve"> Note weight of packaging and case size on bid.</t>
    </r>
  </si>
  <si>
    <r>
      <t xml:space="preserve">Meats, Beef Roast, Raw, Beef Top or Bottom Round (Gooseneck), or Strip Loin, Boneless. IMPS 168 -Round, Top (Inside), Untrimmed, 169 - Round, Tip (Inside), 169A - Round, Tip (Inside), Cap Off, 170 - Round, Bottom (Gooseneck), 170A - Round, Bottom (Gooseneck), Heel Out, 171B - Round, Outside Round (Flat), 180 - Loin, Strip Loin, Boneless.  Frozen, weight range approximately 12 to 28 lb.  </t>
    </r>
    <r>
      <rPr>
        <b/>
        <sz val="14"/>
        <rFont val="Calibri"/>
        <family val="2"/>
        <scheme val="minor"/>
      </rPr>
      <t xml:space="preserve">Quote MUST indicate actual IMPS &amp; average roast weight of quoted item. </t>
    </r>
  </si>
  <si>
    <r>
      <t xml:space="preserve">Meats, Chicken Breast, Boneless, Skinless, Raw, White Meat (Breast Meat), Frozen, A quality per the USDA, United States Classes, Standards, and Grades for Poultry Agricultural Marketing Service (AMS) 7 CFR § 70 and 70.200 et seq., §70.220, §70.232, §70.233, §70.234 A Quality.  All processing activities shall comply with all applicable FSIS regulations and requirements, including 9 CFR § 381, and shall be done under FSIS inspection. The commodity shall not be processed or packaged more than 60 days prior to the first date of the delivery period for each sales order. Frozen commodity when specified in the Solicitation, shall be processed, packaged and packed, and placed in a freezer within 7 calendar days after the date of harvest. Product must be produced under FSIS pathogen reduction standards, as specified in 9 CFR § 381.  Boneless, skinless breasts must be free of cartilage, fat, holes, tendons, bone pieces, blood clots, bruises, cuts, tears, and muscle mutilations.  Slight discolorations is permitted, provided it does not detract from the appearance of the product. Unbreaded. – All packaging materials shall comply with FSIS regulations (9 CFR § 381.144 Packaging Materials). All packaging and packing materials must be clean and in new condition, shall not impart objectionable odors or flavors to the commodity, shall be safe for use in contact with food products (cannot adulterate product or be injurious to health). Packed in poly bag boxes. Polyethylene-film Bags – Shall have a wall thickness of not less than 2 mil; and shall protect the commodity from dehydration, freezer burn, or quality deterioration during the conditions of use.   Frozen commodity showing any evidence of defrosting, refreezing, or freezer deterioration shall be rejected for use under this FPPS. Products produced or labeled with any phrase “under religious exemption” will be refused.  No Sodium added.  Size of chicken breast, 5 -7 ounce.  </t>
    </r>
    <r>
      <rPr>
        <b/>
        <sz val="14"/>
        <rFont val="Calibri"/>
        <family val="2"/>
        <scheme val="minor"/>
      </rPr>
      <t xml:space="preserve">Note size on the bid. </t>
    </r>
  </si>
  <si>
    <r>
      <t xml:space="preserve">Meats, Chicken, Leg Quarter, Raw, Whole, Ready to Cook, Frozen, Frozen, U.S. Grade A. Broiler Leg, United States Classes, Standards and Grades for Poultry Agricultural Marketing Service (AMS) 70.200 et seq, Unbreaded.  "Whole Leg quarter" consists of a poultry thigh and drumstick (attached), with a portion of the back attached.  Delivered amounts of Leg Quarter portions can be random sizing, with the portion size not to be smaller than </t>
    </r>
    <r>
      <rPr>
        <b/>
        <sz val="11"/>
        <rFont val="Calibri"/>
        <family val="2"/>
        <scheme val="minor"/>
      </rPr>
      <t>12 ounces and not to exceed 16 ounces</t>
    </r>
    <r>
      <rPr>
        <sz val="11"/>
        <rFont val="Calibri"/>
        <family val="2"/>
        <scheme val="minor"/>
      </rPr>
      <t xml:space="preserve">. Packed in poly bag boxes. Polyethylene-film Bags – Shall have a wall thickness of not less than 2 mil; and shall protect the commodity from dehydration, freezer burn, or quality deterioration during the conditions of use.  All packaging and packing materials must be clean and in new condition.  Products produced or labeled with any phrase “under religious exemption” will be refused. </t>
    </r>
    <r>
      <rPr>
        <b/>
        <sz val="14"/>
        <color rgb="FFFF0000"/>
        <rFont val="Calibri"/>
        <family val="2"/>
        <scheme val="minor"/>
      </rPr>
      <t>*Packaging 4/10 pound bag per case.*</t>
    </r>
    <r>
      <rPr>
        <b/>
        <sz val="14"/>
        <rFont val="Calibri"/>
        <family val="2"/>
        <scheme val="minor"/>
      </rPr>
      <t xml:space="preserve"> </t>
    </r>
  </si>
  <si>
    <r>
      <t xml:space="preserve">Meats, Chicken, Filet, 4-5 oz, Whole Muscle or Chunked and formed, 1/2 inch cube or greater (9 CFR § 381.171(f)), No mechanically separated chicken (comminuted), previously cooked chicken meat, or MSG may be used in product,  100% white meat, Breaded.  (CID A-A-20276A, Type VI, Style A or B, Meat Type (b), Form 1, Shape (b).  Individually Quick Frozen.  Vegetable oil shall be used as the frying medium.  Combined batter and breading shall not exceed 30% by weight and will be evenly coated. All ingredients in the product must be listed in the ingredients statement in order of predominance, from highest to lowest amounts in accordance with the USDA Food Safety Inspection Service (FSIS) Food Standards and Labeling Policy.  Manufacturer’s letters will NOT be accepted in lieu of labeling.  </t>
    </r>
    <r>
      <rPr>
        <b/>
        <sz val="14"/>
        <rFont val="Calibri"/>
        <family val="2"/>
        <scheme val="minor"/>
      </rPr>
      <t>Specify size of patty on bid.</t>
    </r>
  </si>
  <si>
    <r>
      <t xml:space="preserve">Meats, Fish Fillets, Raw, Individually Quick Frozen, Unglazed, Skin-on, Skin-on (white side only), or Skin-off (skinless), Practically boneless fillet.  U.S. Grade A or B.  Acceptable types include Tilapia, Cod, Haddock, or Flounder.  (Grade Standards are separate for Cod, Flounder, and Haddock and must comply with those standards).  Fillets are slices of practically boneless fish flesh of irregular size and shape, which are removed from the carcass by cuts made parallel to the backbone and sections of such fillets cut so as to facilitate packing.  100% net weight, No water or glaze weight added. Fish portion must meet weight requirements when thawed and drained, Delivered cases must be labeled 100% net weight. Manufacturer’s letters will not be accepted in lieu of labeling.  </t>
    </r>
    <r>
      <rPr>
        <b/>
        <sz val="14"/>
        <rFont val="Calibri"/>
        <family val="2"/>
        <scheme val="minor"/>
      </rPr>
      <t>Note type and size on bid.  4 to 7 oz.</t>
    </r>
  </si>
  <si>
    <r>
      <t xml:space="preserve">Meats, Italian Sausage, Pork , Pork and Turkey (pork is predominant) or Pork and Chicken (pork is predominant), Sweet, Links, </t>
    </r>
    <r>
      <rPr>
        <b/>
        <sz val="12"/>
        <rFont val="Calibri"/>
        <family val="2"/>
        <scheme val="minor"/>
      </rPr>
      <t>3.8 - 5 ounce range</t>
    </r>
    <r>
      <rPr>
        <sz val="12"/>
        <rFont val="Calibri"/>
        <family val="2"/>
        <scheme val="minor"/>
      </rPr>
      <t>.</t>
    </r>
    <r>
      <rPr>
        <sz val="11"/>
        <rFont val="Calibri"/>
        <family val="2"/>
        <scheme val="minor"/>
      </rPr>
      <t xml:space="preserve">  Italian sausage is a fresh, uncooked, linked product.  The meat components must be chopped or ground to a moderately course texture.  The sausage itself (or interior cut surface of links) is moderately coarse in texture with a uniform color ranging from medium to dark reddish-brown with evenly distributed fat particles.  The use of artificial colors in the manufacture of any sausage item is not permitted.  The use of ingredients, method of addition, and product labeling shall comply with the Food Safety and Inspection Service’s (FSIS) Regulations and Policies.  The purchaser maintains the right to verify the amounts of added ingredients using approved testing methods.  Fat content shall be declared on the product label along with a nutrition facts panel in accordance with FSIS regulations.  Links must be moderately uniform in length and diameter.  Packaging: layers one link deep will be separated with waxed paper or sheets of plastic material used for this purpose.  IMPS 818, Italian Sausage, Formula D, P2, or P3, Flavoring C – Sweet (Contains increased amounts of sugar or sweetener), Type E - Linked, Casing Option B - Hog, Linked (Natural) or D - Collagen Casings (Edible).   Product will be delivered frozen.  Product will not contain SOY.  </t>
    </r>
    <r>
      <rPr>
        <b/>
        <sz val="14"/>
        <rFont val="Calibri"/>
        <family val="2"/>
        <scheme val="minor"/>
      </rPr>
      <t xml:space="preserve">Specify portion size on bid.                                                                                                                                                      </t>
    </r>
    <r>
      <rPr>
        <sz val="11"/>
        <rFont val="Calibri"/>
        <family val="2"/>
        <scheme val="minor"/>
      </rPr>
      <t xml:space="preserve">                                                                                                                                                                                                                                                                                                                              </t>
    </r>
  </si>
  <si>
    <r>
      <rPr>
        <sz val="11"/>
        <rFont val="Calibri"/>
        <family val="2"/>
        <scheme val="minor"/>
      </rPr>
      <t>Meats, Turkey,  IMPS 801, D, P or P1. Artificial Casing, Frozen, 4” to 5” in Diameter. Finished products must be less than 30% fat, no more than 10% water, and must not contain more than 40% of a combination of fat and added water. No binder, extenders, or hearts are permitted.  All ingredients in the product must be listed in the ingredients statement on the label in order of predominance, from highest to lowest amounts in accordance with the USDA FSIS Food Standards and Labeling Policy.  Manufacturer’s letters will NOT be accepted in lieu of labeling.</t>
    </r>
    <r>
      <rPr>
        <sz val="11"/>
        <color rgb="FFFF0000"/>
        <rFont val="Calibri"/>
        <family val="2"/>
        <scheme val="minor"/>
      </rPr>
      <t xml:space="preserve">  </t>
    </r>
    <r>
      <rPr>
        <b/>
        <sz val="14"/>
        <color rgb="FFFF0000"/>
        <rFont val="Calibri"/>
        <family val="2"/>
        <scheme val="minor"/>
      </rPr>
      <t>*MUST BE DELI TURKEY*</t>
    </r>
  </si>
  <si>
    <r>
      <t xml:space="preserve">Cheese, Cheddar, U.S. Grade AA or A, CID-A-A-20208C, Type I - Cheddar cheese (21 Code of Federal Regulations (CFR) §133.113), Style D - Shredded, frozen (5 lb) box, K - Other (Shredded, frozen, 10 lb to 40 lb) box, Shred size 1, 2, or 3, Agricultural practice (a) - Conventional.  “Cheddar cheese” is cheese made by the cheddaring process or by another procedure which produces a finished cheese having the same physical and chemical properties as the cheese produced by the cheddar process and is made from cow's milk with or without the addition of coloring matter and with common salt, contains not more than 39 percent of moisture, and in the water-free substance, contains not less than 50 percent of milk fat and conforms to the provisions of §19.500, “Definitions and Standards of Identity for Cheese and Cheese Products.” Food and Drug Administration (21 CFR 133.113).  Manufacturer’s letters will NOT be accepted in lieu of labeling.  Packaging: 5 lb to 40 lb sealed Bags or containers. </t>
    </r>
    <r>
      <rPr>
        <b/>
        <sz val="14"/>
        <rFont val="Calibri"/>
        <family val="2"/>
        <scheme val="minor"/>
      </rPr>
      <t>Specify size on bid</t>
    </r>
  </si>
  <si>
    <r>
      <t xml:space="preserve">Cheese, Mozzarella, Low-moisture Mozzarella, Part-skim Mozzarella, Low-moisture Part-skim Mozzarella. (CID-A-A-20248C) The mozzarella cheese must conform to the following list. Type I, II, III, or IV. Style J - Other (Shredded, individually quick frozen (IQF) - (5 lb to 40 lb) box). Shred size 1,2, or 3. Agricultural practice a. Milk fat range between 30.0 to 45.0 to 60.0 % on a dry basis depending on type.  Moisture content range between 45.0 to 60.0 % depending on type.  All ingredients must be declared by their common or usual name in descending order of predominance by weight. Manufacturer’s letters will NOT be accepted in lieu of labeling.  Type and Style to be determined locally and size noted on bid. Packaging of Primary Container: 5 lb to 40 lb sealed Bags or containers. </t>
    </r>
    <r>
      <rPr>
        <b/>
        <sz val="14"/>
        <rFont val="Calibri"/>
        <family val="2"/>
        <scheme val="minor"/>
      </rPr>
      <t>Specify size on bid</t>
    </r>
  </si>
  <si>
    <r>
      <t xml:space="preserve">Bread, Roll, Enriched, Finger (Hot Dog), Whole wheat, Pan Baked, Sliced, Fresh, Seedless.  (CID A-A-20053C, Type I - Meet the standard for enrichment in 21 Code of Federal Regulations (CFR) §136.115, Enriched bread, rolls, and buns, Class of Roll D - Finger (hot dog), Style of roll 4 - Other (as specifiec by the purchaser) Whole wheat, Bake Type a - Pan baked, Slice Type 1) - Sliced, Product State a) - Fresh (21 CFR §101.95), Seed type (1) - Seedless, Agricultural practice (i) - Conventional).  Fresh bread shall be delivered within 48 hours after baking.  </t>
    </r>
    <r>
      <rPr>
        <b/>
        <sz val="14"/>
        <rFont val="Calibri"/>
        <family val="2"/>
        <scheme val="minor"/>
      </rPr>
      <t>State package size on bid.</t>
    </r>
  </si>
  <si>
    <r>
      <t xml:space="preserve">Bread, Roll, Enriched, Sandwich (Hamburger), Whole Wheat, Pan Baked, Sliced, Fresh, Seedless.  (CID A-A-20053C, Type I - Meet the standard for enrichment in 21 Code of Federal Regulations (CFR) §136.115, Enriched bread, rolls, and buns, Class of Roll C - Sandwich (hamburger), Style of Roll 2 - Whole wheat, Bake Type a - Pan baked, Slice Type  1) - Sliced, Product State a) - Fresh (21 CFR §101.95), Seed type (1) - Seedless, Agricultural practice (i) - Conventional).  Fresh bread shall be delivered within 48 hours after baking. </t>
    </r>
    <r>
      <rPr>
        <b/>
        <sz val="14"/>
        <rFont val="Calibri"/>
        <family val="2"/>
        <scheme val="minor"/>
      </rPr>
      <t xml:space="preserve"> State type and package size on bid.</t>
    </r>
  </si>
  <si>
    <r>
      <t>Bread, Whole Wheat, Unseasoned, Fresh, Any Loaf Size, Pan Baked, Sandwich, Sliced, Enriched, Seedless.  (CID A-A-20052C, Type II - Whole Wheat (21 CFR §136.180), Product State 1 - Fresh (21 CFR §101.95), Loaf Size a, b, c, d, e, or f- Other (as specified by the purchaser), Bake Type 1) -Pan baked, Shape a) - Round top or Shape b) - Sandwich, Slice Type (1) - Sliced, Enrichment Type (a)-Meet the standard for enrichment in 21 CFR §136.115, Enriched bread, rolls, and buns, Seed Type</t>
    </r>
    <r>
      <rPr>
        <strike/>
        <sz val="11"/>
        <rFont val="Calibri"/>
        <family val="2"/>
        <scheme val="minor"/>
      </rPr>
      <t xml:space="preserve"> </t>
    </r>
    <r>
      <rPr>
        <sz val="11"/>
        <rFont val="Calibri"/>
        <family val="2"/>
        <scheme val="minor"/>
      </rPr>
      <t xml:space="preserve"> (ii) - Seedless, Agricultural practice i) - Conventional). Fresh bread shall be delivered within 48 hours after baking.  </t>
    </r>
    <r>
      <rPr>
        <b/>
        <sz val="14"/>
        <rFont val="Calibri"/>
        <family val="2"/>
        <scheme val="minor"/>
      </rPr>
      <t xml:space="preserve">State type and loaf size on bid. </t>
    </r>
  </si>
  <si>
    <r>
      <t>Frozen diced onion 20-30 pound case.</t>
    </r>
    <r>
      <rPr>
        <b/>
        <sz val="14"/>
        <rFont val="Calibri"/>
        <family val="2"/>
        <scheme val="minor"/>
      </rPr>
      <t xml:space="preserve"> Note case size on bid. </t>
    </r>
  </si>
  <si>
    <r>
      <t xml:space="preserve">Frozen diced bell pepper 20-30 pound case. </t>
    </r>
    <r>
      <rPr>
        <b/>
        <sz val="14"/>
        <rFont val="Calibri"/>
        <family val="2"/>
        <scheme val="minor"/>
      </rPr>
      <t xml:space="preserve">Note case size on bid.  </t>
    </r>
  </si>
  <si>
    <r>
      <rPr>
        <b/>
        <sz val="11"/>
        <rFont val="Calibri"/>
        <family val="2"/>
        <scheme val="minor"/>
      </rPr>
      <t>Certified Halal</t>
    </r>
    <r>
      <rPr>
        <sz val="11"/>
        <rFont val="Calibri"/>
        <family val="2"/>
        <scheme val="minor"/>
      </rPr>
      <t xml:space="preserve"> - </t>
    </r>
    <r>
      <rPr>
        <b/>
        <sz val="11"/>
        <rFont val="Calibri"/>
        <family val="2"/>
        <scheme val="minor"/>
      </rPr>
      <t>14 ounce Fish Fillet Meal</t>
    </r>
    <r>
      <rPr>
        <sz val="11"/>
        <rFont val="Calibri"/>
        <family val="2"/>
        <scheme val="minor"/>
      </rPr>
      <t xml:space="preserve"> consisting of:
- 4 ounce-weight Fish Fillet cut from solid muscle fillet block pollock, whiting, flounder, cod, tilapia: or other white fish flesh fillet  (not Breaded)
-  2 ounce-weight Tomato Sauce
-  4 ounce-weight White Rice
-  4 ounce-weight Mature Lima Beans"</t>
    </r>
  </si>
  <si>
    <r>
      <rPr>
        <b/>
        <sz val="11"/>
        <rFont val="Calibri"/>
        <family val="2"/>
        <scheme val="minor"/>
      </rPr>
      <t xml:space="preserve">Kosher Tuna, Chunk Light in Water, Individual.  4 - 6 ounce each package.  </t>
    </r>
    <r>
      <rPr>
        <sz val="11"/>
        <rFont val="Calibri"/>
        <family val="2"/>
        <scheme val="minor"/>
      </rPr>
      <t xml:space="preserve">EACH.  Tuna can be a product of the U.S. or other foreign country that meets the requirements of 21CFR123.12.  Product may contain soy and/or vegetable broth. *Each individual package must be marked with the kosher certification hechsher.  Total amount may be adjusted to the next highest case count. </t>
    </r>
    <r>
      <rPr>
        <b/>
        <sz val="14"/>
        <rFont val="Calibri"/>
        <family val="2"/>
        <scheme val="minor"/>
      </rPr>
      <t>Pouches only. Specify pack size on bid.</t>
    </r>
  </si>
  <si>
    <r>
      <rPr>
        <b/>
        <sz val="11"/>
        <rFont val="Calibri"/>
        <family val="2"/>
        <scheme val="minor"/>
      </rPr>
      <t>Kosher Sardines in Soybean Oil</t>
    </r>
    <r>
      <rPr>
        <sz val="11"/>
        <rFont val="Calibri"/>
        <family val="2"/>
        <scheme val="minor"/>
      </rPr>
      <t xml:space="preserve">, Individual. </t>
    </r>
    <r>
      <rPr>
        <b/>
        <sz val="11"/>
        <rFont val="Calibri"/>
        <family val="2"/>
        <scheme val="minor"/>
      </rPr>
      <t>3 to 6 ounce each package</t>
    </r>
    <r>
      <rPr>
        <sz val="11"/>
        <rFont val="Calibri"/>
        <family val="2"/>
        <scheme val="minor"/>
      </rPr>
      <t xml:space="preserve">. EACH.  *Each individual package must be marked with the kosher certification hechsher.  Total amount may be adjusted to the next highest case count. </t>
    </r>
    <r>
      <rPr>
        <b/>
        <sz val="14"/>
        <rFont val="Calibri"/>
        <family val="2"/>
        <scheme val="minor"/>
      </rPr>
      <t xml:space="preserve"> Pouches only. Specify pack size on bid.</t>
    </r>
  </si>
  <si>
    <r>
      <rPr>
        <b/>
        <sz val="11"/>
        <rFont val="Calibri"/>
        <family val="2"/>
        <scheme val="minor"/>
      </rPr>
      <t xml:space="preserve">Kosher Cereal, A Ready to Eat, Wheat, Bran Flakes, made from Whole grains or combination of whole and refined grains.  (CID A-A-20000E, Type I, Class 5, Grain Composition A or b, Fiber 2), Sodium (a), Packaging type (vii), Agricultural practice (aa)).  </t>
    </r>
    <r>
      <rPr>
        <sz val="11"/>
        <rFont val="Calibri"/>
        <family val="2"/>
        <scheme val="minor"/>
      </rPr>
      <t xml:space="preserve">EACH.  Total amount may be adjusted to the next highest case count. *Each individual package must be marked with the kosher certification hechsher.  </t>
    </r>
    <r>
      <rPr>
        <b/>
        <sz val="14"/>
        <rFont val="Calibri"/>
        <family val="2"/>
        <scheme val="minor"/>
      </rPr>
      <t>Specify package size on bid.</t>
    </r>
  </si>
  <si>
    <r>
      <t xml:space="preserve">Kosher Oatmeal, Instant, Plain, Individual Packet.  </t>
    </r>
    <r>
      <rPr>
        <sz val="11"/>
        <rFont val="Calibri"/>
        <family val="2"/>
        <scheme val="minor"/>
      </rPr>
      <t>EACH.  1 ounce Package.</t>
    </r>
    <r>
      <rPr>
        <b/>
        <sz val="11"/>
        <rFont val="Calibri"/>
        <family val="2"/>
        <scheme val="minor"/>
      </rPr>
      <t xml:space="preserve"> </t>
    </r>
    <r>
      <rPr>
        <sz val="11"/>
        <rFont val="Calibri"/>
        <family val="2"/>
        <scheme val="minor"/>
      </rPr>
      <t>Manufacturer sealed</t>
    </r>
    <r>
      <rPr>
        <b/>
        <sz val="11"/>
        <rFont val="Calibri"/>
        <family val="2"/>
        <scheme val="minor"/>
      </rPr>
      <t xml:space="preserve">.  </t>
    </r>
    <r>
      <rPr>
        <sz val="11"/>
        <rFont val="Calibri"/>
        <family val="2"/>
        <scheme val="minor"/>
      </rPr>
      <t>Total amount may be adjusted to the next highest case count.</t>
    </r>
    <r>
      <rPr>
        <b/>
        <sz val="11"/>
        <rFont val="Calibri"/>
        <family val="2"/>
        <scheme val="minor"/>
      </rPr>
      <t xml:space="preserve">  </t>
    </r>
    <r>
      <rPr>
        <b/>
        <sz val="14"/>
        <rFont val="Calibri"/>
        <family val="2"/>
        <scheme val="minor"/>
      </rPr>
      <t>Specify count on bid</t>
    </r>
  </si>
  <si>
    <r>
      <rPr>
        <b/>
        <sz val="11"/>
        <rFont val="Calibri"/>
        <family val="2"/>
        <scheme val="minor"/>
      </rPr>
      <t xml:space="preserve">Kosher Farina, Instant, Plain, Individual Packet.  </t>
    </r>
    <r>
      <rPr>
        <sz val="11"/>
        <rFont val="Calibri"/>
        <family val="2"/>
        <scheme val="minor"/>
      </rPr>
      <t>EACH.</t>
    </r>
    <r>
      <rPr>
        <b/>
        <sz val="11"/>
        <rFont val="Calibri"/>
        <family val="2"/>
        <scheme val="minor"/>
      </rPr>
      <t xml:space="preserve">  </t>
    </r>
    <r>
      <rPr>
        <sz val="11"/>
        <rFont val="Calibri"/>
        <family val="2"/>
        <scheme val="minor"/>
      </rPr>
      <t xml:space="preserve">1 ounce Package. Manufacturer sealed. Total amount may be adjusted to the next highest case count.  </t>
    </r>
    <r>
      <rPr>
        <b/>
        <sz val="14"/>
        <rFont val="Calibri"/>
        <family val="2"/>
        <scheme val="minor"/>
      </rPr>
      <t>Specify count on bid</t>
    </r>
  </si>
  <si>
    <r>
      <rPr>
        <b/>
        <sz val="11"/>
        <rFont val="Calibri"/>
        <family val="2"/>
        <scheme val="minor"/>
      </rPr>
      <t>Kosher Vegetable Juice, 5 to 7 ounce  Sealed Pouch or Can</t>
    </r>
    <r>
      <rPr>
        <sz val="11"/>
        <rFont val="Calibri"/>
        <family val="2"/>
        <scheme val="minor"/>
      </rPr>
      <t xml:space="preserve">. EACH. Certified Kosher Parve.  Can must have easy open top.  Juice must be tomato based with at least five additional vegetable products in the juice.  *Each individual package must be marked with the kosher certification hechsher.  Total amount may be adjusted to the next highest case count. </t>
    </r>
    <r>
      <rPr>
        <b/>
        <sz val="14"/>
        <rFont val="Calibri"/>
        <family val="2"/>
        <scheme val="minor"/>
      </rPr>
      <t>Specify size on bid</t>
    </r>
  </si>
  <si>
    <r>
      <rPr>
        <b/>
        <sz val="11"/>
        <rFont val="Calibri"/>
        <family val="2"/>
        <scheme val="minor"/>
      </rPr>
      <t>Kosher Potato Chips, Individual Package</t>
    </r>
    <r>
      <rPr>
        <sz val="11"/>
        <rFont val="Calibri"/>
        <family val="2"/>
        <scheme val="minor"/>
      </rPr>
      <t xml:space="preserve">. EACH. 1 Ounce Sealed Individual Package, Certified Kosher Parve, See Delivery Schedule.  *Each individual package must be marked with the kosher certification hechsher.  Total amount may be adjusted to the next highest case count. </t>
    </r>
    <r>
      <rPr>
        <b/>
        <sz val="14"/>
        <rFont val="Calibri"/>
        <family val="2"/>
        <scheme val="minor"/>
      </rPr>
      <t>Specify count on bid</t>
    </r>
  </si>
  <si>
    <r>
      <rPr>
        <b/>
        <sz val="11"/>
        <rFont val="Calibri"/>
        <family val="2"/>
        <scheme val="minor"/>
      </rPr>
      <t>Kosher Peanut Butter, Regular, Stabilized, Non-fortified, Individual Packets</t>
    </r>
    <r>
      <rPr>
        <sz val="11"/>
        <rFont val="Calibri"/>
        <family val="2"/>
        <scheme val="minor"/>
      </rPr>
      <t xml:space="preserve">. EACH.  </t>
    </r>
    <r>
      <rPr>
        <b/>
        <sz val="11"/>
        <rFont val="Calibri"/>
        <family val="2"/>
        <scheme val="minor"/>
      </rPr>
      <t>.5 ounce - 2 ounce Packet</t>
    </r>
    <r>
      <rPr>
        <sz val="11"/>
        <rFont val="Calibri"/>
        <family val="2"/>
        <scheme val="minor"/>
      </rPr>
      <t xml:space="preserve">, Certified Kosher Parve, CID A-A20328B, Style I, Class A, Texture 1, Type A.  Total amount may be adjusted to the next highest case count. </t>
    </r>
    <r>
      <rPr>
        <b/>
        <sz val="11"/>
        <rFont val="Calibri"/>
        <family val="2"/>
        <scheme val="minor"/>
      </rPr>
      <t xml:space="preserve"> </t>
    </r>
    <r>
      <rPr>
        <b/>
        <sz val="14"/>
        <rFont val="Calibri"/>
        <family val="2"/>
        <scheme val="minor"/>
      </rPr>
      <t>Specify packet size on bid.</t>
    </r>
    <r>
      <rPr>
        <sz val="11"/>
        <rFont val="Calibri"/>
        <family val="2"/>
        <scheme val="minor"/>
      </rPr>
      <t xml:space="preserve">  *Each individual package must be marked with the kosher certification hechsher.</t>
    </r>
  </si>
  <si>
    <r>
      <rPr>
        <b/>
        <sz val="11"/>
        <rFont val="Calibri"/>
        <family val="2"/>
        <scheme val="minor"/>
      </rPr>
      <t>Kosher Coffee, Instant, Individual Serving Packet</t>
    </r>
    <r>
      <rPr>
        <sz val="11"/>
        <rFont val="Calibri"/>
        <family val="2"/>
        <scheme val="minor"/>
      </rPr>
      <t xml:space="preserve">, Each Packets Makes 1 - 8 Ounce Serving When Reconstituted.  EACH.  Total amount may be adjusted to the next highest case count.  Certified Kosher. </t>
    </r>
    <r>
      <rPr>
        <b/>
        <sz val="14"/>
        <rFont val="Calibri"/>
        <family val="2"/>
        <scheme val="minor"/>
      </rPr>
      <t>Specify case count on bid</t>
    </r>
  </si>
  <si>
    <r>
      <rPr>
        <b/>
        <sz val="11"/>
        <rFont val="Calibri"/>
        <family val="2"/>
        <scheme val="minor"/>
      </rPr>
      <t>Kosher Dressing, Mayonnaise, Regular, Reduced Fat, Fat Free, or Light</t>
    </r>
    <r>
      <rPr>
        <sz val="11"/>
        <rFont val="Calibri"/>
        <family val="2"/>
        <scheme val="minor"/>
      </rPr>
      <t>.  EACH.  9 Gram Packet,  Certified Kosher Parve.  (CID A-A-20140D, Type I, Style A, B, C, or D).  *Each individual package must be marked with the kosher certification hechsher.  Total amount may be adjusted to the next highest case count.</t>
    </r>
    <r>
      <rPr>
        <b/>
        <sz val="14"/>
        <rFont val="Calibri"/>
        <family val="2"/>
        <scheme val="minor"/>
      </rPr>
      <t xml:space="preserve"> </t>
    </r>
  </si>
  <si>
    <r>
      <t>Failure to comply with the Religious Diet Specifications will result in your quoted item not being considered for award.  No specification substitutions will be accepted. The NFSA/Chief Dietitian will make the final determination on product compliance.</t>
    </r>
    <r>
      <rPr>
        <b/>
        <sz val="14"/>
        <color rgb="FFFF0000"/>
        <rFont val="Calibri"/>
        <family val="2"/>
        <scheme val="minor"/>
      </rPr>
      <t xml:space="preserve"> For all Kosher/Halal meals, Lines 1 -7, please provide case count on bid. If case count is less or more than requested, please indicate.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</si>
</sst>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0"/>
  </numFmts>
  <fonts count="16" x14ac:knownFonts="1">
    <font>
      <sz val="11"/>
      <color theme="1"/>
      <name val="Calibri"/>
      <family val="2"/>
      <scheme val="minor"/>
    </font>
    <font>
      <b/>
      <sz val="11"/>
      <color theme="1"/>
      <name val="Calibri"/>
      <family val="2"/>
      <scheme val="minor"/>
    </font>
    <font>
      <sz val="11"/>
      <name val="Calibri"/>
      <family val="2"/>
      <scheme val="minor"/>
    </font>
    <font>
      <b/>
      <sz val="16"/>
      <name val="Calibri"/>
      <family val="2"/>
      <scheme val="minor"/>
    </font>
    <font>
      <sz val="10"/>
      <name val="Calibri"/>
      <family val="2"/>
      <scheme val="minor"/>
    </font>
    <font>
      <sz val="12"/>
      <name val="Calibri"/>
      <family val="2"/>
      <scheme val="minor"/>
    </font>
    <font>
      <b/>
      <sz val="11"/>
      <name val="Calibri"/>
      <family val="2"/>
      <scheme val="minor"/>
    </font>
    <font>
      <strike/>
      <sz val="11"/>
      <name val="Calibri"/>
      <family val="2"/>
      <scheme val="minor"/>
    </font>
    <font>
      <sz val="11"/>
      <color rgb="FFFF0000"/>
      <name val="Calibri"/>
      <family val="2"/>
      <scheme val="minor"/>
    </font>
    <font>
      <b/>
      <sz val="11"/>
      <color rgb="FFFF0000"/>
      <name val="Calibri"/>
      <family val="2"/>
      <scheme val="minor"/>
    </font>
    <font>
      <sz val="10"/>
      <color rgb="FFFF0000"/>
      <name val="Calibri"/>
      <family val="2"/>
      <scheme val="minor"/>
    </font>
    <font>
      <b/>
      <sz val="10"/>
      <name val="Calibri"/>
      <family val="2"/>
      <scheme val="minor"/>
    </font>
    <font>
      <b/>
      <sz val="18"/>
      <color rgb="FFFF0000"/>
      <name val="Calibri"/>
      <family val="2"/>
      <scheme val="minor"/>
    </font>
    <font>
      <b/>
      <sz val="12"/>
      <name val="Calibri"/>
      <family val="2"/>
      <scheme val="minor"/>
    </font>
    <font>
      <b/>
      <sz val="14"/>
      <name val="Calibri"/>
      <family val="2"/>
      <scheme val="minor"/>
    </font>
    <font>
      <b/>
      <sz val="14"/>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2">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83">
    <xf numFmtId="0" fontId="0" fillId="0" borderId="0" xfId="0"/>
    <xf numFmtId="0" fontId="0" fillId="2" borderId="1" xfId="0" applyFill="1" applyBorder="1"/>
    <xf numFmtId="0" fontId="0" fillId="2" borderId="1" xfId="0" applyFill="1" applyBorder="1" applyAlignment="1">
      <alignment horizontal="center"/>
    </xf>
    <xf numFmtId="0" fontId="0" fillId="2" borderId="2" xfId="0" applyFill="1" applyBorder="1"/>
    <xf numFmtId="0" fontId="0" fillId="2" borderId="2" xfId="0" applyFill="1" applyBorder="1" applyAlignment="1">
      <alignment horizontal="center"/>
    </xf>
    <xf numFmtId="0" fontId="0" fillId="0" borderId="6" xfId="0" applyBorder="1"/>
    <xf numFmtId="0" fontId="0" fillId="0" borderId="7" xfId="0" applyBorder="1"/>
    <xf numFmtId="0" fontId="0" fillId="0" borderId="0" xfId="0" applyAlignment="1">
      <alignment horizontal="center"/>
    </xf>
    <xf numFmtId="0" fontId="0" fillId="0" borderId="2" xfId="0" applyBorder="1" applyAlignment="1">
      <alignment horizontal="center"/>
    </xf>
    <xf numFmtId="0" fontId="1" fillId="0" borderId="1" xfId="0" applyFont="1" applyBorder="1" applyAlignment="1">
      <alignment horizontal="left"/>
    </xf>
    <xf numFmtId="0" fontId="0" fillId="0" borderId="2" xfId="0" applyBorder="1" applyAlignment="1">
      <alignment horizontal="left"/>
    </xf>
    <xf numFmtId="0" fontId="0" fillId="2" borderId="1" xfId="0" applyFill="1" applyBorder="1" applyAlignment="1">
      <alignment horizontal="center" vertical="top"/>
    </xf>
    <xf numFmtId="0" fontId="0" fillId="2" borderId="2" xfId="0" applyFill="1" applyBorder="1" applyAlignment="1">
      <alignment horizontal="center" vertical="top"/>
    </xf>
    <xf numFmtId="0" fontId="1" fillId="0" borderId="6" xfId="0" applyFont="1" applyBorder="1" applyAlignment="1">
      <alignment horizontal="center" vertical="top"/>
    </xf>
    <xf numFmtId="0" fontId="0" fillId="0" borderId="7" xfId="0" applyBorder="1" applyAlignment="1">
      <alignment horizontal="center" vertical="top"/>
    </xf>
    <xf numFmtId="0" fontId="0" fillId="0" borderId="0" xfId="0" applyAlignment="1">
      <alignment horizontal="center" vertical="top"/>
    </xf>
    <xf numFmtId="164" fontId="1" fillId="0" borderId="1" xfId="0" applyNumberFormat="1" applyFont="1" applyBorder="1" applyAlignment="1">
      <alignment horizontal="left" vertical="top"/>
    </xf>
    <xf numFmtId="164" fontId="1" fillId="0" borderId="6" xfId="0" applyNumberFormat="1" applyFont="1" applyBorder="1" applyAlignment="1">
      <alignment horizontal="center" vertical="top"/>
    </xf>
    <xf numFmtId="164" fontId="0" fillId="0" borderId="2" xfId="0" applyNumberFormat="1" applyBorder="1" applyAlignment="1">
      <alignment horizontal="center" vertical="top"/>
    </xf>
    <xf numFmtId="164" fontId="0" fillId="0" borderId="7" xfId="0" applyNumberFormat="1" applyBorder="1" applyAlignment="1">
      <alignment horizontal="center" vertical="top"/>
    </xf>
    <xf numFmtId="164" fontId="0" fillId="2" borderId="1" xfId="0" applyNumberFormat="1" applyFill="1" applyBorder="1" applyAlignment="1">
      <alignment horizontal="center" vertical="top"/>
    </xf>
    <xf numFmtId="164" fontId="0" fillId="2" borderId="3" xfId="0" applyNumberFormat="1" applyFill="1" applyBorder="1" applyAlignment="1">
      <alignment horizontal="center" vertical="top"/>
    </xf>
    <xf numFmtId="164" fontId="0" fillId="2" borderId="2" xfId="0" applyNumberFormat="1" applyFill="1" applyBorder="1" applyAlignment="1">
      <alignment horizontal="center" vertical="top"/>
    </xf>
    <xf numFmtId="164" fontId="0" fillId="2" borderId="4" xfId="0" applyNumberFormat="1" applyFill="1" applyBorder="1" applyAlignment="1">
      <alignment horizontal="center" vertical="top"/>
    </xf>
    <xf numFmtId="164" fontId="0" fillId="0" borderId="0" xfId="0" applyNumberFormat="1" applyAlignment="1">
      <alignment horizontal="center" vertical="top"/>
    </xf>
    <xf numFmtId="0" fontId="2" fillId="0" borderId="5" xfId="0" applyFont="1" applyBorder="1" applyAlignment="1" applyProtection="1">
      <alignment vertical="top" wrapText="1"/>
      <protection locked="0"/>
    </xf>
    <xf numFmtId="0" fontId="2" fillId="0" borderId="5" xfId="0" applyFont="1" applyBorder="1" applyAlignment="1">
      <alignment horizontal="center" vertical="top"/>
    </xf>
    <xf numFmtId="0" fontId="2" fillId="0" borderId="5" xfId="0" applyFont="1" applyBorder="1" applyAlignment="1" applyProtection="1">
      <alignment horizontal="center" vertical="top"/>
      <protection locked="0"/>
    </xf>
    <xf numFmtId="164" fontId="2" fillId="0" borderId="5" xfId="0" applyNumberFormat="1" applyFont="1" applyBorder="1" applyAlignment="1" applyProtection="1">
      <alignment horizontal="center" vertical="top"/>
      <protection locked="0"/>
    </xf>
    <xf numFmtId="164" fontId="2" fillId="0" borderId="5" xfId="0" applyNumberFormat="1" applyFont="1" applyBorder="1" applyAlignment="1">
      <alignment horizontal="center" vertical="top"/>
    </xf>
    <xf numFmtId="0" fontId="2" fillId="0" borderId="0" xfId="0" applyFont="1" applyAlignment="1">
      <alignment vertical="top" wrapText="1"/>
    </xf>
    <xf numFmtId="0" fontId="5" fillId="0" borderId="8" xfId="0" applyFont="1" applyBorder="1" applyAlignment="1">
      <alignment horizontal="left" vertical="top" indent="2"/>
    </xf>
    <xf numFmtId="0" fontId="2" fillId="0" borderId="5" xfId="0" applyFont="1" applyBorder="1" applyAlignment="1" applyProtection="1">
      <alignment horizontal="center" vertical="top" wrapText="1"/>
      <protection locked="0"/>
    </xf>
    <xf numFmtId="0" fontId="2" fillId="3" borderId="5" xfId="0" applyFont="1" applyFill="1" applyBorder="1" applyAlignment="1">
      <alignment horizontal="center" vertical="top"/>
    </xf>
    <xf numFmtId="0" fontId="2" fillId="0" borderId="5" xfId="0" applyFont="1" applyBorder="1" applyAlignment="1">
      <alignment vertical="top" wrapText="1"/>
    </xf>
    <xf numFmtId="0" fontId="2" fillId="0" borderId="4" xfId="0" applyFont="1" applyBorder="1" applyAlignment="1" applyProtection="1">
      <alignment horizontal="center" vertical="top"/>
      <protection locked="0"/>
    </xf>
    <xf numFmtId="0" fontId="2" fillId="0" borderId="4" xfId="0" applyFont="1" applyBorder="1" applyAlignment="1" applyProtection="1">
      <alignment vertical="top" wrapText="1"/>
      <protection locked="0"/>
    </xf>
    <xf numFmtId="164" fontId="2" fillId="0" borderId="4" xfId="0" applyNumberFormat="1" applyFont="1" applyBorder="1" applyAlignment="1" applyProtection="1">
      <alignment horizontal="center" vertical="top"/>
      <protection locked="0"/>
    </xf>
    <xf numFmtId="0" fontId="8" fillId="0" borderId="5" xfId="0" applyFont="1" applyBorder="1" applyAlignment="1" applyProtection="1">
      <alignment vertical="top" wrapText="1"/>
      <protection locked="0"/>
    </xf>
    <xf numFmtId="164" fontId="8" fillId="0" borderId="5" xfId="0" applyNumberFormat="1" applyFont="1" applyBorder="1" applyAlignment="1" applyProtection="1">
      <alignment horizontal="center" vertical="top"/>
      <protection locked="0"/>
    </xf>
    <xf numFmtId="3" fontId="2" fillId="0" borderId="5" xfId="0" applyNumberFormat="1" applyFont="1" applyBorder="1" applyAlignment="1" applyProtection="1">
      <alignment horizontal="center" vertical="top"/>
      <protection locked="0"/>
    </xf>
    <xf numFmtId="3" fontId="2" fillId="3" borderId="5" xfId="0" applyNumberFormat="1" applyFont="1" applyFill="1" applyBorder="1" applyAlignment="1" applyProtection="1">
      <alignment horizontal="center" vertical="top" wrapText="1"/>
      <protection locked="0"/>
    </xf>
    <xf numFmtId="3" fontId="2" fillId="3" borderId="5" xfId="0" applyNumberFormat="1" applyFont="1" applyFill="1" applyBorder="1" applyAlignment="1" applyProtection="1">
      <alignment horizontal="center" vertical="top"/>
      <protection locked="0"/>
    </xf>
    <xf numFmtId="3" fontId="2" fillId="0" borderId="4" xfId="0" applyNumberFormat="1" applyFont="1" applyBorder="1" applyAlignment="1" applyProtection="1">
      <alignment horizontal="center" vertical="top"/>
      <protection locked="0"/>
    </xf>
    <xf numFmtId="0" fontId="6" fillId="0" borderId="1" xfId="0" applyFont="1" applyBorder="1" applyAlignment="1">
      <alignment horizontal="left"/>
    </xf>
    <xf numFmtId="0" fontId="2" fillId="0" borderId="6" xfId="0" applyFont="1" applyBorder="1"/>
    <xf numFmtId="0" fontId="6" fillId="0" borderId="1" xfId="0" applyFont="1" applyBorder="1" applyAlignment="1">
      <alignment horizontal="left" vertical="top"/>
    </xf>
    <xf numFmtId="0" fontId="6" fillId="0" borderId="6" xfId="0" applyFont="1" applyBorder="1" applyAlignment="1">
      <alignment horizontal="center" vertical="top"/>
    </xf>
    <xf numFmtId="164" fontId="6" fillId="0" borderId="1" xfId="0" applyNumberFormat="1" applyFont="1" applyBorder="1" applyAlignment="1">
      <alignment horizontal="left" vertical="top"/>
    </xf>
    <xf numFmtId="164" fontId="6" fillId="0" borderId="6" xfId="0" applyNumberFormat="1" applyFont="1" applyBorder="1" applyAlignment="1">
      <alignment horizontal="center" vertical="top"/>
    </xf>
    <xf numFmtId="0" fontId="2" fillId="0" borderId="2" xfId="0" applyFont="1" applyBorder="1" applyAlignment="1">
      <alignment horizontal="left"/>
    </xf>
    <xf numFmtId="0" fontId="2" fillId="0" borderId="7" xfId="0" applyFont="1" applyBorder="1"/>
    <xf numFmtId="0" fontId="2" fillId="0" borderId="2" xfId="0" applyFont="1" applyBorder="1" applyAlignment="1">
      <alignment horizontal="center" vertical="top"/>
    </xf>
    <xf numFmtId="0" fontId="2" fillId="0" borderId="7" xfId="0" applyFont="1" applyBorder="1" applyAlignment="1">
      <alignment horizontal="center" vertical="top"/>
    </xf>
    <xf numFmtId="164" fontId="2" fillId="0" borderId="2" xfId="0" applyNumberFormat="1" applyFont="1" applyBorder="1" applyAlignment="1">
      <alignment horizontal="center" vertical="top"/>
    </xf>
    <xf numFmtId="164" fontId="2" fillId="0" borderId="7" xfId="0" applyNumberFormat="1" applyFont="1" applyBorder="1" applyAlignment="1">
      <alignment horizontal="center" vertical="top"/>
    </xf>
    <xf numFmtId="0" fontId="2" fillId="2" borderId="1" xfId="0" applyFont="1" applyFill="1" applyBorder="1" applyAlignment="1">
      <alignment horizontal="center" vertical="top"/>
    </xf>
    <xf numFmtId="0" fontId="2" fillId="2" borderId="1" xfId="0" applyFont="1" applyFill="1" applyBorder="1"/>
    <xf numFmtId="164" fontId="2" fillId="2" borderId="1" xfId="0" applyNumberFormat="1" applyFont="1" applyFill="1" applyBorder="1" applyAlignment="1">
      <alignment horizontal="center" vertical="top"/>
    </xf>
    <xf numFmtId="164" fontId="2" fillId="2" borderId="3" xfId="0" applyNumberFormat="1" applyFont="1" applyFill="1" applyBorder="1" applyAlignment="1">
      <alignment horizontal="center" vertical="top"/>
    </xf>
    <xf numFmtId="0" fontId="2" fillId="2" borderId="2" xfId="0" applyFont="1" applyFill="1" applyBorder="1" applyAlignment="1">
      <alignment horizontal="center" vertical="top"/>
    </xf>
    <xf numFmtId="0" fontId="2" fillId="2" borderId="2" xfId="0" applyFont="1" applyFill="1" applyBorder="1"/>
    <xf numFmtId="164" fontId="2" fillId="2" borderId="2" xfId="0" applyNumberFormat="1" applyFont="1" applyFill="1" applyBorder="1" applyAlignment="1">
      <alignment horizontal="center" vertical="top"/>
    </xf>
    <xf numFmtId="164" fontId="2" fillId="2" borderId="4" xfId="0" applyNumberFormat="1" applyFont="1" applyFill="1" applyBorder="1" applyAlignment="1">
      <alignment horizontal="center" vertical="top"/>
    </xf>
    <xf numFmtId="0" fontId="7" fillId="0" borderId="5" xfId="0" applyFont="1" applyBorder="1" applyAlignment="1" applyProtection="1">
      <alignment vertical="top" wrapText="1"/>
      <protection locked="0"/>
    </xf>
    <xf numFmtId="3" fontId="2" fillId="0" borderId="5" xfId="0" applyNumberFormat="1" applyFont="1" applyBorder="1" applyAlignment="1" applyProtection="1">
      <alignment horizontal="center" vertical="top" wrapText="1"/>
      <protection locked="0"/>
    </xf>
    <xf numFmtId="0" fontId="6" fillId="0" borderId="0" xfId="0" applyFont="1" applyAlignment="1">
      <alignment vertical="top" wrapText="1"/>
    </xf>
    <xf numFmtId="0" fontId="3" fillId="0" borderId="9" xfId="0" applyFont="1" applyBorder="1" applyAlignment="1">
      <alignment horizontal="left" vertical="top" indent="2"/>
    </xf>
    <xf numFmtId="0" fontId="2" fillId="0" borderId="8" xfId="0" applyFont="1" applyBorder="1" applyAlignment="1">
      <alignment horizontal="left" vertical="top" indent="2"/>
    </xf>
    <xf numFmtId="0" fontId="2" fillId="0" borderId="10" xfId="0" applyFont="1" applyBorder="1" applyAlignment="1">
      <alignment horizontal="left" vertical="top" indent="2"/>
    </xf>
    <xf numFmtId="0" fontId="4" fillId="0" borderId="8" xfId="0" applyFont="1" applyBorder="1" applyAlignment="1">
      <alignment horizontal="left" vertical="center" wrapText="1"/>
    </xf>
    <xf numFmtId="0" fontId="4" fillId="3" borderId="9"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2" fillId="3" borderId="11" xfId="0" applyFont="1" applyFill="1" applyBorder="1" applyAlignment="1">
      <alignment horizontal="left" vertical="center" wrapText="1"/>
    </xf>
    <xf numFmtId="0" fontId="11" fillId="3" borderId="11" xfId="0" applyFont="1" applyFill="1" applyBorder="1" applyAlignment="1">
      <alignment horizontal="left" vertical="center" wrapText="1"/>
    </xf>
    <xf numFmtId="0" fontId="11" fillId="3" borderId="6" xfId="0" applyFont="1" applyFill="1" applyBorder="1" applyAlignment="1">
      <alignment horizontal="left" vertical="center" wrapText="1"/>
    </xf>
    <xf numFmtId="0" fontId="6" fillId="0" borderId="8" xfId="0" applyFont="1" applyBorder="1" applyAlignment="1">
      <alignment horizontal="left" vertical="center" wrapText="1"/>
    </xf>
    <xf numFmtId="0" fontId="2" fillId="0" borderId="0" xfId="0" applyFont="1"/>
    <xf numFmtId="0" fontId="4" fillId="0" borderId="10" xfId="0" applyFont="1" applyBorder="1" applyAlignment="1">
      <alignment horizontal="left" vertical="center" wrapText="1"/>
    </xf>
    <xf numFmtId="0" fontId="6" fillId="0" borderId="10" xfId="0" applyFont="1" applyBorder="1" applyAlignment="1">
      <alignment horizontal="left" vertical="center" wrapText="1"/>
    </xf>
    <xf numFmtId="164" fontId="0" fillId="0" borderId="5" xfId="0" applyNumberFormat="1" applyBorder="1" applyAlignment="1">
      <alignment horizontal="center" vertical="top"/>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96"/>
  <sheetViews>
    <sheetView showGridLines="0" tabSelected="1" showRuler="0" zoomScaleNormal="100" zoomScaleSheetLayoutView="98" workbookViewId="0">
      <selection sqref="A1:XFD3"/>
    </sheetView>
  </sheetViews>
  <sheetFormatPr defaultColWidth="8.85546875" defaultRowHeight="15" x14ac:dyDescent="0.25"/>
  <cols>
    <col min="1" max="1" width="8" style="7" customWidth="1"/>
    <col min="2" max="2" width="82.140625" customWidth="1"/>
    <col min="3" max="3" width="8" style="7" customWidth="1"/>
    <col min="4" max="4" width="10.42578125" style="15" customWidth="1"/>
    <col min="5" max="5" width="9.140625" style="24" customWidth="1"/>
    <col min="6" max="6" width="10.5703125" style="24" customWidth="1"/>
  </cols>
  <sheetData>
    <row r="1" spans="1:6" x14ac:dyDescent="0.25">
      <c r="A1" s="9" t="s">
        <v>12</v>
      </c>
      <c r="B1" s="5"/>
      <c r="C1" s="9" t="s">
        <v>13</v>
      </c>
      <c r="D1" s="13"/>
      <c r="E1" s="16" t="s">
        <v>14</v>
      </c>
      <c r="F1" s="17"/>
    </row>
    <row r="2" spans="1:6" x14ac:dyDescent="0.25">
      <c r="A2" s="10" t="s">
        <v>31</v>
      </c>
      <c r="B2" s="6"/>
      <c r="C2" s="8">
        <v>2026</v>
      </c>
      <c r="D2" s="14"/>
      <c r="E2" s="18" t="s">
        <v>32</v>
      </c>
      <c r="F2" s="19"/>
    </row>
    <row r="3" spans="1:6" ht="139.9" customHeight="1" x14ac:dyDescent="0.25">
      <c r="A3" s="71" t="s">
        <v>20</v>
      </c>
      <c r="B3" s="72"/>
      <c r="C3" s="72"/>
      <c r="D3" s="72"/>
      <c r="E3" s="72"/>
      <c r="F3" s="73"/>
    </row>
    <row r="4" spans="1:6" ht="139.9" customHeight="1" x14ac:dyDescent="0.25">
      <c r="A4" s="74"/>
      <c r="B4" s="75" t="s">
        <v>59</v>
      </c>
      <c r="C4" s="76"/>
      <c r="D4" s="76"/>
      <c r="E4" s="76"/>
      <c r="F4" s="77"/>
    </row>
    <row r="5" spans="1:6" x14ac:dyDescent="0.25">
      <c r="A5" s="11"/>
      <c r="B5" s="1"/>
      <c r="C5" s="2" t="s">
        <v>8</v>
      </c>
      <c r="D5" s="11" t="s">
        <v>4</v>
      </c>
      <c r="E5" s="20" t="s">
        <v>6</v>
      </c>
      <c r="F5" s="21"/>
    </row>
    <row r="6" spans="1:6" ht="13.15" customHeight="1" x14ac:dyDescent="0.25">
      <c r="A6" s="12" t="s">
        <v>0</v>
      </c>
      <c r="B6" s="3" t="s">
        <v>1</v>
      </c>
      <c r="C6" s="4" t="s">
        <v>3</v>
      </c>
      <c r="D6" s="12" t="s">
        <v>5</v>
      </c>
      <c r="E6" s="22" t="s">
        <v>7</v>
      </c>
      <c r="F6" s="23" t="s">
        <v>2</v>
      </c>
    </row>
    <row r="7" spans="1:6" x14ac:dyDescent="0.25">
      <c r="A7" s="26">
        <v>1</v>
      </c>
      <c r="B7" s="25" t="s">
        <v>37</v>
      </c>
      <c r="C7" s="27" t="s">
        <v>38</v>
      </c>
      <c r="D7" s="27">
        <v>444</v>
      </c>
      <c r="E7" s="28"/>
      <c r="F7" s="29">
        <f>SUM(D7*E7)</f>
        <v>0</v>
      </c>
    </row>
    <row r="8" spans="1:6" x14ac:dyDescent="0.25">
      <c r="A8" s="26">
        <v>2</v>
      </c>
      <c r="B8" s="25" t="s">
        <v>36</v>
      </c>
      <c r="C8" s="27" t="s">
        <v>38</v>
      </c>
      <c r="D8" s="27">
        <v>76</v>
      </c>
      <c r="E8" s="28"/>
      <c r="F8" s="29">
        <f t="shared" ref="F8:F11" si="0">SUM(D8*E8)</f>
        <v>0</v>
      </c>
    </row>
    <row r="9" spans="1:6" x14ac:dyDescent="0.25">
      <c r="A9" s="26">
        <v>3</v>
      </c>
      <c r="B9" s="25" t="s">
        <v>35</v>
      </c>
      <c r="C9" s="27" t="s">
        <v>38</v>
      </c>
      <c r="D9" s="27">
        <v>43</v>
      </c>
      <c r="E9" s="28"/>
      <c r="F9" s="29">
        <f t="shared" si="0"/>
        <v>0</v>
      </c>
    </row>
    <row r="10" spans="1:6" x14ac:dyDescent="0.25">
      <c r="A10" s="26">
        <v>4</v>
      </c>
      <c r="B10" s="25" t="s">
        <v>34</v>
      </c>
      <c r="C10" s="27" t="s">
        <v>38</v>
      </c>
      <c r="D10" s="27">
        <v>84</v>
      </c>
      <c r="E10" s="28"/>
      <c r="F10" s="29">
        <f t="shared" si="0"/>
        <v>0</v>
      </c>
    </row>
    <row r="11" spans="1:6" x14ac:dyDescent="0.25">
      <c r="A11" s="26">
        <v>5</v>
      </c>
      <c r="B11" s="25" t="s">
        <v>33</v>
      </c>
      <c r="C11" s="27" t="s">
        <v>38</v>
      </c>
      <c r="D11" s="27">
        <v>534</v>
      </c>
      <c r="E11" s="28"/>
      <c r="F11" s="29">
        <f t="shared" si="0"/>
        <v>0</v>
      </c>
    </row>
    <row r="12" spans="1:6" ht="18.75" x14ac:dyDescent="0.25">
      <c r="A12" s="26">
        <v>6</v>
      </c>
      <c r="B12" s="25" t="s">
        <v>65</v>
      </c>
      <c r="C12" s="27" t="s">
        <v>9</v>
      </c>
      <c r="D12" s="40">
        <v>50000</v>
      </c>
      <c r="E12" s="28"/>
      <c r="F12" s="29">
        <f>SUM(D12*E12)</f>
        <v>0</v>
      </c>
    </row>
    <row r="13" spans="1:6" ht="39.75" customHeight="1" x14ac:dyDescent="0.25">
      <c r="A13" s="26">
        <v>7</v>
      </c>
      <c r="B13" s="25" t="s">
        <v>60</v>
      </c>
      <c r="C13" s="27" t="s">
        <v>9</v>
      </c>
      <c r="D13" s="40">
        <v>6520</v>
      </c>
      <c r="E13" s="28"/>
      <c r="F13" s="29">
        <f t="shared" ref="F13:F68" si="1">SUM(D13*E13)</f>
        <v>0</v>
      </c>
    </row>
    <row r="14" spans="1:6" ht="48.75" x14ac:dyDescent="0.25">
      <c r="A14" s="26">
        <f t="shared" ref="A14:A15" si="2">SUM(A13+1)</f>
        <v>8</v>
      </c>
      <c r="B14" s="25" t="s">
        <v>61</v>
      </c>
      <c r="C14" s="27" t="s">
        <v>9</v>
      </c>
      <c r="D14" s="40">
        <v>3000</v>
      </c>
      <c r="E14" s="28"/>
      <c r="F14" s="29">
        <f t="shared" si="1"/>
        <v>0</v>
      </c>
    </row>
    <row r="15" spans="1:6" ht="39" customHeight="1" x14ac:dyDescent="0.25">
      <c r="A15" s="26">
        <f t="shared" si="2"/>
        <v>9</v>
      </c>
      <c r="B15" s="25" t="s">
        <v>62</v>
      </c>
      <c r="C15" s="27" t="s">
        <v>9</v>
      </c>
      <c r="D15" s="27">
        <v>600</v>
      </c>
      <c r="E15" s="28"/>
      <c r="F15" s="29">
        <f t="shared" si="1"/>
        <v>0</v>
      </c>
    </row>
    <row r="16" spans="1:6" ht="33.75" x14ac:dyDescent="0.25">
      <c r="A16" s="26">
        <v>10</v>
      </c>
      <c r="B16" s="25" t="s">
        <v>63</v>
      </c>
      <c r="C16" s="27" t="s">
        <v>9</v>
      </c>
      <c r="D16" s="40">
        <v>6480</v>
      </c>
      <c r="E16" s="28"/>
      <c r="F16" s="29">
        <f t="shared" si="1"/>
        <v>0</v>
      </c>
    </row>
    <row r="17" spans="1:6" ht="60" x14ac:dyDescent="0.25">
      <c r="A17" s="26">
        <v>11</v>
      </c>
      <c r="B17" s="25" t="s">
        <v>64</v>
      </c>
      <c r="C17" s="27" t="s">
        <v>10</v>
      </c>
      <c r="D17" s="27">
        <v>125</v>
      </c>
      <c r="E17" s="28"/>
      <c r="F17" s="29">
        <f t="shared" si="1"/>
        <v>0</v>
      </c>
    </row>
    <row r="18" spans="1:6" ht="36.75" customHeight="1" x14ac:dyDescent="0.25">
      <c r="A18" s="26">
        <v>12</v>
      </c>
      <c r="B18" s="25" t="s">
        <v>21</v>
      </c>
      <c r="C18" s="27" t="s">
        <v>9</v>
      </c>
      <c r="D18" s="40">
        <v>12500</v>
      </c>
      <c r="E18" s="28"/>
      <c r="F18" s="29">
        <f t="shared" si="1"/>
        <v>0</v>
      </c>
    </row>
    <row r="19" spans="1:6" ht="47.45" customHeight="1" x14ac:dyDescent="0.25">
      <c r="A19" s="26">
        <f t="shared" ref="A19" si="3">SUM(A18+1)</f>
        <v>13</v>
      </c>
      <c r="B19" s="25" t="s">
        <v>45</v>
      </c>
      <c r="C19" s="27" t="s">
        <v>38</v>
      </c>
      <c r="D19" s="27">
        <v>400</v>
      </c>
      <c r="E19" s="28"/>
      <c r="F19" s="29">
        <f t="shared" si="1"/>
        <v>0</v>
      </c>
    </row>
    <row r="20" spans="1:6" ht="82.5" x14ac:dyDescent="0.25">
      <c r="A20" s="26">
        <v>14</v>
      </c>
      <c r="B20" s="25" t="s">
        <v>66</v>
      </c>
      <c r="C20" s="27" t="s">
        <v>9</v>
      </c>
      <c r="D20" s="40">
        <v>3000</v>
      </c>
      <c r="E20" s="28"/>
      <c r="F20" s="29">
        <f t="shared" si="1"/>
        <v>0</v>
      </c>
    </row>
    <row r="21" spans="1:6" ht="150" x14ac:dyDescent="0.25">
      <c r="A21" s="26">
        <v>15</v>
      </c>
      <c r="B21" s="25" t="s">
        <v>16</v>
      </c>
      <c r="C21" s="27" t="s">
        <v>9</v>
      </c>
      <c r="D21" s="40">
        <v>1250</v>
      </c>
      <c r="E21" s="28"/>
      <c r="F21" s="29">
        <f t="shared" si="1"/>
        <v>0</v>
      </c>
    </row>
    <row r="22" spans="1:6" ht="63.75" x14ac:dyDescent="0.25">
      <c r="A22" s="26">
        <f>SUM(A21+1)</f>
        <v>16</v>
      </c>
      <c r="B22" s="25" t="s">
        <v>67</v>
      </c>
      <c r="C22" s="27" t="s">
        <v>9</v>
      </c>
      <c r="D22" s="40">
        <v>6000</v>
      </c>
      <c r="E22" s="28"/>
      <c r="F22" s="29">
        <f t="shared" si="1"/>
        <v>0</v>
      </c>
    </row>
    <row r="23" spans="1:6" ht="67.5" x14ac:dyDescent="0.25">
      <c r="A23" s="26">
        <v>17</v>
      </c>
      <c r="B23" s="25" t="s">
        <v>68</v>
      </c>
      <c r="C23" s="27" t="s">
        <v>9</v>
      </c>
      <c r="D23" s="42">
        <v>1800</v>
      </c>
      <c r="E23" s="28"/>
      <c r="F23" s="29">
        <f t="shared" si="1"/>
        <v>0</v>
      </c>
    </row>
    <row r="24" spans="1:6" ht="63.75" x14ac:dyDescent="0.25">
      <c r="A24" s="26">
        <f>SUM(A23+1)</f>
        <v>18</v>
      </c>
      <c r="B24" s="25" t="s">
        <v>69</v>
      </c>
      <c r="C24" s="27" t="s">
        <v>11</v>
      </c>
      <c r="D24" s="42">
        <v>1114394</v>
      </c>
      <c r="E24" s="28"/>
      <c r="F24" s="29">
        <f t="shared" si="1"/>
        <v>0</v>
      </c>
    </row>
    <row r="25" spans="1:6" ht="57.75" customHeight="1" x14ac:dyDescent="0.25">
      <c r="A25" s="26">
        <v>19</v>
      </c>
      <c r="B25" s="25" t="s">
        <v>70</v>
      </c>
      <c r="C25" s="27" t="s">
        <v>10</v>
      </c>
      <c r="D25" s="27">
        <v>245</v>
      </c>
      <c r="E25" s="28"/>
      <c r="F25" s="29">
        <f t="shared" si="1"/>
        <v>0</v>
      </c>
    </row>
    <row r="26" spans="1:6" ht="30" x14ac:dyDescent="0.25">
      <c r="A26" s="26">
        <v>20</v>
      </c>
      <c r="B26" s="25" t="s">
        <v>18</v>
      </c>
      <c r="C26" s="27" t="s">
        <v>10</v>
      </c>
      <c r="D26" s="27">
        <v>40</v>
      </c>
      <c r="E26" s="28"/>
      <c r="F26" s="29">
        <f t="shared" si="1"/>
        <v>0</v>
      </c>
    </row>
    <row r="27" spans="1:6" ht="217.5" x14ac:dyDescent="0.25">
      <c r="A27" s="26">
        <v>21</v>
      </c>
      <c r="B27" s="25" t="s">
        <v>71</v>
      </c>
      <c r="C27" s="27" t="s">
        <v>11</v>
      </c>
      <c r="D27" s="40">
        <v>60000</v>
      </c>
      <c r="E27" s="28"/>
      <c r="F27" s="29">
        <f t="shared" si="1"/>
        <v>0</v>
      </c>
    </row>
    <row r="28" spans="1:6" ht="71.25" customHeight="1" x14ac:dyDescent="0.25">
      <c r="A28" s="26">
        <v>22</v>
      </c>
      <c r="B28" s="25" t="s">
        <v>72</v>
      </c>
      <c r="C28" s="27" t="s">
        <v>11</v>
      </c>
      <c r="D28" s="40">
        <v>150000</v>
      </c>
      <c r="E28" s="28"/>
      <c r="F28" s="29">
        <f t="shared" si="1"/>
        <v>0</v>
      </c>
    </row>
    <row r="29" spans="1:6" ht="33.75" x14ac:dyDescent="0.25">
      <c r="A29" s="26">
        <v>23</v>
      </c>
      <c r="B29" s="25" t="s">
        <v>73</v>
      </c>
      <c r="C29" s="27" t="s">
        <v>9</v>
      </c>
      <c r="D29" s="40">
        <v>5000</v>
      </c>
      <c r="E29" s="28"/>
      <c r="F29" s="29">
        <f t="shared" si="1"/>
        <v>0</v>
      </c>
    </row>
    <row r="30" spans="1:6" ht="45" x14ac:dyDescent="0.25">
      <c r="A30" s="26">
        <v>24</v>
      </c>
      <c r="B30" s="25" t="s">
        <v>22</v>
      </c>
      <c r="C30" s="27" t="s">
        <v>10</v>
      </c>
      <c r="D30" s="27">
        <v>400</v>
      </c>
      <c r="E30" s="28"/>
      <c r="F30" s="29">
        <f t="shared" si="1"/>
        <v>0</v>
      </c>
    </row>
    <row r="31" spans="1:6" ht="45" x14ac:dyDescent="0.25">
      <c r="A31" s="26">
        <f t="shared" ref="A31" si="4">SUM(A30+1)</f>
        <v>25</v>
      </c>
      <c r="B31" s="25" t="s">
        <v>23</v>
      </c>
      <c r="C31" s="27" t="s">
        <v>10</v>
      </c>
      <c r="D31" s="27">
        <v>52</v>
      </c>
      <c r="E31" s="28"/>
      <c r="F31" s="29">
        <f t="shared" si="1"/>
        <v>0</v>
      </c>
    </row>
    <row r="32" spans="1:6" ht="63.75" customHeight="1" x14ac:dyDescent="0.25">
      <c r="A32" s="26">
        <v>26</v>
      </c>
      <c r="B32" s="25" t="s">
        <v>24</v>
      </c>
      <c r="C32" s="27" t="s">
        <v>10</v>
      </c>
      <c r="D32" s="40">
        <v>1000</v>
      </c>
      <c r="E32" s="28"/>
      <c r="F32" s="29">
        <f t="shared" si="1"/>
        <v>0</v>
      </c>
    </row>
    <row r="33" spans="1:6" ht="60" x14ac:dyDescent="0.25">
      <c r="A33" s="26">
        <v>27</v>
      </c>
      <c r="B33" s="25" t="s">
        <v>27</v>
      </c>
      <c r="C33" s="27" t="s">
        <v>10</v>
      </c>
      <c r="D33" s="27">
        <v>373</v>
      </c>
      <c r="E33" s="28"/>
      <c r="F33" s="29">
        <f t="shared" si="1"/>
        <v>0</v>
      </c>
    </row>
    <row r="34" spans="1:6" ht="60" x14ac:dyDescent="0.25">
      <c r="A34" s="26">
        <f t="shared" ref="A34:A35" si="5">SUM(A33+1)</f>
        <v>28</v>
      </c>
      <c r="B34" s="25" t="s">
        <v>25</v>
      </c>
      <c r="C34" s="27" t="s">
        <v>10</v>
      </c>
      <c r="D34" s="40">
        <v>1000</v>
      </c>
      <c r="E34" s="28"/>
      <c r="F34" s="29">
        <f t="shared" si="1"/>
        <v>0</v>
      </c>
    </row>
    <row r="35" spans="1:6" ht="64.900000000000006" customHeight="1" x14ac:dyDescent="0.25">
      <c r="A35" s="26">
        <f t="shared" si="5"/>
        <v>29</v>
      </c>
      <c r="B35" s="25" t="s">
        <v>26</v>
      </c>
      <c r="C35" s="27" t="s">
        <v>10</v>
      </c>
      <c r="D35" s="40">
        <v>1000</v>
      </c>
      <c r="E35" s="28"/>
      <c r="F35" s="29">
        <f t="shared" si="1"/>
        <v>0</v>
      </c>
    </row>
    <row r="36" spans="1:6" ht="75" customHeight="1" x14ac:dyDescent="0.25">
      <c r="A36" s="26">
        <v>30</v>
      </c>
      <c r="B36" s="25" t="s">
        <v>29</v>
      </c>
      <c r="C36" s="27" t="s">
        <v>10</v>
      </c>
      <c r="D36" s="40">
        <v>1000</v>
      </c>
      <c r="E36" s="28"/>
      <c r="F36" s="29">
        <f t="shared" si="1"/>
        <v>0</v>
      </c>
    </row>
    <row r="37" spans="1:6" ht="45" x14ac:dyDescent="0.25">
      <c r="A37" s="26">
        <v>31</v>
      </c>
      <c r="B37" s="25" t="s">
        <v>28</v>
      </c>
      <c r="C37" s="27" t="s">
        <v>10</v>
      </c>
      <c r="D37" s="40">
        <v>1000</v>
      </c>
      <c r="E37" s="28"/>
      <c r="F37" s="29">
        <f t="shared" si="1"/>
        <v>0</v>
      </c>
    </row>
    <row r="38" spans="1:6" ht="60" x14ac:dyDescent="0.25">
      <c r="A38" s="26">
        <v>32</v>
      </c>
      <c r="B38" s="25" t="s">
        <v>30</v>
      </c>
      <c r="C38" s="27" t="s">
        <v>10</v>
      </c>
      <c r="D38" s="27">
        <v>250</v>
      </c>
      <c r="E38" s="28"/>
      <c r="F38" s="29">
        <f t="shared" si="1"/>
        <v>0</v>
      </c>
    </row>
    <row r="39" spans="1:6" ht="30" x14ac:dyDescent="0.25">
      <c r="A39" s="26">
        <v>33</v>
      </c>
      <c r="B39" s="25" t="s">
        <v>19</v>
      </c>
      <c r="C39" s="27" t="s">
        <v>10</v>
      </c>
      <c r="D39" s="27">
        <v>35</v>
      </c>
      <c r="E39" s="28"/>
      <c r="F39" s="29">
        <f t="shared" si="1"/>
        <v>0</v>
      </c>
    </row>
    <row r="40" spans="1:6" ht="63.75" x14ac:dyDescent="0.25">
      <c r="A40" s="26">
        <v>34</v>
      </c>
      <c r="B40" s="25" t="s">
        <v>74</v>
      </c>
      <c r="C40" s="32" t="s">
        <v>17</v>
      </c>
      <c r="D40" s="40">
        <v>2000</v>
      </c>
      <c r="E40" s="28"/>
      <c r="F40" s="29">
        <f t="shared" si="1"/>
        <v>0</v>
      </c>
    </row>
    <row r="41" spans="1:6" ht="112.5" customHeight="1" x14ac:dyDescent="0.25">
      <c r="A41" s="26">
        <v>35</v>
      </c>
      <c r="B41" s="30" t="s">
        <v>75</v>
      </c>
      <c r="C41" s="27" t="s">
        <v>9</v>
      </c>
      <c r="D41" s="40">
        <v>1500</v>
      </c>
      <c r="E41" s="28"/>
      <c r="F41" s="29">
        <f t="shared" si="1"/>
        <v>0</v>
      </c>
    </row>
    <row r="42" spans="1:6" ht="112.5" x14ac:dyDescent="0.25">
      <c r="A42" s="26">
        <v>36</v>
      </c>
      <c r="B42" s="25" t="s">
        <v>76</v>
      </c>
      <c r="C42" s="32" t="s">
        <v>17</v>
      </c>
      <c r="D42" s="40">
        <v>2000</v>
      </c>
      <c r="E42" s="28"/>
      <c r="F42" s="29">
        <f t="shared" si="1"/>
        <v>0</v>
      </c>
    </row>
    <row r="43" spans="1:6" ht="70.5" customHeight="1" x14ac:dyDescent="0.25">
      <c r="A43" s="26">
        <v>37</v>
      </c>
      <c r="B43" s="25" t="s">
        <v>77</v>
      </c>
      <c r="C43" s="32" t="s">
        <v>17</v>
      </c>
      <c r="D43" s="27">
        <v>500</v>
      </c>
      <c r="E43" s="28"/>
      <c r="F43" s="29">
        <f t="shared" si="1"/>
        <v>0</v>
      </c>
    </row>
    <row r="44" spans="1:6" ht="115.5" customHeight="1" x14ac:dyDescent="0.25">
      <c r="A44" s="26">
        <v>38</v>
      </c>
      <c r="B44" s="34" t="s">
        <v>78</v>
      </c>
      <c r="C44" s="27" t="s">
        <v>9</v>
      </c>
      <c r="D44" s="40">
        <v>2000</v>
      </c>
      <c r="E44" s="28"/>
      <c r="F44" s="29">
        <f t="shared" si="1"/>
        <v>0</v>
      </c>
    </row>
    <row r="45" spans="1:6" ht="157.5" x14ac:dyDescent="0.25">
      <c r="A45" s="26">
        <v>39</v>
      </c>
      <c r="B45" s="25" t="s">
        <v>79</v>
      </c>
      <c r="C45" s="31" t="s">
        <v>9</v>
      </c>
      <c r="D45" s="40">
        <v>1200</v>
      </c>
      <c r="E45" s="28"/>
      <c r="F45" s="29">
        <f t="shared" si="1"/>
        <v>0</v>
      </c>
    </row>
    <row r="46" spans="1:6" ht="159" customHeight="1" x14ac:dyDescent="0.25">
      <c r="A46" s="26">
        <v>40</v>
      </c>
      <c r="B46" s="25" t="s">
        <v>80</v>
      </c>
      <c r="C46" s="27" t="s">
        <v>9</v>
      </c>
      <c r="D46" s="40">
        <v>1250</v>
      </c>
      <c r="E46" s="28"/>
      <c r="F46" s="29">
        <f t="shared" si="1"/>
        <v>0</v>
      </c>
    </row>
    <row r="47" spans="1:6" ht="163.15" customHeight="1" x14ac:dyDescent="0.25">
      <c r="A47" s="26">
        <f t="shared" ref="A47" si="6">SUM(A46+1)</f>
        <v>41</v>
      </c>
      <c r="B47" s="25" t="s">
        <v>81</v>
      </c>
      <c r="C47" s="27" t="s">
        <v>9</v>
      </c>
      <c r="D47" s="27">
        <v>800</v>
      </c>
      <c r="E47" s="28"/>
      <c r="F47" s="29">
        <f t="shared" si="1"/>
        <v>0</v>
      </c>
    </row>
    <row r="48" spans="1:6" ht="201" customHeight="1" x14ac:dyDescent="0.25">
      <c r="A48" s="26">
        <f>SUM(A47+1)</f>
        <v>42</v>
      </c>
      <c r="B48" s="25" t="s">
        <v>82</v>
      </c>
      <c r="C48" s="27" t="s">
        <v>9</v>
      </c>
      <c r="D48" s="40">
        <v>25000</v>
      </c>
      <c r="E48" s="28"/>
      <c r="F48" s="29">
        <f t="shared" si="1"/>
        <v>0</v>
      </c>
    </row>
    <row r="49" spans="1:6" ht="97.5" x14ac:dyDescent="0.25">
      <c r="A49" s="26">
        <v>43</v>
      </c>
      <c r="B49" s="25" t="s">
        <v>83</v>
      </c>
      <c r="C49" s="27" t="s">
        <v>9</v>
      </c>
      <c r="D49" s="40">
        <v>15166</v>
      </c>
      <c r="E49" s="28"/>
      <c r="F49" s="29">
        <f t="shared" si="1"/>
        <v>0</v>
      </c>
    </row>
    <row r="50" spans="1:6" ht="333.75" x14ac:dyDescent="0.25">
      <c r="A50" s="26">
        <v>44</v>
      </c>
      <c r="B50" s="25" t="s">
        <v>84</v>
      </c>
      <c r="C50" s="27" t="s">
        <v>9</v>
      </c>
      <c r="D50" s="41">
        <v>80000</v>
      </c>
      <c r="E50" s="28"/>
      <c r="F50" s="29">
        <f t="shared" si="1"/>
        <v>0</v>
      </c>
    </row>
    <row r="51" spans="1:6" ht="156" customHeight="1" x14ac:dyDescent="0.25">
      <c r="A51" s="33">
        <v>45</v>
      </c>
      <c r="B51" s="25" t="s">
        <v>85</v>
      </c>
      <c r="C51" s="27" t="s">
        <v>9</v>
      </c>
      <c r="D51" s="40">
        <v>50000</v>
      </c>
      <c r="E51" s="28"/>
      <c r="F51" s="29">
        <f t="shared" si="1"/>
        <v>0</v>
      </c>
    </row>
    <row r="52" spans="1:6" ht="157.5" x14ac:dyDescent="0.25">
      <c r="A52" s="26">
        <v>46</v>
      </c>
      <c r="B52" s="25" t="s">
        <v>86</v>
      </c>
      <c r="C52" s="27" t="s">
        <v>9</v>
      </c>
      <c r="D52" s="42">
        <v>30000</v>
      </c>
      <c r="E52" s="28"/>
      <c r="F52" s="29">
        <f t="shared" si="1"/>
        <v>0</v>
      </c>
    </row>
    <row r="53" spans="1:6" ht="150" customHeight="1" x14ac:dyDescent="0.25">
      <c r="A53" s="26">
        <f>SUM(A52+1)</f>
        <v>47</v>
      </c>
      <c r="B53" s="25" t="s">
        <v>87</v>
      </c>
      <c r="C53" s="27" t="s">
        <v>9</v>
      </c>
      <c r="D53" s="40">
        <v>40000</v>
      </c>
      <c r="E53" s="28"/>
      <c r="F53" s="29">
        <f t="shared" si="1"/>
        <v>0</v>
      </c>
    </row>
    <row r="54" spans="1:6" ht="254.25" customHeight="1" x14ac:dyDescent="0.25">
      <c r="A54" s="26">
        <f>SUM(A53+1)</f>
        <v>48</v>
      </c>
      <c r="B54" s="25" t="s">
        <v>88</v>
      </c>
      <c r="C54" s="27" t="s">
        <v>9</v>
      </c>
      <c r="D54" s="40">
        <v>5000</v>
      </c>
      <c r="E54" s="28"/>
      <c r="F54" s="29">
        <f t="shared" si="1"/>
        <v>0</v>
      </c>
    </row>
    <row r="55" spans="1:6" ht="109.5" customHeight="1" x14ac:dyDescent="0.25">
      <c r="A55" s="26">
        <v>49</v>
      </c>
      <c r="B55" s="38" t="s">
        <v>89</v>
      </c>
      <c r="C55" s="27" t="s">
        <v>9</v>
      </c>
      <c r="D55" s="40">
        <v>40000</v>
      </c>
      <c r="E55" s="39"/>
      <c r="F55" s="29">
        <f t="shared" si="1"/>
        <v>0</v>
      </c>
    </row>
    <row r="56" spans="1:6" ht="183.75" x14ac:dyDescent="0.25">
      <c r="A56" s="26">
        <v>50</v>
      </c>
      <c r="B56" s="25" t="s">
        <v>90</v>
      </c>
      <c r="C56" s="27" t="s">
        <v>9</v>
      </c>
      <c r="D56" s="40">
        <v>3054</v>
      </c>
      <c r="E56" s="28"/>
      <c r="F56" s="29">
        <f t="shared" si="1"/>
        <v>0</v>
      </c>
    </row>
    <row r="57" spans="1:6" ht="144" customHeight="1" x14ac:dyDescent="0.25">
      <c r="A57" s="26">
        <f t="shared" ref="A57" si="7">SUM(A56+1)</f>
        <v>51</v>
      </c>
      <c r="B57" s="25" t="s">
        <v>91</v>
      </c>
      <c r="C57" s="27" t="s">
        <v>9</v>
      </c>
      <c r="D57" s="40">
        <v>16360</v>
      </c>
      <c r="E57" s="28"/>
      <c r="F57" s="29">
        <f t="shared" si="1"/>
        <v>0</v>
      </c>
    </row>
    <row r="58" spans="1:6" ht="112.5" x14ac:dyDescent="0.25">
      <c r="A58" s="26">
        <v>52</v>
      </c>
      <c r="B58" s="25" t="s">
        <v>92</v>
      </c>
      <c r="C58" s="27" t="s">
        <v>43</v>
      </c>
      <c r="D58" s="40">
        <v>9500</v>
      </c>
      <c r="E58" s="28"/>
      <c r="F58" s="29">
        <f t="shared" si="1"/>
        <v>0</v>
      </c>
    </row>
    <row r="59" spans="1:6" ht="95.25" customHeight="1" x14ac:dyDescent="0.25">
      <c r="A59" s="26">
        <f t="shared" ref="A59:A60" si="8">SUM(A58+1)</f>
        <v>53</v>
      </c>
      <c r="B59" s="25" t="s">
        <v>93</v>
      </c>
      <c r="C59" s="27" t="s">
        <v>43</v>
      </c>
      <c r="D59" s="40">
        <v>15000</v>
      </c>
      <c r="E59" s="28"/>
      <c r="F59" s="29">
        <f t="shared" si="1"/>
        <v>0</v>
      </c>
    </row>
    <row r="60" spans="1:6" ht="108.75" x14ac:dyDescent="0.25">
      <c r="A60" s="26">
        <f t="shared" si="8"/>
        <v>54</v>
      </c>
      <c r="B60" s="25" t="s">
        <v>94</v>
      </c>
      <c r="C60" s="32" t="s">
        <v>43</v>
      </c>
      <c r="D60" s="40">
        <v>45000</v>
      </c>
      <c r="E60" s="28"/>
      <c r="F60" s="29">
        <f t="shared" si="1"/>
        <v>0</v>
      </c>
    </row>
    <row r="61" spans="1:6" ht="30" x14ac:dyDescent="0.25">
      <c r="A61" s="26">
        <v>56</v>
      </c>
      <c r="B61" s="25" t="s">
        <v>15</v>
      </c>
      <c r="C61" s="27" t="s">
        <v>10</v>
      </c>
      <c r="D61" s="40">
        <v>5000</v>
      </c>
      <c r="E61" s="28"/>
      <c r="F61" s="29">
        <f t="shared" si="1"/>
        <v>0</v>
      </c>
    </row>
    <row r="62" spans="1:6" x14ac:dyDescent="0.25">
      <c r="A62" s="26">
        <v>57</v>
      </c>
      <c r="B62" s="25" t="s">
        <v>39</v>
      </c>
      <c r="C62" s="27" t="s">
        <v>11</v>
      </c>
      <c r="D62" s="40">
        <v>115000</v>
      </c>
      <c r="E62" s="28"/>
      <c r="F62" s="29">
        <f t="shared" si="1"/>
        <v>0</v>
      </c>
    </row>
    <row r="63" spans="1:6" ht="18.75" x14ac:dyDescent="0.25">
      <c r="A63" s="35">
        <v>58</v>
      </c>
      <c r="B63" s="36" t="s">
        <v>95</v>
      </c>
      <c r="C63" s="35" t="s">
        <v>9</v>
      </c>
      <c r="D63" s="43">
        <v>7500</v>
      </c>
      <c r="E63" s="37"/>
      <c r="F63" s="29">
        <f t="shared" si="1"/>
        <v>0</v>
      </c>
    </row>
    <row r="64" spans="1:6" ht="18.75" x14ac:dyDescent="0.25">
      <c r="A64" s="35">
        <v>59</v>
      </c>
      <c r="B64" s="36" t="s">
        <v>96</v>
      </c>
      <c r="C64" s="35" t="s">
        <v>9</v>
      </c>
      <c r="D64" s="43">
        <v>7500</v>
      </c>
      <c r="E64" s="37"/>
      <c r="F64" s="29">
        <f t="shared" si="1"/>
        <v>0</v>
      </c>
    </row>
    <row r="65" spans="1:6" x14ac:dyDescent="0.25">
      <c r="A65" s="35">
        <v>60</v>
      </c>
      <c r="B65" s="36" t="s">
        <v>40</v>
      </c>
      <c r="C65" s="35" t="s">
        <v>10</v>
      </c>
      <c r="D65" s="43">
        <v>1000</v>
      </c>
      <c r="E65" s="37"/>
      <c r="F65" s="29">
        <f t="shared" si="1"/>
        <v>0</v>
      </c>
    </row>
    <row r="66" spans="1:6" x14ac:dyDescent="0.25">
      <c r="A66" s="35">
        <v>61</v>
      </c>
      <c r="B66" s="36" t="s">
        <v>41</v>
      </c>
      <c r="C66" s="35" t="s">
        <v>10</v>
      </c>
      <c r="D66" s="35">
        <v>100</v>
      </c>
      <c r="E66" s="37"/>
      <c r="F66" s="29">
        <f t="shared" si="1"/>
        <v>0</v>
      </c>
    </row>
    <row r="67" spans="1:6" x14ac:dyDescent="0.25">
      <c r="A67" s="35">
        <v>62</v>
      </c>
      <c r="B67" s="36" t="s">
        <v>42</v>
      </c>
      <c r="C67" s="35" t="s">
        <v>10</v>
      </c>
      <c r="D67" s="35">
        <v>250</v>
      </c>
      <c r="E67" s="37"/>
      <c r="F67" s="29">
        <f t="shared" si="1"/>
        <v>0</v>
      </c>
    </row>
    <row r="68" spans="1:6" ht="64.5" customHeight="1" x14ac:dyDescent="0.25">
      <c r="A68" s="27">
        <v>63</v>
      </c>
      <c r="B68" s="25" t="s">
        <v>44</v>
      </c>
      <c r="C68" s="27" t="s">
        <v>9</v>
      </c>
      <c r="D68" s="40">
        <v>25000</v>
      </c>
      <c r="E68" s="28"/>
      <c r="F68" s="29">
        <f t="shared" si="1"/>
        <v>0</v>
      </c>
    </row>
    <row r="69" spans="1:6" ht="21" x14ac:dyDescent="0.25">
      <c r="A69" s="67" t="s">
        <v>58</v>
      </c>
      <c r="B69" s="68"/>
      <c r="C69" s="68"/>
      <c r="D69" s="68"/>
      <c r="E69" s="68"/>
      <c r="F69" s="69"/>
    </row>
    <row r="70" spans="1:6" x14ac:dyDescent="0.25">
      <c r="A70" s="44" t="s">
        <v>12</v>
      </c>
      <c r="B70" s="45"/>
      <c r="C70" s="46" t="s">
        <v>13</v>
      </c>
      <c r="D70" s="47"/>
      <c r="E70" s="48" t="s">
        <v>14</v>
      </c>
      <c r="F70" s="49"/>
    </row>
    <row r="71" spans="1:6" x14ac:dyDescent="0.25">
      <c r="A71" s="50" t="s">
        <v>31</v>
      </c>
      <c r="B71" s="51"/>
      <c r="C71" s="52">
        <v>2026</v>
      </c>
      <c r="D71" s="53"/>
      <c r="E71" s="54" t="s">
        <v>46</v>
      </c>
      <c r="F71" s="55"/>
    </row>
    <row r="72" spans="1:6" ht="51" customHeight="1" x14ac:dyDescent="0.25">
      <c r="A72" s="70" t="s">
        <v>47</v>
      </c>
      <c r="B72" s="70"/>
      <c r="C72" s="70"/>
      <c r="D72" s="70"/>
      <c r="E72" s="70"/>
      <c r="F72" s="80"/>
    </row>
    <row r="73" spans="1:6" s="79" customFormat="1" ht="61.5" customHeight="1" x14ac:dyDescent="0.25">
      <c r="A73" s="78" t="s">
        <v>108</v>
      </c>
      <c r="B73" s="78"/>
      <c r="C73" s="78"/>
      <c r="D73" s="78"/>
      <c r="E73" s="78"/>
      <c r="F73" s="81"/>
    </row>
    <row r="74" spans="1:6" x14ac:dyDescent="0.25">
      <c r="A74" s="56"/>
      <c r="B74" s="57"/>
      <c r="C74" s="56" t="s">
        <v>8</v>
      </c>
      <c r="D74" s="56" t="s">
        <v>4</v>
      </c>
      <c r="E74" s="58" t="s">
        <v>6</v>
      </c>
      <c r="F74" s="59"/>
    </row>
    <row r="75" spans="1:6" x14ac:dyDescent="0.25">
      <c r="A75" s="60" t="s">
        <v>0</v>
      </c>
      <c r="B75" s="61" t="s">
        <v>1</v>
      </c>
      <c r="C75" s="60" t="s">
        <v>3</v>
      </c>
      <c r="D75" s="60" t="s">
        <v>5</v>
      </c>
      <c r="E75" s="62" t="s">
        <v>7</v>
      </c>
      <c r="F75" s="63" t="s">
        <v>2</v>
      </c>
    </row>
    <row r="76" spans="1:6" ht="90" x14ac:dyDescent="0.25">
      <c r="A76" s="26">
        <v>1</v>
      </c>
      <c r="B76" s="25" t="s">
        <v>48</v>
      </c>
      <c r="C76" s="27" t="s">
        <v>11</v>
      </c>
      <c r="D76" s="40">
        <v>1216</v>
      </c>
      <c r="E76" s="28"/>
      <c r="F76" s="29">
        <f t="shared" ref="F76" si="9">SUM(D76*E76)</f>
        <v>0</v>
      </c>
    </row>
    <row r="77" spans="1:6" ht="105" x14ac:dyDescent="0.25">
      <c r="A77" s="26">
        <f>SUM(A76+1)</f>
        <v>2</v>
      </c>
      <c r="B77" s="25" t="s">
        <v>49</v>
      </c>
      <c r="C77" s="27" t="s">
        <v>11</v>
      </c>
      <c r="D77" s="40">
        <v>1136</v>
      </c>
      <c r="E77" s="28"/>
      <c r="F77" s="82"/>
    </row>
    <row r="78" spans="1:6" ht="90" x14ac:dyDescent="0.25">
      <c r="A78" s="26">
        <f t="shared" ref="A78:A96" si="10">SUM(A77+1)</f>
        <v>3</v>
      </c>
      <c r="B78" s="64" t="s">
        <v>50</v>
      </c>
      <c r="C78" s="27" t="s">
        <v>11</v>
      </c>
      <c r="D78" s="40">
        <v>1416</v>
      </c>
      <c r="E78" s="28"/>
      <c r="F78" s="29">
        <f t="shared" ref="F78:F96" si="11">SUM(D77*E77)</f>
        <v>0</v>
      </c>
    </row>
    <row r="79" spans="1:6" ht="105" x14ac:dyDescent="0.25">
      <c r="A79" s="26">
        <v>4</v>
      </c>
      <c r="B79" s="25" t="s">
        <v>51</v>
      </c>
      <c r="C79" s="27" t="s">
        <v>11</v>
      </c>
      <c r="D79" s="27">
        <v>588</v>
      </c>
      <c r="E79" s="28"/>
      <c r="F79" s="29">
        <f t="shared" si="11"/>
        <v>0</v>
      </c>
    </row>
    <row r="80" spans="1:6" ht="135" x14ac:dyDescent="0.25">
      <c r="A80" s="26">
        <f t="shared" si="10"/>
        <v>5</v>
      </c>
      <c r="B80" s="25" t="s">
        <v>52</v>
      </c>
      <c r="C80" s="27" t="s">
        <v>11</v>
      </c>
      <c r="D80" s="27">
        <v>976</v>
      </c>
      <c r="E80" s="28"/>
      <c r="F80" s="29">
        <f t="shared" si="11"/>
        <v>0</v>
      </c>
    </row>
    <row r="81" spans="1:6" ht="105" x14ac:dyDescent="0.25">
      <c r="A81" s="26">
        <f t="shared" si="10"/>
        <v>6</v>
      </c>
      <c r="B81" s="64" t="s">
        <v>53</v>
      </c>
      <c r="C81" s="27" t="s">
        <v>11</v>
      </c>
      <c r="D81" s="27">
        <v>832</v>
      </c>
      <c r="E81" s="28"/>
      <c r="F81" s="29">
        <f t="shared" si="11"/>
        <v>0</v>
      </c>
    </row>
    <row r="82" spans="1:6" ht="135" x14ac:dyDescent="0.25">
      <c r="A82" s="26">
        <f t="shared" si="10"/>
        <v>7</v>
      </c>
      <c r="B82" s="25" t="s">
        <v>54</v>
      </c>
      <c r="C82" s="27" t="s">
        <v>11</v>
      </c>
      <c r="D82" s="40">
        <v>1744</v>
      </c>
      <c r="E82" s="28"/>
      <c r="F82" s="29">
        <f t="shared" si="11"/>
        <v>0</v>
      </c>
    </row>
    <row r="83" spans="1:6" ht="105" x14ac:dyDescent="0.25">
      <c r="A83" s="26">
        <f t="shared" si="10"/>
        <v>8</v>
      </c>
      <c r="B83" s="25" t="s">
        <v>55</v>
      </c>
      <c r="C83" s="27" t="s">
        <v>11</v>
      </c>
      <c r="D83" s="27">
        <v>324</v>
      </c>
      <c r="E83" s="28"/>
      <c r="F83" s="29">
        <f t="shared" si="11"/>
        <v>0</v>
      </c>
    </row>
    <row r="84" spans="1:6" ht="60" x14ac:dyDescent="0.25">
      <c r="A84" s="26">
        <v>9</v>
      </c>
      <c r="B84" s="25" t="s">
        <v>56</v>
      </c>
      <c r="C84" s="27" t="s">
        <v>11</v>
      </c>
      <c r="D84" s="27">
        <v>24</v>
      </c>
      <c r="E84" s="28"/>
      <c r="F84" s="29">
        <f t="shared" si="11"/>
        <v>0</v>
      </c>
    </row>
    <row r="85" spans="1:6" ht="93" customHeight="1" x14ac:dyDescent="0.25">
      <c r="A85" s="26">
        <v>10</v>
      </c>
      <c r="B85" s="25" t="s">
        <v>97</v>
      </c>
      <c r="C85" s="27" t="s">
        <v>11</v>
      </c>
      <c r="D85" s="40">
        <v>220</v>
      </c>
      <c r="E85" s="28"/>
      <c r="F85" s="29">
        <f>SUM(D96*E96)</f>
        <v>0</v>
      </c>
    </row>
    <row r="86" spans="1:6" ht="45" x14ac:dyDescent="0.25">
      <c r="A86" s="26">
        <v>11</v>
      </c>
      <c r="B86" s="25" t="s">
        <v>57</v>
      </c>
      <c r="C86" s="27" t="s">
        <v>11</v>
      </c>
      <c r="D86" s="40">
        <v>2280</v>
      </c>
      <c r="E86" s="28"/>
      <c r="F86" s="29">
        <f>SUM(D84*E84)</f>
        <v>0</v>
      </c>
    </row>
    <row r="87" spans="1:6" ht="78.75" x14ac:dyDescent="0.25">
      <c r="A87" s="26">
        <f t="shared" si="10"/>
        <v>12</v>
      </c>
      <c r="B87" s="25" t="s">
        <v>98</v>
      </c>
      <c r="C87" s="27" t="s">
        <v>11</v>
      </c>
      <c r="D87" s="65">
        <v>4800</v>
      </c>
      <c r="E87" s="28"/>
      <c r="F87" s="29">
        <f t="shared" si="11"/>
        <v>0</v>
      </c>
    </row>
    <row r="88" spans="1:6" ht="67.5" x14ac:dyDescent="0.25">
      <c r="A88" s="26">
        <f t="shared" si="10"/>
        <v>13</v>
      </c>
      <c r="B88" s="25" t="s">
        <v>99</v>
      </c>
      <c r="C88" s="27" t="s">
        <v>11</v>
      </c>
      <c r="D88" s="65">
        <v>1440</v>
      </c>
      <c r="E88" s="28"/>
      <c r="F88" s="29">
        <f t="shared" si="11"/>
        <v>0</v>
      </c>
    </row>
    <row r="89" spans="1:6" ht="82.5" customHeight="1" x14ac:dyDescent="0.25">
      <c r="A89" s="26">
        <f t="shared" si="10"/>
        <v>14</v>
      </c>
      <c r="B89" s="25" t="s">
        <v>100</v>
      </c>
      <c r="C89" s="27" t="s">
        <v>11</v>
      </c>
      <c r="D89" s="40">
        <v>25186</v>
      </c>
      <c r="E89" s="28"/>
      <c r="F89" s="29">
        <f t="shared" si="11"/>
        <v>0</v>
      </c>
    </row>
    <row r="90" spans="1:6" ht="52.5" x14ac:dyDescent="0.25">
      <c r="A90" s="26">
        <f t="shared" si="10"/>
        <v>15</v>
      </c>
      <c r="B90" s="66" t="s">
        <v>101</v>
      </c>
      <c r="C90" s="27" t="s">
        <v>11</v>
      </c>
      <c r="D90" s="40">
        <v>8000</v>
      </c>
      <c r="E90" s="28"/>
      <c r="F90" s="29">
        <f t="shared" si="11"/>
        <v>0</v>
      </c>
    </row>
    <row r="91" spans="1:6" ht="52.5" x14ac:dyDescent="0.25">
      <c r="A91" s="26">
        <f t="shared" si="10"/>
        <v>16</v>
      </c>
      <c r="B91" s="25" t="s">
        <v>102</v>
      </c>
      <c r="C91" s="27" t="s">
        <v>11</v>
      </c>
      <c r="D91" s="40">
        <v>8000</v>
      </c>
      <c r="E91" s="28"/>
      <c r="F91" s="29">
        <f t="shared" si="11"/>
        <v>0</v>
      </c>
    </row>
    <row r="92" spans="1:6" ht="78.75" x14ac:dyDescent="0.25">
      <c r="A92" s="26">
        <v>16</v>
      </c>
      <c r="B92" s="25" t="s">
        <v>103</v>
      </c>
      <c r="C92" s="27" t="s">
        <v>11</v>
      </c>
      <c r="D92" s="40">
        <v>6000</v>
      </c>
      <c r="E92" s="28"/>
      <c r="F92" s="29">
        <f t="shared" si="11"/>
        <v>0</v>
      </c>
    </row>
    <row r="93" spans="1:6" ht="63.75" x14ac:dyDescent="0.25">
      <c r="A93" s="26">
        <f t="shared" si="10"/>
        <v>17</v>
      </c>
      <c r="B93" s="25" t="s">
        <v>104</v>
      </c>
      <c r="C93" s="27" t="s">
        <v>11</v>
      </c>
      <c r="D93" s="40">
        <v>15000</v>
      </c>
      <c r="E93" s="28"/>
      <c r="F93" s="29">
        <f t="shared" si="11"/>
        <v>0</v>
      </c>
    </row>
    <row r="94" spans="1:6" ht="60" x14ac:dyDescent="0.25">
      <c r="A94" s="26">
        <v>18</v>
      </c>
      <c r="B94" s="25" t="s">
        <v>107</v>
      </c>
      <c r="C94" s="27" t="s">
        <v>11</v>
      </c>
      <c r="D94" s="40">
        <v>20000</v>
      </c>
      <c r="E94" s="28"/>
      <c r="F94" s="29">
        <f t="shared" si="11"/>
        <v>0</v>
      </c>
    </row>
    <row r="95" spans="1:6" ht="70.5" customHeight="1" x14ac:dyDescent="0.25">
      <c r="A95" s="26">
        <v>19</v>
      </c>
      <c r="B95" s="25" t="s">
        <v>105</v>
      </c>
      <c r="C95" s="27" t="s">
        <v>11</v>
      </c>
      <c r="D95" s="40">
        <v>50000</v>
      </c>
      <c r="E95" s="28"/>
      <c r="F95" s="29">
        <f t="shared" si="11"/>
        <v>0</v>
      </c>
    </row>
    <row r="96" spans="1:6" ht="48.75" x14ac:dyDescent="0.25">
      <c r="A96" s="26">
        <f t="shared" si="10"/>
        <v>20</v>
      </c>
      <c r="B96" s="25" t="s">
        <v>106</v>
      </c>
      <c r="C96" s="27" t="s">
        <v>11</v>
      </c>
      <c r="D96" s="40">
        <v>250000</v>
      </c>
      <c r="E96" s="28"/>
      <c r="F96" s="29">
        <f t="shared" si="11"/>
        <v>0</v>
      </c>
    </row>
  </sheetData>
  <mergeCells count="4">
    <mergeCell ref="A69:F69"/>
    <mergeCell ref="A72:F72"/>
    <mergeCell ref="A3:F3"/>
    <mergeCell ref="A73:F73"/>
  </mergeCells>
  <pageMargins left="0.45" right="0.45" top="0.67708333333333304" bottom="0.1875" header="0.3" footer="0.15"/>
  <pageSetup scale="93" fitToHeight="0" orientation="landscape" r:id="rId1"/>
  <headerFooter>
    <oddHeader xml:space="preserve">&amp;C&amp;"-,Bold"&amp;14NATIONAL MENU SPECIFICATIONS QUOTE SHEET&amp;"-,Regular"&amp;11
</oddHeader>
    <oddFooter>&amp;CPage &amp;P of &amp;N&amp;RMAR 2026</oddFooter>
  </headerFooter>
  <rowBreaks count="6" manualBreakCount="6">
    <brk id="28" max="5" man="1"/>
    <brk id="41" max="5" man="1"/>
    <brk id="42" max="5" man="1"/>
    <brk id="46" max="5" man="1"/>
    <brk id="56" max="5" man="1"/>
    <brk id="61"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Specifications</vt:lpstr>
      <vt:lpstr>Specifications!Print_Area</vt:lpstr>
      <vt:lpstr>Specifications!Print_Titles</vt:lpstr>
    </vt:vector>
  </TitlesOfParts>
  <Company>Federal Bureau Of Prisons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Tate, Carlos (BOP)</cp:lastModifiedBy>
  <cp:lastPrinted>2026-04-27T17:02:44Z</cp:lastPrinted>
  <dcterms:created xsi:type="dcterms:W3CDTF">2016-02-25T18:36:59Z</dcterms:created>
  <dcterms:modified xsi:type="dcterms:W3CDTF">2026-05-08T17:22:12Z</dcterms:modified>
</cp:coreProperties>
</file>