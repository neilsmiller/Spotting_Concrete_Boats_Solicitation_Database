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oimspp-my.sharepoint.com/personal/dlarnold_ios_doi_gov/Documents/FY 26 - Dana's PR Files/0044044897 UT - Bear River Migratory Bird Refuge -  HVAC Blanket Purchase Agreement/"/>
    </mc:Choice>
  </mc:AlternateContent>
  <xr:revisionPtr revIDLastSave="147" documentId="13_ncr:1_{CB0A2087-869E-4E4E-AEF2-3FA854121BBC}" xr6:coauthVersionLast="47" xr6:coauthVersionMax="47" xr10:uidLastSave="{85A4CE28-82E1-4B29-8BB7-55A9168DE918}"/>
  <bookViews>
    <workbookView xWindow="28680" yWindow="-120" windowWidth="29040" windowHeight="15720" xr2:uid="{00000000-000D-0000-FFFF-FFFF00000000}"/>
  </bookViews>
  <sheets>
    <sheet name="Sheet1" sheetId="1" r:id="rId1"/>
  </sheets>
  <definedNames>
    <definedName name="_xlnm.Print_Area" localSheetId="0">Sheet1!$A$1:$H$13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1" l="1"/>
  <c r="H10" i="1"/>
  <c r="H9" i="1"/>
  <c r="H8" i="1"/>
  <c r="H7" i="1"/>
  <c r="H6" i="1"/>
  <c r="D11" i="1"/>
  <c r="H11" i="1" l="1"/>
  <c r="H12" i="1" s="1"/>
</calcChain>
</file>

<file path=xl/sharedStrings.xml><?xml version="1.0" encoding="utf-8"?>
<sst xmlns="http://schemas.openxmlformats.org/spreadsheetml/2006/main" count="45" uniqueCount="36">
  <si>
    <t>COMPANY NAME:</t>
  </si>
  <si>
    <t>DATE:</t>
  </si>
  <si>
    <t>CLIN</t>
  </si>
  <si>
    <t>DESCRIPTION</t>
  </si>
  <si>
    <t>Period of Performance</t>
  </si>
  <si>
    <t>QTY</t>
  </si>
  <si>
    <t>UNIT</t>
  </si>
  <si>
    <t>UNIT PRICE</t>
  </si>
  <si>
    <t>MULTIPLIER</t>
  </si>
  <si>
    <t>NET CLIN PRICE</t>
  </si>
  <si>
    <t>00010</t>
  </si>
  <si>
    <t>00020</t>
  </si>
  <si>
    <t>00030</t>
  </si>
  <si>
    <t>00040</t>
  </si>
  <si>
    <t>00050</t>
  </si>
  <si>
    <t>No CLIN</t>
  </si>
  <si>
    <t>Six Month Extension of Services, to be evaluated by the Government based on Option Year 4 pricing</t>
  </si>
  <si>
    <t>QUOTER'S TOTAL EVALUATED PRICE:</t>
  </si>
  <si>
    <t xml:space="preserve">PLEASE FILL IN ONLY THE ORANGE CELLS. </t>
  </si>
  <si>
    <r>
      <rPr>
        <b/>
        <sz val="11"/>
        <color theme="1"/>
        <rFont val="Times New Roman"/>
        <family val="1"/>
      </rPr>
      <t xml:space="preserve">Instructions: </t>
    </r>
    <r>
      <rPr>
        <b/>
        <u/>
        <sz val="11"/>
        <color theme="1"/>
        <rFont val="Times New Roman"/>
        <family val="1"/>
      </rPr>
      <t>Fill in ONLY orange cells</t>
    </r>
    <r>
      <rPr>
        <sz val="11"/>
        <color theme="1"/>
        <rFont val="Times New Roman"/>
        <family val="1"/>
      </rPr>
      <t>: company name, date, amendment number (if any), SAM UEI and CAGE, and unit prices (in whole dollar amounts). 
Total Evaluated Price (TEP) will include the optional six month extension IAW FAR 52.217-8, which will be evaluated IAW FAR 52.212-2(b) as detailed in the RFQ. Net Prices TEP will calculate based on Unit Prices quoted.</t>
    </r>
  </si>
  <si>
    <t>SAM UNIQUE ENTITY IDENTIFIER (UEI) #:</t>
  </si>
  <si>
    <t>Preventive maintenance of HVAC systems in
accordance with the attached statement of work</t>
  </si>
  <si>
    <t xml:space="preserve"> Preventive maintenance of HVAC systems in
accordance with the attached statement of work
(Option year 2)</t>
  </si>
  <si>
    <t>Preventive maintenance of HVAC systems in
accordance with the attached statement of work
(Option year 3)</t>
  </si>
  <si>
    <t>Preventive maintenance of HVAC systems in
accordance with the attached statement of work
(Option year 4)</t>
  </si>
  <si>
    <t>Option Year 1 (Preventive maintenance of HVAC systems in
accordance with the attached statement of work
(Option year 1)</t>
  </si>
  <si>
    <t>07/01/2031 to 02/01/2032</t>
  </si>
  <si>
    <t>07/01/2026 to 06/30/2027</t>
  </si>
  <si>
    <t>07/01/2027 to 06/30/2028</t>
  </si>
  <si>
    <t>07/01/2028 to 06/30/2029</t>
  </si>
  <si>
    <t>07/01/2029 to 06/30/2030</t>
  </si>
  <si>
    <t>07/01/2030 to 06/30/2031</t>
  </si>
  <si>
    <t>SOLICITATION NUMBER: 140FS226Q0103
UT - Bear River Migratory Bird Refuge -  Preventive Maintenance – HVAC Systems - Base Period with up to 4 Option Years
ATTACHMENT #2 - PRICING SCHEDULE WORKSHEET</t>
  </si>
  <si>
    <t>Maintenance Visit</t>
  </si>
  <si>
    <t>x  4  =</t>
  </si>
  <si>
    <t>x  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</si>
</sst>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9" x14ac:knownFonts="1">
    <font>
      <sz val="11"/>
      <color theme="1"/>
      <name val="Calibri"/>
      <family val="2"/>
      <scheme val="minor"/>
    </font>
    <font>
      <sz val="10"/>
      <color theme="1"/>
      <name val="Times New Roman"/>
      <family val="1"/>
    </font>
    <font>
      <sz val="11"/>
      <color theme="1"/>
      <name val="Times New Roman"/>
      <family val="1"/>
    </font>
    <font>
      <b/>
      <sz val="12"/>
      <color theme="1"/>
      <name val="Times New Roman"/>
      <family val="1"/>
    </font>
    <font>
      <b/>
      <sz val="11"/>
      <color theme="1"/>
      <name val="Times New Roman"/>
      <family val="1"/>
    </font>
    <font>
      <b/>
      <sz val="14"/>
      <color theme="1"/>
      <name val="Times New Roman"/>
      <family val="1"/>
    </font>
    <font>
      <sz val="8"/>
      <name val="Calibri"/>
      <family val="2"/>
      <scheme val="minor"/>
    </font>
    <font>
      <b/>
      <u/>
      <sz val="11"/>
      <color theme="1"/>
      <name val="Times New Roman"/>
      <family val="1"/>
    </font>
    <font>
      <b/>
      <sz val="12"/>
      <color rgb="FFFF0000"/>
      <name val="Times New Roman"/>
      <family val="1"/>
    </font>
  </fonts>
  <fills count="6">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0" tint="-0.34998626667073579"/>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1">
    <xf numFmtId="0" fontId="0" fillId="0" borderId="0"/>
  </cellStyleXfs>
  <cellXfs count="43">
    <xf numFmtId="0" fontId="0" fillId="0" borderId="0" xfId="0"/>
    <xf numFmtId="0" fontId="1" fillId="0" borderId="0" xfId="0" applyFont="1" applyAlignment="1">
      <alignment wrapText="1"/>
    </xf>
    <xf numFmtId="49" fontId="1" fillId="0" borderId="0" xfId="0" applyNumberFormat="1" applyFont="1" applyAlignment="1">
      <alignment wrapText="1"/>
    </xf>
    <xf numFmtId="49" fontId="2" fillId="2" borderId="5" xfId="0" applyNumberFormat="1" applyFont="1" applyFill="1" applyBorder="1" applyAlignment="1">
      <alignment wrapText="1"/>
    </xf>
    <xf numFmtId="0" fontId="2" fillId="2" borderId="1" xfId="0" applyFont="1" applyFill="1" applyBorder="1" applyAlignment="1">
      <alignment wrapText="1"/>
    </xf>
    <xf numFmtId="0" fontId="2" fillId="2" borderId="8" xfId="0" applyFont="1" applyFill="1" applyBorder="1" applyAlignment="1">
      <alignment wrapText="1"/>
    </xf>
    <xf numFmtId="164" fontId="2" fillId="2" borderId="1" xfId="0" applyNumberFormat="1" applyFont="1" applyFill="1" applyBorder="1" applyAlignment="1">
      <alignment horizontal="right" wrapText="1"/>
    </xf>
    <xf numFmtId="0" fontId="2" fillId="2" borderId="1" xfId="0" applyFont="1" applyFill="1" applyBorder="1" applyAlignment="1">
      <alignment horizontal="right" wrapText="1"/>
    </xf>
    <xf numFmtId="49" fontId="2" fillId="2" borderId="1" xfId="0" applyNumberFormat="1" applyFont="1" applyFill="1" applyBorder="1" applyAlignment="1">
      <alignment wrapText="1"/>
    </xf>
    <xf numFmtId="164" fontId="3" fillId="2" borderId="6" xfId="0" applyNumberFormat="1" applyFont="1" applyFill="1" applyBorder="1" applyAlignment="1">
      <alignment wrapText="1"/>
    </xf>
    <xf numFmtId="49" fontId="3" fillId="3" borderId="4" xfId="0" applyNumberFormat="1" applyFont="1" applyFill="1" applyBorder="1" applyAlignment="1">
      <alignment horizontal="center" wrapText="1"/>
    </xf>
    <xf numFmtId="164" fontId="2" fillId="3" borderId="1" xfId="0" applyNumberFormat="1" applyFont="1" applyFill="1" applyBorder="1" applyAlignment="1">
      <alignment horizontal="right" wrapText="1"/>
    </xf>
    <xf numFmtId="49" fontId="3" fillId="2" borderId="7" xfId="0" applyNumberFormat="1" applyFont="1" applyFill="1" applyBorder="1" applyAlignment="1">
      <alignment horizontal="right" wrapText="1"/>
    </xf>
    <xf numFmtId="49" fontId="4" fillId="5" borderId="5" xfId="0" applyNumberFormat="1" applyFont="1" applyFill="1" applyBorder="1" applyAlignment="1">
      <alignment wrapText="1"/>
    </xf>
    <xf numFmtId="0" fontId="4" fillId="5" borderId="1" xfId="0" applyFont="1" applyFill="1" applyBorder="1" applyAlignment="1">
      <alignment wrapText="1"/>
    </xf>
    <xf numFmtId="0" fontId="4" fillId="5" borderId="8" xfId="0" applyFont="1" applyFill="1" applyBorder="1" applyAlignment="1">
      <alignment horizontal="center" wrapText="1"/>
    </xf>
    <xf numFmtId="0" fontId="4" fillId="5" borderId="1" xfId="0" applyFont="1" applyFill="1" applyBorder="1" applyAlignment="1">
      <alignment horizontal="right" wrapText="1"/>
    </xf>
    <xf numFmtId="49" fontId="3" fillId="2" borderId="3" xfId="0" applyNumberFormat="1" applyFont="1" applyFill="1" applyBorder="1" applyAlignment="1">
      <alignment horizontal="center" wrapText="1"/>
    </xf>
    <xf numFmtId="49" fontId="3" fillId="2" borderId="15" xfId="0" applyNumberFormat="1" applyFont="1" applyFill="1" applyBorder="1" applyAlignment="1">
      <alignment wrapText="1"/>
    </xf>
    <xf numFmtId="49" fontId="3" fillId="0" borderId="6" xfId="0" applyNumberFormat="1" applyFont="1" applyBorder="1" applyAlignment="1">
      <alignment horizontal="center" wrapText="1"/>
    </xf>
    <xf numFmtId="0" fontId="3" fillId="2" borderId="15" xfId="0" applyFont="1" applyFill="1" applyBorder="1" applyAlignment="1">
      <alignment horizontal="right" wrapText="1"/>
    </xf>
    <xf numFmtId="0" fontId="3" fillId="2" borderId="16" xfId="0" applyFont="1" applyFill="1" applyBorder="1" applyAlignment="1">
      <alignment horizontal="right" wrapText="1"/>
    </xf>
    <xf numFmtId="0" fontId="3" fillId="2" borderId="21" xfId="0" applyFont="1" applyFill="1" applyBorder="1" applyAlignment="1">
      <alignment horizontal="right" wrapText="1"/>
    </xf>
    <xf numFmtId="0" fontId="3" fillId="2" borderId="17" xfId="0" applyFont="1" applyFill="1" applyBorder="1" applyAlignment="1">
      <alignment horizontal="right" wrapText="1"/>
    </xf>
    <xf numFmtId="49" fontId="5" fillId="4" borderId="18" xfId="0" applyNumberFormat="1" applyFont="1" applyFill="1" applyBorder="1" applyAlignment="1">
      <alignment horizontal="center" wrapText="1"/>
    </xf>
    <xf numFmtId="49" fontId="5" fillId="4" borderId="19" xfId="0" applyNumberFormat="1" applyFont="1" applyFill="1" applyBorder="1" applyAlignment="1">
      <alignment horizontal="center" wrapText="1"/>
    </xf>
    <xf numFmtId="49" fontId="5" fillId="4" borderId="20" xfId="0" applyNumberFormat="1" applyFont="1" applyFill="1" applyBorder="1" applyAlignment="1">
      <alignment horizontal="center" wrapText="1"/>
    </xf>
    <xf numFmtId="49" fontId="3" fillId="2" borderId="2" xfId="0" applyNumberFormat="1" applyFont="1" applyFill="1" applyBorder="1" applyAlignment="1">
      <alignment horizontal="right" wrapText="1"/>
    </xf>
    <xf numFmtId="49" fontId="3" fillId="2" borderId="3" xfId="0" applyNumberFormat="1" applyFont="1" applyFill="1" applyBorder="1" applyAlignment="1">
      <alignment horizontal="right" wrapText="1"/>
    </xf>
    <xf numFmtId="49" fontId="5" fillId="2" borderId="11" xfId="0" applyNumberFormat="1" applyFont="1" applyFill="1" applyBorder="1" applyAlignment="1">
      <alignment horizontal="center" vertical="center" wrapText="1"/>
    </xf>
    <xf numFmtId="49" fontId="5" fillId="2" borderId="12" xfId="0" applyNumberFormat="1" applyFont="1" applyFill="1" applyBorder="1" applyAlignment="1">
      <alignment horizontal="center" vertical="center" wrapText="1"/>
    </xf>
    <xf numFmtId="49" fontId="5" fillId="2" borderId="13" xfId="0" applyNumberFormat="1" applyFont="1" applyFill="1" applyBorder="1" applyAlignment="1">
      <alignment horizontal="center" vertical="center" wrapText="1"/>
    </xf>
    <xf numFmtId="49" fontId="2" fillId="2" borderId="9" xfId="0" applyNumberFormat="1" applyFont="1" applyFill="1" applyBorder="1" applyAlignment="1">
      <alignment horizontal="left" wrapText="1"/>
    </xf>
    <xf numFmtId="49" fontId="2" fillId="2" borderId="10" xfId="0" applyNumberFormat="1" applyFont="1" applyFill="1" applyBorder="1" applyAlignment="1">
      <alignment horizontal="left" wrapText="1"/>
    </xf>
    <xf numFmtId="49" fontId="2" fillId="2" borderId="14" xfId="0" applyNumberFormat="1" applyFont="1" applyFill="1" applyBorder="1" applyAlignment="1">
      <alignment horizontal="left" wrapText="1"/>
    </xf>
    <xf numFmtId="49" fontId="3" fillId="3" borderId="7" xfId="0" applyNumberFormat="1" applyFont="1" applyFill="1" applyBorder="1" applyAlignment="1">
      <alignment horizontal="center" wrapText="1"/>
    </xf>
    <xf numFmtId="49" fontId="3" fillId="2" borderId="22" xfId="0" applyNumberFormat="1" applyFont="1" applyFill="1" applyBorder="1" applyAlignment="1">
      <alignment horizontal="center" wrapText="1"/>
    </xf>
    <xf numFmtId="49" fontId="3" fillId="2" borderId="23" xfId="0" applyNumberFormat="1" applyFont="1" applyFill="1" applyBorder="1" applyAlignment="1">
      <alignment horizontal="center" wrapText="1"/>
    </xf>
    <xf numFmtId="49" fontId="8" fillId="3" borderId="22" xfId="0" applyNumberFormat="1" applyFont="1" applyFill="1" applyBorder="1" applyAlignment="1">
      <alignment horizontal="center" wrapText="1"/>
    </xf>
    <xf numFmtId="49" fontId="8" fillId="3" borderId="23" xfId="0" applyNumberFormat="1" applyFont="1" applyFill="1" applyBorder="1" applyAlignment="1">
      <alignment horizontal="center" wrapText="1"/>
    </xf>
    <xf numFmtId="49" fontId="3" fillId="2" borderId="16" xfId="0" applyNumberFormat="1" applyFont="1" applyFill="1" applyBorder="1" applyAlignment="1">
      <alignment horizontal="right" wrapText="1"/>
    </xf>
    <xf numFmtId="49" fontId="3" fillId="2" borderId="17" xfId="0" applyNumberFormat="1" applyFont="1" applyFill="1" applyBorder="1" applyAlignment="1">
      <alignment horizontal="right" wrapText="1"/>
    </xf>
    <xf numFmtId="0" fontId="2" fillId="2" borderId="8"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3"/>
  <sheetViews>
    <sheetView tabSelected="1" zoomScaleNormal="100" workbookViewId="0">
      <selection activeCell="F6" sqref="F6"/>
    </sheetView>
  </sheetViews>
  <sheetFormatPr defaultColWidth="9.140625" defaultRowHeight="12.75" x14ac:dyDescent="0.2"/>
  <cols>
    <col min="1" max="1" width="6.85546875" style="2" customWidth="1"/>
    <col min="2" max="2" width="55" style="1" customWidth="1"/>
    <col min="3" max="3" width="27.140625" style="1" customWidth="1"/>
    <col min="4" max="4" width="11.85546875" style="1" customWidth="1"/>
    <col min="5" max="5" width="25.28515625" style="1" customWidth="1"/>
    <col min="6" max="6" width="16.28515625" style="1" customWidth="1"/>
    <col min="7" max="7" width="18.28515625" style="1" customWidth="1"/>
    <col min="8" max="8" width="14.7109375" style="1" customWidth="1"/>
    <col min="9" max="16384" width="9.140625" style="1"/>
  </cols>
  <sheetData>
    <row r="1" spans="1:8" ht="60.75" customHeight="1" thickBot="1" x14ac:dyDescent="0.25">
      <c r="A1" s="29" t="s">
        <v>32</v>
      </c>
      <c r="B1" s="30"/>
      <c r="C1" s="30"/>
      <c r="D1" s="30"/>
      <c r="E1" s="30"/>
      <c r="F1" s="30"/>
      <c r="G1" s="30"/>
      <c r="H1" s="31"/>
    </row>
    <row r="2" spans="1:8" ht="15.75" customHeight="1" x14ac:dyDescent="0.25">
      <c r="A2" s="27"/>
      <c r="B2" s="28"/>
      <c r="C2" s="36" t="s">
        <v>0</v>
      </c>
      <c r="D2" s="37"/>
      <c r="E2" s="38"/>
      <c r="F2" s="39"/>
      <c r="G2" s="17" t="s">
        <v>1</v>
      </c>
      <c r="H2" s="10"/>
    </row>
    <row r="3" spans="1:8" ht="16.5" customHeight="1" thickBot="1" x14ac:dyDescent="0.3">
      <c r="A3" s="18"/>
      <c r="B3" s="40" t="s">
        <v>20</v>
      </c>
      <c r="C3" s="40"/>
      <c r="D3" s="41"/>
      <c r="E3" s="35"/>
      <c r="F3" s="35"/>
      <c r="G3" s="12"/>
      <c r="H3" s="19"/>
    </row>
    <row r="4" spans="1:8" ht="57.75" customHeight="1" x14ac:dyDescent="0.25">
      <c r="A4" s="32" t="s">
        <v>19</v>
      </c>
      <c r="B4" s="33"/>
      <c r="C4" s="33"/>
      <c r="D4" s="33"/>
      <c r="E4" s="33"/>
      <c r="F4" s="33"/>
      <c r="G4" s="33"/>
      <c r="H4" s="34"/>
    </row>
    <row r="5" spans="1:8" ht="73.5" customHeight="1" x14ac:dyDescent="0.2">
      <c r="A5" s="13" t="s">
        <v>2</v>
      </c>
      <c r="B5" s="14" t="s">
        <v>3</v>
      </c>
      <c r="C5" s="14" t="s">
        <v>4</v>
      </c>
      <c r="D5" s="15" t="s">
        <v>5</v>
      </c>
      <c r="E5" s="16" t="s">
        <v>6</v>
      </c>
      <c r="F5" s="16" t="s">
        <v>7</v>
      </c>
      <c r="G5" s="16" t="s">
        <v>8</v>
      </c>
      <c r="H5" s="16" t="s">
        <v>9</v>
      </c>
    </row>
    <row r="6" spans="1:8" ht="53.25" customHeight="1" x14ac:dyDescent="0.25">
      <c r="A6" s="3" t="s">
        <v>10</v>
      </c>
      <c r="B6" s="4" t="s">
        <v>21</v>
      </c>
      <c r="C6" s="42" t="s">
        <v>27</v>
      </c>
      <c r="D6" s="4">
        <v>4</v>
      </c>
      <c r="E6" s="7" t="s">
        <v>33</v>
      </c>
      <c r="F6" s="11"/>
      <c r="G6" s="7" t="s">
        <v>34</v>
      </c>
      <c r="H6" s="6">
        <f t="shared" ref="H6:H11" si="0">F6*D6</f>
        <v>0</v>
      </c>
    </row>
    <row r="7" spans="1:8" ht="55.5" customHeight="1" x14ac:dyDescent="0.25">
      <c r="A7" s="3" t="s">
        <v>11</v>
      </c>
      <c r="B7" s="4" t="s">
        <v>25</v>
      </c>
      <c r="C7" s="42" t="s">
        <v>28</v>
      </c>
      <c r="D7" s="4">
        <v>4</v>
      </c>
      <c r="E7" s="7" t="s">
        <v>33</v>
      </c>
      <c r="F7" s="11"/>
      <c r="G7" s="7" t="s">
        <v>34</v>
      </c>
      <c r="H7" s="6">
        <f t="shared" si="0"/>
        <v>0</v>
      </c>
    </row>
    <row r="8" spans="1:8" ht="58.5" customHeight="1" x14ac:dyDescent="0.25">
      <c r="A8" s="3" t="s">
        <v>12</v>
      </c>
      <c r="B8" s="4" t="s">
        <v>22</v>
      </c>
      <c r="C8" s="5" t="s">
        <v>29</v>
      </c>
      <c r="D8" s="4">
        <v>4</v>
      </c>
      <c r="E8" s="7" t="s">
        <v>33</v>
      </c>
      <c r="F8" s="11"/>
      <c r="G8" s="7" t="s">
        <v>34</v>
      </c>
      <c r="H8" s="6">
        <f t="shared" si="0"/>
        <v>0</v>
      </c>
    </row>
    <row r="9" spans="1:8" ht="63" customHeight="1" x14ac:dyDescent="0.25">
      <c r="A9" s="3" t="s">
        <v>13</v>
      </c>
      <c r="B9" s="4" t="s">
        <v>23</v>
      </c>
      <c r="C9" s="42" t="s">
        <v>30</v>
      </c>
      <c r="D9" s="4">
        <v>4</v>
      </c>
      <c r="E9" s="7" t="s">
        <v>33</v>
      </c>
      <c r="F9" s="11"/>
      <c r="G9" s="7" t="s">
        <v>34</v>
      </c>
      <c r="H9" s="6">
        <f t="shared" si="0"/>
        <v>0</v>
      </c>
    </row>
    <row r="10" spans="1:8" ht="54" customHeight="1" x14ac:dyDescent="0.25">
      <c r="A10" s="3" t="s">
        <v>14</v>
      </c>
      <c r="B10" s="4" t="s">
        <v>24</v>
      </c>
      <c r="C10" s="42" t="s">
        <v>31</v>
      </c>
      <c r="D10" s="4">
        <v>4</v>
      </c>
      <c r="E10" s="7" t="s">
        <v>33</v>
      </c>
      <c r="F10" s="11"/>
      <c r="G10" s="7" t="s">
        <v>34</v>
      </c>
      <c r="H10" s="6">
        <f t="shared" si="0"/>
        <v>0</v>
      </c>
    </row>
    <row r="11" spans="1:8" ht="51.75" customHeight="1" x14ac:dyDescent="0.25">
      <c r="A11" s="8" t="s">
        <v>15</v>
      </c>
      <c r="B11" s="4" t="s">
        <v>16</v>
      </c>
      <c r="C11" s="42" t="s">
        <v>26</v>
      </c>
      <c r="D11" s="4">
        <f>D10/2</f>
        <v>2</v>
      </c>
      <c r="E11" s="7" t="s">
        <v>33</v>
      </c>
      <c r="F11" s="6">
        <f>F10</f>
        <v>0</v>
      </c>
      <c r="G11" s="7" t="s">
        <v>35</v>
      </c>
      <c r="H11" s="6">
        <f t="shared" si="0"/>
        <v>0</v>
      </c>
    </row>
    <row r="12" spans="1:8" ht="27.75" customHeight="1" thickBot="1" x14ac:dyDescent="0.3">
      <c r="A12" s="20" t="s">
        <v>17</v>
      </c>
      <c r="B12" s="21"/>
      <c r="C12" s="21"/>
      <c r="D12" s="22"/>
      <c r="E12" s="21"/>
      <c r="F12" s="21"/>
      <c r="G12" s="23"/>
      <c r="H12" s="9">
        <f>SUM(H6:H11)</f>
        <v>0</v>
      </c>
    </row>
    <row r="13" spans="1:8" ht="19.5" thickBot="1" x14ac:dyDescent="0.35">
      <c r="A13" s="24" t="s">
        <v>18</v>
      </c>
      <c r="B13" s="25"/>
      <c r="C13" s="25"/>
      <c r="D13" s="25"/>
      <c r="E13" s="25"/>
      <c r="F13" s="25"/>
      <c r="G13" s="25"/>
      <c r="H13" s="26"/>
    </row>
  </sheetData>
  <mergeCells count="9">
    <mergeCell ref="A12:G12"/>
    <mergeCell ref="A13:H13"/>
    <mergeCell ref="A2:B2"/>
    <mergeCell ref="A1:H1"/>
    <mergeCell ref="A4:H4"/>
    <mergeCell ref="E3:F3"/>
    <mergeCell ref="C2:D2"/>
    <mergeCell ref="E2:F2"/>
    <mergeCell ref="B3:D3"/>
  </mergeCells>
  <phoneticPr fontId="6" type="noConversion"/>
  <pageMargins left="0.7" right="0.7" top="1.25" bottom="0.75" header="0.3" footer="0.3"/>
  <pageSetup scale="77" orientation="landscape" r:id="rId1"/>
</worksheet>
</file>

<file path=docMetadata/LabelInfo.xml><?xml version="1.0" encoding="utf-8"?>
<clbl:labelList xmlns:clbl="http://schemas.microsoft.com/office/2020/mipLabelMetadata">
  <clbl:label id="{6dd02d64-b7f3-43f7-a145-cfd68d338edf}" enabled="1" method="Standard" siteId="{0693b5ba-4b18-4d7b-9341-f32f400a549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Manager/>
  <Company>U.S. Air Force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JOHNSON, TIFFANY L GS-07 USAF USAFA 10 ABW/PKC</dc:creator>
  <cp:keywords/>
  <dc:description/>
  <cp:lastModifiedBy>Arnold, Dana L</cp:lastModifiedBy>
  <cp:revision/>
  <dcterms:created xsi:type="dcterms:W3CDTF">2018-08-20T15:39:57Z</dcterms:created>
  <dcterms:modified xsi:type="dcterms:W3CDTF">2026-05-07T14:39:16Z</dcterms:modified>
  <cp:category/>
  <cp:contentStatus/>
</cp:coreProperties>
</file>