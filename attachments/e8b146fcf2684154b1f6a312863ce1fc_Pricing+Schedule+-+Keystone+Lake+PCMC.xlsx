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\EXECUTION_BRANCH\SERVICES &amp; SUPPLY\Redemann, Cheyenne\FY25\4470 - 25QA013 - Keystone Lake PCMC\PCF\RFQ\"/>
    </mc:Choice>
  </mc:AlternateContent>
  <xr:revisionPtr revIDLastSave="0" documentId="13_ncr:1_{6A4A6831-8C99-4EFB-9DEE-F7FFA60DC7DB}" xr6:coauthVersionLast="47" xr6:coauthVersionMax="47" xr10:uidLastSave="{00000000-0000-0000-0000-000000000000}"/>
  <bookViews>
    <workbookView xWindow="28680" yWindow="-90" windowWidth="29040" windowHeight="15690" xr2:uid="{5B82375E-7818-4728-9707-474D6A78E7E1}"/>
  </bookViews>
  <sheets>
    <sheet name="BASE" sheetId="1" r:id="rId1"/>
    <sheet name="OY1" sheetId="11" r:id="rId2"/>
    <sheet name="OY2" sheetId="12" r:id="rId3"/>
    <sheet name="OY3" sheetId="13" r:id="rId4"/>
    <sheet name="OY4" sheetId="14" r:id="rId5"/>
  </sheets>
  <definedNames>
    <definedName name="_xlnm.Print_Area" localSheetId="1">'OY1'!$A$1:$G$185</definedName>
    <definedName name="_xlnm.Print_Titles" localSheetId="0">BASE!$1:$5</definedName>
    <definedName name="_xlnm.Print_Titles" localSheetId="1">'OY1'!$1:$5</definedName>
    <definedName name="_xlnm.Print_Titles" localSheetId="2">'OY2'!$1:$5</definedName>
    <definedName name="_xlnm.Print_Titles" localSheetId="3">'OY3'!$1:$5</definedName>
    <definedName name="_xlnm.Print_Titles" localSheetId="4">'OY4'!$1:$5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1" i="14" l="1"/>
  <c r="G181" i="13"/>
  <c r="G181" i="12"/>
  <c r="G177" i="14"/>
  <c r="G176" i="14"/>
  <c r="G175" i="14"/>
  <c r="G174" i="14"/>
  <c r="G173" i="14"/>
  <c r="G172" i="14"/>
  <c r="G171" i="14"/>
  <c r="G170" i="14"/>
  <c r="G169" i="14"/>
  <c r="G178" i="14" s="1"/>
  <c r="G179" i="14" s="1"/>
  <c r="G177" i="13"/>
  <c r="G176" i="13"/>
  <c r="G175" i="13"/>
  <c r="G174" i="13"/>
  <c r="G173" i="13"/>
  <c r="G172" i="13"/>
  <c r="G171" i="13"/>
  <c r="G170" i="13"/>
  <c r="G169" i="13"/>
  <c r="G178" i="13" s="1"/>
  <c r="G179" i="13" s="1"/>
  <c r="G177" i="12"/>
  <c r="G176" i="12"/>
  <c r="G175" i="12"/>
  <c r="G174" i="12"/>
  <c r="G173" i="12"/>
  <c r="G172" i="12"/>
  <c r="G171" i="12"/>
  <c r="G170" i="12"/>
  <c r="G169" i="12"/>
  <c r="G178" i="12" s="1"/>
  <c r="G179" i="12" s="1"/>
  <c r="G164" i="14"/>
  <c r="G163" i="14"/>
  <c r="G162" i="14"/>
  <c r="G161" i="14"/>
  <c r="G160" i="14"/>
  <c r="G159" i="14"/>
  <c r="G158" i="14"/>
  <c r="G157" i="14"/>
  <c r="G165" i="14" s="1"/>
  <c r="G166" i="14" s="1"/>
  <c r="G164" i="13"/>
  <c r="G163" i="13"/>
  <c r="G162" i="13"/>
  <c r="G161" i="13"/>
  <c r="G160" i="13"/>
  <c r="G159" i="13"/>
  <c r="G165" i="13" s="1"/>
  <c r="G166" i="13" s="1"/>
  <c r="G158" i="13"/>
  <c r="G157" i="13"/>
  <c r="G164" i="12"/>
  <c r="G163" i="12"/>
  <c r="G162" i="12"/>
  <c r="G161" i="12"/>
  <c r="G160" i="12"/>
  <c r="G165" i="12" s="1"/>
  <c r="G166" i="12" s="1"/>
  <c r="G159" i="12"/>
  <c r="G158" i="12"/>
  <c r="G157" i="12"/>
  <c r="G153" i="14"/>
  <c r="G152" i="14"/>
  <c r="G151" i="14"/>
  <c r="G150" i="14"/>
  <c r="G149" i="14"/>
  <c r="G148" i="14"/>
  <c r="G147" i="14"/>
  <c r="G146" i="14"/>
  <c r="G145" i="14"/>
  <c r="G144" i="14"/>
  <c r="G143" i="14"/>
  <c r="G141" i="14"/>
  <c r="G140" i="14"/>
  <c r="G139" i="14"/>
  <c r="G138" i="14"/>
  <c r="G137" i="14"/>
  <c r="G136" i="14"/>
  <c r="G135" i="14"/>
  <c r="G134" i="14"/>
  <c r="G133" i="14"/>
  <c r="G132" i="14"/>
  <c r="G142" i="14" s="1"/>
  <c r="G131" i="14"/>
  <c r="G129" i="14"/>
  <c r="G128" i="14"/>
  <c r="G130" i="14" s="1"/>
  <c r="G126" i="14"/>
  <c r="G125" i="14"/>
  <c r="G124" i="14"/>
  <c r="G123" i="14"/>
  <c r="G122" i="14"/>
  <c r="G121" i="14"/>
  <c r="G120" i="14"/>
  <c r="G119" i="14"/>
  <c r="G118" i="14"/>
  <c r="G117" i="14"/>
  <c r="G116" i="14"/>
  <c r="G127" i="14" s="1"/>
  <c r="G114" i="14"/>
  <c r="G113" i="14"/>
  <c r="G112" i="14"/>
  <c r="G111" i="14"/>
  <c r="G110" i="14"/>
  <c r="G109" i="14"/>
  <c r="G108" i="14"/>
  <c r="G107" i="14"/>
  <c r="G106" i="14"/>
  <c r="G105" i="14"/>
  <c r="G115" i="14" s="1"/>
  <c r="G154" i="14" s="1"/>
  <c r="G104" i="14"/>
  <c r="G152" i="13"/>
  <c r="G151" i="13"/>
  <c r="G150" i="13"/>
  <c r="G149" i="13"/>
  <c r="G148" i="13"/>
  <c r="G147" i="13"/>
  <c r="G146" i="13"/>
  <c r="G145" i="13"/>
  <c r="G144" i="13"/>
  <c r="G143" i="13"/>
  <c r="G153" i="13" s="1"/>
  <c r="G141" i="13"/>
  <c r="G140" i="13"/>
  <c r="G139" i="13"/>
  <c r="G138" i="13"/>
  <c r="G142" i="13" s="1"/>
  <c r="G137" i="13"/>
  <c r="G136" i="13"/>
  <c r="G135" i="13"/>
  <c r="G134" i="13"/>
  <c r="G133" i="13"/>
  <c r="G132" i="13"/>
  <c r="G131" i="13"/>
  <c r="G130" i="13"/>
  <c r="G129" i="13"/>
  <c r="G128" i="13"/>
  <c r="G126" i="13"/>
  <c r="G125" i="13"/>
  <c r="G124" i="13"/>
  <c r="G123" i="13"/>
  <c r="G122" i="13"/>
  <c r="G121" i="13"/>
  <c r="G120" i="13"/>
  <c r="G119" i="13"/>
  <c r="G118" i="13"/>
  <c r="G117" i="13"/>
  <c r="G127" i="13" s="1"/>
  <c r="G116" i="13"/>
  <c r="G114" i="13"/>
  <c r="G113" i="13"/>
  <c r="G112" i="13"/>
  <c r="G111" i="13"/>
  <c r="G110" i="13"/>
  <c r="G109" i="13"/>
  <c r="G108" i="13"/>
  <c r="G107" i="13"/>
  <c r="G106" i="13"/>
  <c r="G115" i="13" s="1"/>
  <c r="G105" i="13"/>
  <c r="G104" i="13"/>
  <c r="G152" i="12"/>
  <c r="G151" i="12"/>
  <c r="G150" i="12"/>
  <c r="G149" i="12"/>
  <c r="G148" i="12"/>
  <c r="G147" i="12"/>
  <c r="G146" i="12"/>
  <c r="G153" i="12" s="1"/>
  <c r="G145" i="12"/>
  <c r="G144" i="12"/>
  <c r="G143" i="12"/>
  <c r="G141" i="12"/>
  <c r="G140" i="12"/>
  <c r="G139" i="12"/>
  <c r="G138" i="12"/>
  <c r="G137" i="12"/>
  <c r="G136" i="12"/>
  <c r="G135" i="12"/>
  <c r="G134" i="12"/>
  <c r="G133" i="12"/>
  <c r="G132" i="12"/>
  <c r="G131" i="12"/>
  <c r="G142" i="12" s="1"/>
  <c r="G130" i="12"/>
  <c r="G129" i="12"/>
  <c r="G128" i="12"/>
  <c r="G126" i="12"/>
  <c r="G125" i="12"/>
  <c r="G124" i="12"/>
  <c r="G123" i="12"/>
  <c r="G122" i="12"/>
  <c r="G121" i="12"/>
  <c r="G120" i="12"/>
  <c r="G119" i="12"/>
  <c r="G118" i="12"/>
  <c r="G117" i="12"/>
  <c r="G116" i="12"/>
  <c r="G127" i="12" s="1"/>
  <c r="G114" i="12"/>
  <c r="G113" i="12"/>
  <c r="G112" i="12"/>
  <c r="G111" i="12"/>
  <c r="G110" i="12"/>
  <c r="G109" i="12"/>
  <c r="G108" i="12"/>
  <c r="G107" i="12"/>
  <c r="G106" i="12"/>
  <c r="G105" i="12"/>
  <c r="G104" i="12"/>
  <c r="G115" i="12" s="1"/>
  <c r="G154" i="12" s="1"/>
  <c r="G99" i="14"/>
  <c r="G98" i="14"/>
  <c r="G97" i="14"/>
  <c r="G96" i="14"/>
  <c r="G95" i="14"/>
  <c r="G94" i="14"/>
  <c r="G93" i="14"/>
  <c r="G92" i="14"/>
  <c r="G91" i="14"/>
  <c r="G100" i="14" s="1"/>
  <c r="G89" i="14"/>
  <c r="G88" i="14"/>
  <c r="G87" i="14"/>
  <c r="G86" i="14"/>
  <c r="G85" i="14"/>
  <c r="G84" i="14"/>
  <c r="G83" i="14"/>
  <c r="G82" i="14"/>
  <c r="G81" i="14"/>
  <c r="G90" i="14" s="1"/>
  <c r="G80" i="14"/>
  <c r="G79" i="14"/>
  <c r="G78" i="14"/>
  <c r="G77" i="14"/>
  <c r="G75" i="14"/>
  <c r="G74" i="14"/>
  <c r="G73" i="14"/>
  <c r="G72" i="14"/>
  <c r="G71" i="14"/>
  <c r="G70" i="14"/>
  <c r="G69" i="14"/>
  <c r="G68" i="14"/>
  <c r="G67" i="14"/>
  <c r="G66" i="14"/>
  <c r="G65" i="14"/>
  <c r="G76" i="14" s="1"/>
  <c r="G63" i="14"/>
  <c r="G64" i="14" s="1"/>
  <c r="G61" i="14"/>
  <c r="G60" i="14"/>
  <c r="G59" i="14"/>
  <c r="G58" i="14"/>
  <c r="G57" i="14"/>
  <c r="G56" i="14"/>
  <c r="G55" i="14"/>
  <c r="G54" i="14"/>
  <c r="G62" i="14" s="1"/>
  <c r="G53" i="14"/>
  <c r="G52" i="14"/>
  <c r="G51" i="14"/>
  <c r="G99" i="13"/>
  <c r="G98" i="13"/>
  <c r="G97" i="13"/>
  <c r="G96" i="13"/>
  <c r="G95" i="13"/>
  <c r="G94" i="13"/>
  <c r="G93" i="13"/>
  <c r="G92" i="13"/>
  <c r="G91" i="13"/>
  <c r="G100" i="13" s="1"/>
  <c r="G89" i="13"/>
  <c r="G88" i="13"/>
  <c r="G87" i="13"/>
  <c r="G86" i="13"/>
  <c r="G90" i="13" s="1"/>
  <c r="G85" i="13"/>
  <c r="G84" i="13"/>
  <c r="G83" i="13"/>
  <c r="G82" i="13"/>
  <c r="G81" i="13"/>
  <c r="G80" i="13"/>
  <c r="G79" i="13"/>
  <c r="G77" i="13"/>
  <c r="G78" i="13" s="1"/>
  <c r="G75" i="13"/>
  <c r="G74" i="13"/>
  <c r="G73" i="13"/>
  <c r="G72" i="13"/>
  <c r="G71" i="13"/>
  <c r="G70" i="13"/>
  <c r="G69" i="13"/>
  <c r="G68" i="13"/>
  <c r="G67" i="13"/>
  <c r="G66" i="13"/>
  <c r="G65" i="13"/>
  <c r="G76" i="13" s="1"/>
  <c r="G63" i="13"/>
  <c r="G64" i="13" s="1"/>
  <c r="G61" i="13"/>
  <c r="G60" i="13"/>
  <c r="G59" i="13"/>
  <c r="G58" i="13"/>
  <c r="G57" i="13"/>
  <c r="G56" i="13"/>
  <c r="G55" i="13"/>
  <c r="G54" i="13"/>
  <c r="G62" i="13" s="1"/>
  <c r="G53" i="13"/>
  <c r="G52" i="13"/>
  <c r="G51" i="13"/>
  <c r="G99" i="12"/>
  <c r="G98" i="12"/>
  <c r="G97" i="12"/>
  <c r="G96" i="12"/>
  <c r="G95" i="12"/>
  <c r="G94" i="12"/>
  <c r="G93" i="12"/>
  <c r="G92" i="12"/>
  <c r="G91" i="12"/>
  <c r="G100" i="12" s="1"/>
  <c r="G89" i="12"/>
  <c r="G88" i="12"/>
  <c r="G87" i="12"/>
  <c r="G86" i="12"/>
  <c r="G85" i="12"/>
  <c r="G90" i="12" s="1"/>
  <c r="G84" i="12"/>
  <c r="G83" i="12"/>
  <c r="G82" i="12"/>
  <c r="G81" i="12"/>
  <c r="G80" i="12"/>
  <c r="G79" i="12"/>
  <c r="G78" i="12"/>
  <c r="G77" i="12"/>
  <c r="G75" i="12"/>
  <c r="G74" i="12"/>
  <c r="G73" i="12"/>
  <c r="G72" i="12"/>
  <c r="G71" i="12"/>
  <c r="G70" i="12"/>
  <c r="G69" i="12"/>
  <c r="G76" i="12" s="1"/>
  <c r="G68" i="12"/>
  <c r="G67" i="12"/>
  <c r="G66" i="12"/>
  <c r="G65" i="12"/>
  <c r="G63" i="12"/>
  <c r="G64" i="12" s="1"/>
  <c r="G61" i="12"/>
  <c r="G60" i="12"/>
  <c r="G59" i="12"/>
  <c r="G58" i="12"/>
  <c r="G57" i="12"/>
  <c r="G56" i="12"/>
  <c r="G55" i="12"/>
  <c r="G54" i="12"/>
  <c r="G53" i="12"/>
  <c r="G62" i="12" s="1"/>
  <c r="G101" i="12" s="1"/>
  <c r="G52" i="12"/>
  <c r="G51" i="12"/>
  <c r="G46" i="14"/>
  <c r="G45" i="14"/>
  <c r="G44" i="14"/>
  <c r="G47" i="14" s="1"/>
  <c r="G48" i="14" s="1"/>
  <c r="G46" i="13"/>
  <c r="G45" i="13"/>
  <c r="G44" i="13"/>
  <c r="G47" i="13" s="1"/>
  <c r="G48" i="13" s="1"/>
  <c r="G46" i="12"/>
  <c r="G45" i="12"/>
  <c r="G44" i="12"/>
  <c r="G47" i="12" s="1"/>
  <c r="G48" i="12" s="1"/>
  <c r="G39" i="14"/>
  <c r="G38" i="14"/>
  <c r="G37" i="14"/>
  <c r="G40" i="14" s="1"/>
  <c r="G35" i="14"/>
  <c r="G36" i="14" s="1"/>
  <c r="G33" i="14"/>
  <c r="G32" i="14"/>
  <c r="G31" i="14"/>
  <c r="G30" i="14"/>
  <c r="G29" i="14"/>
  <c r="G28" i="14"/>
  <c r="G27" i="14"/>
  <c r="G26" i="14"/>
  <c r="G25" i="14"/>
  <c r="G34" i="14" s="1"/>
  <c r="G24" i="14"/>
  <c r="G22" i="14"/>
  <c r="G21" i="14"/>
  <c r="G20" i="14"/>
  <c r="G23" i="14" s="1"/>
  <c r="G19" i="14"/>
  <c r="G18" i="14"/>
  <c r="G16" i="14"/>
  <c r="G15" i="14"/>
  <c r="G14" i="14"/>
  <c r="G13" i="14"/>
  <c r="G12" i="14"/>
  <c r="G11" i="14"/>
  <c r="G10" i="14"/>
  <c r="G17" i="14" s="1"/>
  <c r="G9" i="14"/>
  <c r="G8" i="14"/>
  <c r="G7" i="14"/>
  <c r="G39" i="13"/>
  <c r="G38" i="13"/>
  <c r="G37" i="13"/>
  <c r="G40" i="13" s="1"/>
  <c r="G35" i="13"/>
  <c r="G36" i="13" s="1"/>
  <c r="G33" i="13"/>
  <c r="G32" i="13"/>
  <c r="G31" i="13"/>
  <c r="G30" i="13"/>
  <c r="G29" i="13"/>
  <c r="G28" i="13"/>
  <c r="G27" i="13"/>
  <c r="G26" i="13"/>
  <c r="G34" i="13" s="1"/>
  <c r="G25" i="13"/>
  <c r="G24" i="13"/>
  <c r="G22" i="13"/>
  <c r="G23" i="13" s="1"/>
  <c r="G21" i="13"/>
  <c r="G20" i="13"/>
  <c r="G18" i="13"/>
  <c r="G19" i="13" s="1"/>
  <c r="G16" i="13"/>
  <c r="G15" i="13"/>
  <c r="G14" i="13"/>
  <c r="G13" i="13"/>
  <c r="G12" i="13"/>
  <c r="G11" i="13"/>
  <c r="G10" i="13"/>
  <c r="G17" i="13" s="1"/>
  <c r="G9" i="13"/>
  <c r="G8" i="13"/>
  <c r="G7" i="13"/>
  <c r="G39" i="12"/>
  <c r="G38" i="12"/>
  <c r="G37" i="12"/>
  <c r="G40" i="12" s="1"/>
  <c r="G35" i="12"/>
  <c r="G36" i="12" s="1"/>
  <c r="G33" i="12"/>
  <c r="G32" i="12"/>
  <c r="G31" i="12"/>
  <c r="G30" i="12"/>
  <c r="G29" i="12"/>
  <c r="G28" i="12"/>
  <c r="G27" i="12"/>
  <c r="G26" i="12"/>
  <c r="G25" i="12"/>
  <c r="G34" i="12" s="1"/>
  <c r="G24" i="12"/>
  <c r="G22" i="12"/>
  <c r="G21" i="12"/>
  <c r="G23" i="12" s="1"/>
  <c r="G20" i="12"/>
  <c r="G18" i="12"/>
  <c r="G19" i="12" s="1"/>
  <c r="G16" i="12"/>
  <c r="G15" i="12"/>
  <c r="G14" i="12"/>
  <c r="G13" i="12"/>
  <c r="G12" i="12"/>
  <c r="G11" i="12"/>
  <c r="G10" i="12"/>
  <c r="G9" i="12"/>
  <c r="G17" i="12" s="1"/>
  <c r="G8" i="12"/>
  <c r="G7" i="12"/>
  <c r="G181" i="11"/>
  <c r="G179" i="11"/>
  <c r="G178" i="11"/>
  <c r="G166" i="11"/>
  <c r="G165" i="11"/>
  <c r="G115" i="11"/>
  <c r="G154" i="11"/>
  <c r="G153" i="11"/>
  <c r="G142" i="11"/>
  <c r="G130" i="11"/>
  <c r="G127" i="11"/>
  <c r="G177" i="11"/>
  <c r="G176" i="11"/>
  <c r="G175" i="11"/>
  <c r="G174" i="11"/>
  <c r="G173" i="11"/>
  <c r="G172" i="11"/>
  <c r="G171" i="11"/>
  <c r="G170" i="11"/>
  <c r="G169" i="11"/>
  <c r="G164" i="11"/>
  <c r="G163" i="11"/>
  <c r="G162" i="11"/>
  <c r="G161" i="11"/>
  <c r="G160" i="11"/>
  <c r="G159" i="11"/>
  <c r="G158" i="11"/>
  <c r="G157" i="11"/>
  <c r="G152" i="11"/>
  <c r="G151" i="11"/>
  <c r="G150" i="11"/>
  <c r="G149" i="11"/>
  <c r="G148" i="11"/>
  <c r="G147" i="11"/>
  <c r="G146" i="11"/>
  <c r="G145" i="11"/>
  <c r="G144" i="11"/>
  <c r="G143" i="11"/>
  <c r="G141" i="11"/>
  <c r="G140" i="11"/>
  <c r="G139" i="11"/>
  <c r="G138" i="11"/>
  <c r="G137" i="11"/>
  <c r="G136" i="11"/>
  <c r="G135" i="11"/>
  <c r="G134" i="11"/>
  <c r="G133" i="11"/>
  <c r="G132" i="11"/>
  <c r="G131" i="11"/>
  <c r="G129" i="11"/>
  <c r="G128" i="11"/>
  <c r="G126" i="11"/>
  <c r="G125" i="11"/>
  <c r="G124" i="11"/>
  <c r="G123" i="11"/>
  <c r="G122" i="11"/>
  <c r="G121" i="11"/>
  <c r="G120" i="11"/>
  <c r="G119" i="11"/>
  <c r="G118" i="11"/>
  <c r="G117" i="11"/>
  <c r="G116" i="11"/>
  <c r="G114" i="11"/>
  <c r="G113" i="11"/>
  <c r="G112" i="11"/>
  <c r="G111" i="11"/>
  <c r="G110" i="11"/>
  <c r="G109" i="11"/>
  <c r="G108" i="11"/>
  <c r="G107" i="11"/>
  <c r="G106" i="11"/>
  <c r="G105" i="11"/>
  <c r="G104" i="11"/>
  <c r="G78" i="11"/>
  <c r="G62" i="11"/>
  <c r="G101" i="11" s="1"/>
  <c r="G99" i="11"/>
  <c r="G98" i="11"/>
  <c r="G97" i="11"/>
  <c r="G96" i="11"/>
  <c r="G95" i="11"/>
  <c r="G94" i="11"/>
  <c r="G93" i="11"/>
  <c r="G92" i="11"/>
  <c r="G100" i="11" s="1"/>
  <c r="G91" i="11"/>
  <c r="G89" i="11"/>
  <c r="G88" i="11"/>
  <c r="G87" i="11"/>
  <c r="G86" i="11"/>
  <c r="G85" i="11"/>
  <c r="G84" i="11"/>
  <c r="G83" i="11"/>
  <c r="G82" i="11"/>
  <c r="G81" i="11"/>
  <c r="G80" i="11"/>
  <c r="G79" i="11"/>
  <c r="G90" i="11" s="1"/>
  <c r="G77" i="11"/>
  <c r="G72" i="11"/>
  <c r="G75" i="11"/>
  <c r="G74" i="11"/>
  <c r="G73" i="11"/>
  <c r="G71" i="11"/>
  <c r="G70" i="11"/>
  <c r="G69" i="11"/>
  <c r="G68" i="11"/>
  <c r="G67" i="11"/>
  <c r="G66" i="11"/>
  <c r="G65" i="11"/>
  <c r="G76" i="11" s="1"/>
  <c r="G63" i="11"/>
  <c r="G64" i="11" s="1"/>
  <c r="G61" i="11"/>
  <c r="G60" i="11"/>
  <c r="G59" i="11"/>
  <c r="G58" i="11"/>
  <c r="G57" i="11"/>
  <c r="G56" i="11"/>
  <c r="G55" i="11"/>
  <c r="G54" i="11"/>
  <c r="G53" i="11"/>
  <c r="G52" i="11"/>
  <c r="G51" i="11"/>
  <c r="G46" i="11"/>
  <c r="G45" i="11"/>
  <c r="G44" i="11"/>
  <c r="G47" i="11" s="1"/>
  <c r="G48" i="11" s="1"/>
  <c r="G39" i="11"/>
  <c r="G38" i="11"/>
  <c r="G37" i="11"/>
  <c r="G40" i="11" s="1"/>
  <c r="G35" i="11"/>
  <c r="G36" i="11" s="1"/>
  <c r="G33" i="11"/>
  <c r="G32" i="11"/>
  <c r="G31" i="11"/>
  <c r="G30" i="11"/>
  <c r="G29" i="11"/>
  <c r="G28" i="11"/>
  <c r="G27" i="11"/>
  <c r="G26" i="11"/>
  <c r="G25" i="11"/>
  <c r="G24" i="11"/>
  <c r="G34" i="11" s="1"/>
  <c r="G22" i="11"/>
  <c r="G21" i="11"/>
  <c r="G20" i="11"/>
  <c r="G23" i="11" s="1"/>
  <c r="G18" i="11"/>
  <c r="G19" i="11" s="1"/>
  <c r="G8" i="11"/>
  <c r="G9" i="11"/>
  <c r="G10" i="11"/>
  <c r="G11" i="11"/>
  <c r="G12" i="11"/>
  <c r="G13" i="11"/>
  <c r="G14" i="11"/>
  <c r="G15" i="11"/>
  <c r="G16" i="11"/>
  <c r="G7" i="11"/>
  <c r="G17" i="11" s="1"/>
  <c r="G137" i="1"/>
  <c r="G135" i="1"/>
  <c r="G134" i="1"/>
  <c r="G121" i="1"/>
  <c r="G122" i="1" s="1"/>
  <c r="G110" i="1"/>
  <c r="G109" i="1"/>
  <c r="G98" i="1"/>
  <c r="G86" i="1"/>
  <c r="G83" i="1"/>
  <c r="G69" i="1"/>
  <c r="G68" i="1"/>
  <c r="G58" i="1"/>
  <c r="G46" i="1"/>
  <c r="G44" i="1"/>
  <c r="G30" i="1"/>
  <c r="G29" i="1"/>
  <c r="G24" i="1"/>
  <c r="G23" i="1"/>
  <c r="G19" i="1"/>
  <c r="G17" i="1"/>
  <c r="G14" i="1"/>
  <c r="G7" i="1"/>
  <c r="G133" i="1"/>
  <c r="G132" i="1"/>
  <c r="G131" i="1"/>
  <c r="G130" i="1"/>
  <c r="G129" i="1"/>
  <c r="G128" i="1"/>
  <c r="G127" i="1"/>
  <c r="G126" i="1"/>
  <c r="G125" i="1"/>
  <c r="G120" i="1"/>
  <c r="G119" i="1"/>
  <c r="G118" i="1"/>
  <c r="G117" i="1"/>
  <c r="G116" i="1"/>
  <c r="G115" i="1"/>
  <c r="G114" i="1"/>
  <c r="G113" i="1"/>
  <c r="G108" i="1"/>
  <c r="G107" i="1"/>
  <c r="G106" i="1"/>
  <c r="G105" i="1"/>
  <c r="G104" i="1"/>
  <c r="G103" i="1"/>
  <c r="G102" i="1"/>
  <c r="G101" i="1"/>
  <c r="G100" i="1"/>
  <c r="G99" i="1"/>
  <c r="G97" i="1"/>
  <c r="G96" i="1"/>
  <c r="G95" i="1"/>
  <c r="G94" i="1"/>
  <c r="G93" i="1"/>
  <c r="G92" i="1"/>
  <c r="G91" i="1"/>
  <c r="G90" i="1"/>
  <c r="G89" i="1"/>
  <c r="G88" i="1"/>
  <c r="G87" i="1"/>
  <c r="G85" i="1"/>
  <c r="G84" i="1"/>
  <c r="G82" i="1"/>
  <c r="G81" i="1"/>
  <c r="G80" i="1"/>
  <c r="G79" i="1"/>
  <c r="G78" i="1"/>
  <c r="G77" i="1"/>
  <c r="G76" i="1"/>
  <c r="G75" i="1"/>
  <c r="G74" i="1"/>
  <c r="G73" i="1"/>
  <c r="G72" i="1"/>
  <c r="G67" i="1"/>
  <c r="G66" i="1"/>
  <c r="G65" i="1"/>
  <c r="G64" i="1"/>
  <c r="G63" i="1"/>
  <c r="G62" i="1"/>
  <c r="G61" i="1"/>
  <c r="G60" i="1"/>
  <c r="G59" i="1"/>
  <c r="G57" i="1"/>
  <c r="G56" i="1"/>
  <c r="G55" i="1"/>
  <c r="G54" i="1"/>
  <c r="G53" i="1"/>
  <c r="G52" i="1"/>
  <c r="G51" i="1"/>
  <c r="G50" i="1"/>
  <c r="G49" i="1"/>
  <c r="G48" i="1"/>
  <c r="G47" i="1"/>
  <c r="G45" i="1"/>
  <c r="G43" i="1"/>
  <c r="G42" i="1"/>
  <c r="G41" i="1"/>
  <c r="G40" i="1"/>
  <c r="G39" i="1"/>
  <c r="G38" i="1"/>
  <c r="G37" i="1"/>
  <c r="G36" i="1"/>
  <c r="G35" i="1"/>
  <c r="G34" i="1"/>
  <c r="G33" i="1"/>
  <c r="G28" i="1"/>
  <c r="G27" i="1"/>
  <c r="G22" i="1"/>
  <c r="G21" i="1"/>
  <c r="G20" i="1"/>
  <c r="G18" i="1"/>
  <c r="G8" i="1"/>
  <c r="G9" i="1"/>
  <c r="G10" i="1"/>
  <c r="G11" i="1"/>
  <c r="G12" i="1"/>
  <c r="G13" i="1"/>
  <c r="G15" i="1"/>
  <c r="G16" i="1"/>
  <c r="G154" i="13" l="1"/>
  <c r="G101" i="14"/>
  <c r="G101" i="13"/>
  <c r="G41" i="14"/>
  <c r="G41" i="13"/>
  <c r="G41" i="12"/>
  <c r="G41" i="11"/>
</calcChain>
</file>

<file path=xl/sharedStrings.xml><?xml version="1.0" encoding="utf-8"?>
<sst xmlns="http://schemas.openxmlformats.org/spreadsheetml/2006/main" count="2360" uniqueCount="123">
  <si>
    <t>CONTRACTOR:</t>
  </si>
  <si>
    <t>ADDRESS:</t>
  </si>
  <si>
    <t>KEYSTONE LAKE, PROJECT CONSOLIDATED MAINTENANCE CONTRACT (PCMC)</t>
  </si>
  <si>
    <t>CAGE CODE:</t>
  </si>
  <si>
    <t>UEI NUMBER:</t>
  </si>
  <si>
    <t>APPENDIX A - MOWING SERVICES</t>
  </si>
  <si>
    <t>ITEM NO</t>
  </si>
  <si>
    <t>SERVICES</t>
  </si>
  <si>
    <t>LOCATIONS</t>
  </si>
  <si>
    <t>QUANTITY</t>
  </si>
  <si>
    <t>UNIT</t>
  </si>
  <si>
    <t>UNIT PRICE</t>
  </si>
  <si>
    <t>AMOUNT</t>
  </si>
  <si>
    <t>Appalachia Bay</t>
  </si>
  <si>
    <t>MO</t>
  </si>
  <si>
    <t>Washington Irving South</t>
  </si>
  <si>
    <t>Overlook</t>
  </si>
  <si>
    <t>Brush Creek</t>
  </si>
  <si>
    <t>Cowskin Bay South</t>
  </si>
  <si>
    <t>Keystone Ramp</t>
  </si>
  <si>
    <t>Colonel's Parking</t>
  </si>
  <si>
    <t>White Water</t>
  </si>
  <si>
    <t>Walnut Creek</t>
  </si>
  <si>
    <t>Mountain Bike Trail</t>
  </si>
  <si>
    <t xml:space="preserve">Sub-Total - Summer Months (Mowing-Improved Areas) </t>
  </si>
  <si>
    <t>Lake Office Area</t>
  </si>
  <si>
    <t xml:space="preserve">Sub-Total - Summer Months (Mowing-Lawn Areas) </t>
  </si>
  <si>
    <t>Keystone Dam Embankment</t>
  </si>
  <si>
    <t>Cleveland Levee</t>
  </si>
  <si>
    <t>EA</t>
  </si>
  <si>
    <t xml:space="preserve">Sub-Total - Summer Months (Mowing-Semi-Improved Areas) </t>
  </si>
  <si>
    <t xml:space="preserve">TOTAL APPENDIX A </t>
  </si>
  <si>
    <t>APPENDIX B - JANITORIAL SERVICES</t>
  </si>
  <si>
    <t>Janitorial Work - Project Office</t>
  </si>
  <si>
    <t xml:space="preserve">Sub-Total - Janitorial Services </t>
  </si>
  <si>
    <t xml:space="preserve">TOTAL APPENDIX B </t>
  </si>
  <si>
    <t>APPENDIX C - PARK CLEANING SERVICES</t>
  </si>
  <si>
    <t>Brush Creek Fitness Trail</t>
  </si>
  <si>
    <t xml:space="preserve">Subtotal - Summer Months (Cleaning) </t>
  </si>
  <si>
    <t>Project/Lake Office</t>
  </si>
  <si>
    <t xml:space="preserve">Subtotal - Fall Months (Cleaning) </t>
  </si>
  <si>
    <t xml:space="preserve">Subtotal - Winter Months (Cleaning) </t>
  </si>
  <si>
    <t xml:space="preserve">TOTAL APPENDIX C </t>
  </si>
  <si>
    <t>APPENDIX D - REFUSE COLLECTION SERVICES</t>
  </si>
  <si>
    <t xml:space="preserve">Subtotal - Summer Months (Refuse) </t>
  </si>
  <si>
    <t>Project/Lake Office (NTE)</t>
  </si>
  <si>
    <t xml:space="preserve">Subtotal - Project/Lake Office </t>
  </si>
  <si>
    <t xml:space="preserve">Subtotal - Fall Months (Refuse) </t>
  </si>
  <si>
    <t xml:space="preserve">Subtotal - Winter Months (Refuse) </t>
  </si>
  <si>
    <t xml:space="preserve">TOTAL APPENDIX D </t>
  </si>
  <si>
    <t>APPENDIX E - VAULT &amp; SEPTIC PUMPING SERVICES</t>
  </si>
  <si>
    <t xml:space="preserve">Subtotal - Vault &amp; Septic Pumping </t>
  </si>
  <si>
    <t xml:space="preserve">TOTAL APPENDIX E </t>
  </si>
  <si>
    <t>APPENDIX F - HERBICIDE &amp; PESTICIDE APPLICATION SERVICES</t>
  </si>
  <si>
    <t>East Maintenance Yard</t>
  </si>
  <si>
    <t>Embankment (South Side/White Water)</t>
  </si>
  <si>
    <t>Camp Pads</t>
  </si>
  <si>
    <t>Embankment (North Side/Col Parking)</t>
  </si>
  <si>
    <t>Cleveland Levee (East and West)</t>
  </si>
  <si>
    <t>Gopher Control</t>
  </si>
  <si>
    <t xml:space="preserve">Subtotal - Herbicide/Pesticide </t>
  </si>
  <si>
    <t xml:space="preserve">TOTAL APPENDIX F </t>
  </si>
  <si>
    <t xml:space="preserve">TOTAL - APPENDICES A-F </t>
  </si>
  <si>
    <t>ACRONYMS:         NTE - Not to Exceed           AC - Acre             DY - Day              EA - Each             MO - Month             AN - As Needed</t>
  </si>
  <si>
    <t>NOTE:  Time periods ending 28 FEB or 29 FEB is dependent upon Leap Years.</t>
  </si>
  <si>
    <t xml:space="preserve">Levee Ponds </t>
  </si>
  <si>
    <t xml:space="preserve">Brush Creek </t>
  </si>
  <si>
    <t>Colonels Parking</t>
  </si>
  <si>
    <t xml:space="preserve">Sub-Total - Spring Month (Mowing-Lawn Areas) </t>
  </si>
  <si>
    <t xml:space="preserve">            Sub-Total - Spring Month (Mowing-Semi-Improved Areas)</t>
  </si>
  <si>
    <t xml:space="preserve">  Sub-Total - Spring Month (Mowing-Improved Areas) </t>
  </si>
  <si>
    <t>Subtotal - Spring Month (Cleaning)</t>
  </si>
  <si>
    <t xml:space="preserve">Subtotal - Spring Month (Refuse) </t>
  </si>
  <si>
    <t>Pricing Schedule / BASE Year</t>
  </si>
  <si>
    <t>Keystone PCMC</t>
  </si>
  <si>
    <t>* MOWING SERVICES - SPRING MONTH (1 MAR - 31 MAR) - IMPROVED AREAS</t>
  </si>
  <si>
    <t>* MOWING SERVICES - SPRING MONTH (1 MAR - 31 MAR) - LAWN AREAS</t>
  </si>
  <si>
    <t>* MOWING SERVICES - SPRING MONTH (1 MAR - 31 MAR) - SEMI-IMPROVED AREAS</t>
  </si>
  <si>
    <t>* MOWING SERVICES - SUMMER MONTHS (1 APR - 30 SEP) - IMPROVED AREAS</t>
  </si>
  <si>
    <t>* MOWING SERVICES - SUMMER MONTHS (1 APR - 31 OCT) - LAWN AREAS</t>
  </si>
  <si>
    <t>* MOWING SERVICES - SUMMER MONTHS (1 APR - 30 SEP) - SEMI-IMPROVED AREAS</t>
  </si>
  <si>
    <t>* JANITORIAL SERVICES - SPRING MONTH (1 MAR - 31 MARCH)</t>
  </si>
  <si>
    <t>* JANITORIAL SERVICES - SUMMER MONTHS (1 APR - 30 SEP)</t>
  </si>
  <si>
    <t>* JANITORIAL SERVICES - WINTER MONTHS (1 OCT - 28 FEB, OR 29 FEB)</t>
  </si>
  <si>
    <t>* PARK CLEANING SERVICES - SPRING MONTH (1 MAR - 31 MAR)</t>
  </si>
  <si>
    <t>* PARK CLEANING SERVICES - SUMMER MONTHS (1 APR - 30 SEP)</t>
  </si>
  <si>
    <t>* PARK CLEANING SERVICES - FALL MONTH (1 OCT - 31 OCT)</t>
  </si>
  <si>
    <t>* PARK CLEANING SERVICES - WINTER MONTH  (1 NOV - 28 FEB, OR 29 FEB)</t>
  </si>
  <si>
    <t>* REFUSE COLLECTION SERVICES - SPRING MONTH - PARKS (1 MAR - 31 MAR)</t>
  </si>
  <si>
    <t>* REFUSE COLLECTION SERVICES - SUMMER MONTHS - PARKS (1 APR - 30 SEP)</t>
  </si>
  <si>
    <t>* REFUSE COLLECTION SERVICES - (1 MAR - 28 FEB, OR 29 FEB) * AS NEEDED, NTE 6 EA</t>
  </si>
  <si>
    <t>* REFUSE COLLECTION SERVICES - (1 MAR - 28 FEB, OR 29 FEB)</t>
  </si>
  <si>
    <t>* REFUSE COLLECTION SERVICES - FALL MONTH (1 OCT - 31 OCT)</t>
  </si>
  <si>
    <t>* REFUSE COLLECTION SERVICES - WINTER MONTHS (1 NOV - 28 FEB, OR 29 FEB)</t>
  </si>
  <si>
    <t>* VAULT &amp; SEPTIC PUMPING SERVICES - SERVICE MONTHS (1 MAR - 28 FEB, OR 29 FEB) * AS NEEDED</t>
  </si>
  <si>
    <t>* HERBICIDE (1 MAR - 30 SEP)</t>
  </si>
  <si>
    <t>* HERBICIDE * CLEVELAND LEVEE (1 MAR - 30 SEP)</t>
  </si>
  <si>
    <t>* PESTICIDE * KEYSTONE DAM (1 OCT - 31 OCT)</t>
  </si>
  <si>
    <t>* PESTICIDE * CLEVELAND LEVEE (1 OCT - 31 OCT)</t>
  </si>
  <si>
    <t>Pricing Schedule / Option Year 1</t>
  </si>
  <si>
    <t>* PARK CLEANING SERVICES - WINTER MONTHS  (1 NOV - 28 FEB, OR 29 FEB)</t>
  </si>
  <si>
    <t>* REFUSE COLLECTION SERVICES - SUMMER MONTHS - PRIMITIVE (1 APR - 30 SEP)</t>
  </si>
  <si>
    <t>Pricing Schedule / Option Year 2</t>
  </si>
  <si>
    <t>* PARK CLEANING SERVICES - WINTER MONTHS (1 NOV - 28 FEB, OR 29 FEB)</t>
  </si>
  <si>
    <t>Pricing Schedule / Option Year 3</t>
  </si>
  <si>
    <t>Pricing Schedule / Option Year 4</t>
  </si>
  <si>
    <t>3/1/2026 - 2/28/2027</t>
  </si>
  <si>
    <t>3/1/2027 - 2/29/2028</t>
  </si>
  <si>
    <t>3/1/2028 - 2/28/2029</t>
  </si>
  <si>
    <t>3/1/2029 - 2/28/2030</t>
  </si>
  <si>
    <t>6/1/2025 - 2/28/2026</t>
  </si>
  <si>
    <t>* MOWING SERVICES - SUMMER MONTHS (1 JUN - 30 SEP) - IMPROVED AREAS</t>
  </si>
  <si>
    <t>* MOWING SERVICES - SUMMER MONTHS (1 JUN - 31 OCT) - LAWN AREAS</t>
  </si>
  <si>
    <t>* MOWING SERVICES - SUMMER MONTHS (1 JUN - 30 SEP) - SEMI-IMPROVED AREAS</t>
  </si>
  <si>
    <t>* JANITORIAL SERVICES - SUMMER MONTHS (1 JUN - 30 SEP)</t>
  </si>
  <si>
    <t>* PARK CLEANING SERVICES - SUMMER MONTHS (1 JUN - 30 SEP)</t>
  </si>
  <si>
    <t>* REFUSE COLLECTION SERVICES - SUMMER MONTHS - PARKS (1 JUN - 30 SEP)</t>
  </si>
  <si>
    <t>* REFUSE COLLECTION SERVICES - (1 JUN - 28 FEB, OR 29 FEB) * AS NEEDED, NTE 6 EA</t>
  </si>
  <si>
    <t>* REFUSE COLLECTION SERVICES - (1 JUN - 28 FEB, OR 29 FEB)</t>
  </si>
  <si>
    <t>* VAULT &amp; SEPTIC PUMPING SERVICES - SERVICE MONTHS (1 JUN - 28 FEB, OR 29 FEB) * AS NEEDED</t>
  </si>
  <si>
    <t>* HERBICIDE (1 JUN - 30 SEP)</t>
  </si>
  <si>
    <t>* HERBICIDE * CLEVELAND LEVEE (1 JUN - 30 SEP)</t>
  </si>
  <si>
    <t>* REFUSE COLLECTION SERVICES - SUMMER MONTHS - PRIMITIVE (1 JUN - 30 SEP)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</si>
</sst>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ourier New"/>
      <family val="3"/>
    </font>
    <font>
      <b/>
      <sz val="11"/>
      <color theme="1"/>
      <name val="Courier New"/>
      <family val="3"/>
    </font>
    <font>
      <sz val="12"/>
      <name val="Arial"/>
      <family val="2"/>
    </font>
    <font>
      <sz val="11"/>
      <name val="Courier New"/>
      <family val="3"/>
    </font>
    <font>
      <sz val="11"/>
      <color theme="1"/>
      <name val="Courier New"/>
      <family val="3"/>
    </font>
    <font>
      <i/>
      <sz val="11"/>
      <color theme="1"/>
      <name val="Courier New"/>
      <family val="3"/>
    </font>
    <font>
      <b/>
      <i/>
      <sz val="11"/>
      <name val="Courier New"/>
      <family val="3"/>
    </font>
    <font>
      <i/>
      <sz val="11"/>
      <name val="Courier New"/>
      <family val="3"/>
    </font>
    <font>
      <b/>
      <i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164" fontId="5" fillId="0" borderId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95">
    <xf numFmtId="0" fontId="0" fillId="0" borderId="0" xfId="0"/>
    <xf numFmtId="164" fontId="3" fillId="0" borderId="7" xfId="3" applyFont="1" applyFill="1" applyBorder="1" applyAlignment="1" applyProtection="1">
      <alignment horizontal="center"/>
    </xf>
    <xf numFmtId="4" fontId="3" fillId="0" borderId="8" xfId="4" applyNumberFormat="1" applyFont="1" applyFill="1" applyBorder="1" applyAlignment="1" applyProtection="1">
      <alignment horizontal="center"/>
    </xf>
    <xf numFmtId="1" fontId="6" fillId="0" borderId="6" xfId="3" applyNumberFormat="1" applyFont="1" applyFill="1" applyBorder="1" applyAlignment="1" applyProtection="1">
      <alignment horizontal="center"/>
    </xf>
    <xf numFmtId="3" fontId="6" fillId="0" borderId="7" xfId="3" applyNumberFormat="1" applyFont="1" applyFill="1" applyBorder="1" applyAlignment="1" applyProtection="1">
      <alignment horizontal="center"/>
    </xf>
    <xf numFmtId="4" fontId="3" fillId="0" borderId="23" xfId="4" applyNumberFormat="1" applyFont="1" applyFill="1" applyBorder="1" applyAlignment="1" applyProtection="1">
      <alignment horizontal="center"/>
    </xf>
    <xf numFmtId="164" fontId="6" fillId="0" borderId="7" xfId="3" applyFont="1" applyFill="1" applyBorder="1" applyAlignment="1" applyProtection="1">
      <alignment horizontal="center"/>
    </xf>
    <xf numFmtId="4" fontId="6" fillId="0" borderId="8" xfId="4" applyNumberFormat="1" applyFont="1" applyFill="1" applyBorder="1" applyAlignment="1" applyProtection="1">
      <alignment horizontal="center"/>
    </xf>
    <xf numFmtId="4" fontId="4" fillId="0" borderId="0" xfId="4" applyNumberFormat="1" applyFont="1" applyFill="1" applyAlignment="1" applyProtection="1">
      <alignment horizontal="right"/>
    </xf>
    <xf numFmtId="4" fontId="3" fillId="0" borderId="34" xfId="4" applyNumberFormat="1" applyFont="1" applyFill="1" applyBorder="1" applyAlignment="1" applyProtection="1">
      <alignment horizontal="right"/>
    </xf>
    <xf numFmtId="164" fontId="3" fillId="0" borderId="2" xfId="1" applyNumberFormat="1" applyFont="1" applyBorder="1"/>
    <xf numFmtId="0" fontId="4" fillId="0" borderId="0" xfId="2" applyFont="1"/>
    <xf numFmtId="164" fontId="3" fillId="0" borderId="6" xfId="1" applyNumberFormat="1" applyFont="1" applyBorder="1"/>
    <xf numFmtId="0" fontId="4" fillId="0" borderId="0" xfId="2" applyFont="1" applyAlignment="1">
      <alignment horizontal="center"/>
    </xf>
    <xf numFmtId="164" fontId="3" fillId="0" borderId="11" xfId="1" applyNumberFormat="1" applyFont="1" applyBorder="1"/>
    <xf numFmtId="164" fontId="3" fillId="0" borderId="6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4" fontId="6" fillId="0" borderId="7" xfId="1" applyNumberFormat="1" applyFont="1" applyBorder="1"/>
    <xf numFmtId="164" fontId="6" fillId="0" borderId="7" xfId="1" applyNumberFormat="1" applyFont="1" applyBorder="1" applyAlignment="1">
      <alignment horizontal="center"/>
    </xf>
    <xf numFmtId="4" fontId="6" fillId="0" borderId="7" xfId="4" applyNumberFormat="1" applyFont="1" applyFill="1" applyBorder="1" applyAlignment="1" applyProtection="1">
      <protection locked="0"/>
    </xf>
    <xf numFmtId="0" fontId="7" fillId="0" borderId="0" xfId="2" applyFont="1"/>
    <xf numFmtId="0" fontId="8" fillId="0" borderId="0" xfId="2" applyFont="1"/>
    <xf numFmtId="164" fontId="6" fillId="0" borderId="17" xfId="3" applyFont="1" applyFill="1" applyBorder="1" applyAlignment="1" applyProtection="1"/>
    <xf numFmtId="3" fontId="6" fillId="0" borderId="18" xfId="3" applyNumberFormat="1" applyFont="1" applyFill="1" applyBorder="1" applyAlignment="1" applyProtection="1">
      <alignment horizontal="center"/>
    </xf>
    <xf numFmtId="164" fontId="6" fillId="0" borderId="18" xfId="1" applyNumberFormat="1" applyFont="1" applyBorder="1" applyAlignment="1">
      <alignment horizontal="center"/>
    </xf>
    <xf numFmtId="4" fontId="6" fillId="0" borderId="22" xfId="4" applyNumberFormat="1" applyFont="1" applyFill="1" applyBorder="1" applyAlignment="1" applyProtection="1">
      <protection locked="0"/>
    </xf>
    <xf numFmtId="164" fontId="6" fillId="0" borderId="7" xfId="1" applyNumberFormat="1" applyFont="1" applyBorder="1" applyAlignment="1">
      <alignment horizontal="left"/>
    </xf>
    <xf numFmtId="4" fontId="6" fillId="0" borderId="27" xfId="4" applyNumberFormat="1" applyFont="1" applyFill="1" applyBorder="1" applyAlignment="1" applyProtection="1">
      <alignment horizontal="right"/>
    </xf>
    <xf numFmtId="164" fontId="3" fillId="0" borderId="7" xfId="1" applyNumberFormat="1" applyFont="1" applyBorder="1" applyAlignment="1">
      <alignment horizontal="left"/>
    </xf>
    <xf numFmtId="4" fontId="6" fillId="0" borderId="26" xfId="4" applyNumberFormat="1" applyFont="1" applyFill="1" applyBorder="1" applyAlignment="1" applyProtection="1">
      <protection locked="0"/>
    </xf>
    <xf numFmtId="0" fontId="6" fillId="0" borderId="0" xfId="2" applyFont="1"/>
    <xf numFmtId="164" fontId="6" fillId="0" borderId="17" xfId="1" applyNumberFormat="1" applyFont="1" applyBorder="1"/>
    <xf numFmtId="164" fontId="6" fillId="0" borderId="20" xfId="1" applyNumberFormat="1" applyFont="1" applyBorder="1"/>
    <xf numFmtId="164" fontId="3" fillId="0" borderId="26" xfId="1" applyNumberFormat="1" applyFont="1" applyBorder="1" applyAlignment="1">
      <alignment horizontal="center"/>
    </xf>
    <xf numFmtId="164" fontId="7" fillId="0" borderId="7" xfId="1" applyNumberFormat="1" applyFont="1" applyBorder="1"/>
    <xf numFmtId="164" fontId="7" fillId="0" borderId="20" xfId="1" applyNumberFormat="1" applyFont="1" applyBorder="1"/>
    <xf numFmtId="0" fontId="10" fillId="0" borderId="0" xfId="2" applyFont="1"/>
    <xf numFmtId="164" fontId="3" fillId="0" borderId="19" xfId="1" applyNumberFormat="1" applyFont="1" applyBorder="1" applyAlignment="1">
      <alignment horizontal="center"/>
    </xf>
    <xf numFmtId="0" fontId="3" fillId="0" borderId="0" xfId="2" applyFont="1"/>
    <xf numFmtId="0" fontId="11" fillId="0" borderId="0" xfId="2" applyFont="1"/>
    <xf numFmtId="0" fontId="6" fillId="0" borderId="0" xfId="2" applyFont="1" applyAlignment="1">
      <alignment horizontal="center"/>
    </xf>
    <xf numFmtId="164" fontId="6" fillId="0" borderId="7" xfId="3" applyFont="1" applyFill="1" applyBorder="1" applyAlignment="1" applyProtection="1">
      <alignment horizontal="left"/>
    </xf>
    <xf numFmtId="0" fontId="6" fillId="0" borderId="7" xfId="3" applyNumberFormat="1" applyFont="1" applyFill="1" applyBorder="1" applyAlignment="1" applyProtection="1">
      <alignment horizontal="left"/>
    </xf>
    <xf numFmtId="0" fontId="6" fillId="0" borderId="7" xfId="3" applyNumberFormat="1" applyFont="1" applyFill="1" applyBorder="1" applyAlignment="1" applyProtection="1"/>
    <xf numFmtId="164" fontId="4" fillId="0" borderId="0" xfId="4" applyNumberFormat="1" applyFont="1" applyFill="1" applyAlignment="1" applyProtection="1">
      <alignment horizontal="right"/>
    </xf>
    <xf numFmtId="0" fontId="4" fillId="0" borderId="5" xfId="2" applyFont="1" applyBorder="1"/>
    <xf numFmtId="0" fontId="4" fillId="0" borderId="35" xfId="2" applyFont="1" applyBorder="1" applyAlignment="1">
      <alignment horizontal="center"/>
    </xf>
    <xf numFmtId="164" fontId="3" fillId="0" borderId="10" xfId="1" applyNumberFormat="1" applyFont="1" applyBorder="1" applyAlignment="1">
      <alignment horizontal="center"/>
    </xf>
    <xf numFmtId="164" fontId="3" fillId="0" borderId="37" xfId="1" applyNumberFormat="1" applyFont="1" applyBorder="1" applyAlignment="1">
      <alignment horizontal="center"/>
    </xf>
    <xf numFmtId="164" fontId="3" fillId="0" borderId="9" xfId="1" applyNumberFormat="1" applyFont="1" applyBorder="1"/>
    <xf numFmtId="164" fontId="9" fillId="0" borderId="19" xfId="1" applyNumberFormat="1" applyFont="1" applyBorder="1" applyAlignment="1">
      <alignment horizontal="right"/>
    </xf>
    <xf numFmtId="164" fontId="9" fillId="0" borderId="20" xfId="1" applyNumberFormat="1" applyFont="1" applyBorder="1" applyAlignment="1">
      <alignment horizontal="right"/>
    </xf>
    <xf numFmtId="0" fontId="3" fillId="0" borderId="6" xfId="3" applyNumberFormat="1" applyFont="1" applyFill="1" applyBorder="1" applyAlignment="1" applyProtection="1">
      <alignment horizontal="right"/>
    </xf>
    <xf numFmtId="0" fontId="3" fillId="0" borderId="7" xfId="3" applyNumberFormat="1" applyFont="1" applyFill="1" applyBorder="1" applyAlignment="1" applyProtection="1">
      <alignment horizontal="right"/>
    </xf>
    <xf numFmtId="0" fontId="3" fillId="0" borderId="26" xfId="3" applyNumberFormat="1" applyFont="1" applyFill="1" applyBorder="1" applyAlignment="1" applyProtection="1">
      <alignment horizontal="right"/>
    </xf>
    <xf numFmtId="164" fontId="3" fillId="0" borderId="19" xfId="1" applyNumberFormat="1" applyFont="1" applyBorder="1" applyAlignment="1">
      <alignment horizontal="left"/>
    </xf>
    <xf numFmtId="164" fontId="3" fillId="0" borderId="20" xfId="1" applyNumberFormat="1" applyFont="1" applyBorder="1" applyAlignment="1">
      <alignment horizontal="left"/>
    </xf>
    <xf numFmtId="164" fontId="3" fillId="0" borderId="16" xfId="1" applyNumberFormat="1" applyFont="1" applyBorder="1" applyAlignment="1">
      <alignment horizontal="left"/>
    </xf>
    <xf numFmtId="164" fontId="3" fillId="0" borderId="33" xfId="5" applyNumberFormat="1" applyFont="1" applyBorder="1" applyAlignment="1">
      <alignment horizontal="center"/>
    </xf>
    <xf numFmtId="164" fontId="3" fillId="0" borderId="0" xfId="5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2" applyFont="1" applyAlignment="1">
      <alignment horizontal="center"/>
    </xf>
    <xf numFmtId="0" fontId="3" fillId="0" borderId="19" xfId="3" applyNumberFormat="1" applyFont="1" applyFill="1" applyBorder="1" applyAlignment="1" applyProtection="1">
      <alignment horizontal="left"/>
    </xf>
    <xf numFmtId="0" fontId="3" fillId="0" borderId="20" xfId="3" applyNumberFormat="1" applyFont="1" applyFill="1" applyBorder="1" applyAlignment="1" applyProtection="1">
      <alignment horizontal="left"/>
    </xf>
    <xf numFmtId="0" fontId="3" fillId="0" borderId="16" xfId="3" applyNumberFormat="1" applyFont="1" applyFill="1" applyBorder="1" applyAlignment="1" applyProtection="1">
      <alignment horizontal="left"/>
    </xf>
    <xf numFmtId="0" fontId="3" fillId="0" borderId="28" xfId="3" applyNumberFormat="1" applyFont="1" applyFill="1" applyBorder="1" applyAlignment="1" applyProtection="1">
      <alignment horizontal="right"/>
    </xf>
    <xf numFmtId="0" fontId="3" fillId="0" borderId="29" xfId="3" applyNumberFormat="1" applyFont="1" applyFill="1" applyBorder="1" applyAlignment="1" applyProtection="1">
      <alignment horizontal="right"/>
    </xf>
    <xf numFmtId="1" fontId="3" fillId="0" borderId="30" xfId="3" applyNumberFormat="1" applyFont="1" applyFill="1" applyBorder="1" applyAlignment="1" applyProtection="1">
      <alignment horizontal="center"/>
    </xf>
    <xf numFmtId="1" fontId="3" fillId="0" borderId="0" xfId="3" applyNumberFormat="1" applyFont="1" applyFill="1" applyBorder="1" applyAlignment="1" applyProtection="1">
      <alignment horizontal="center"/>
    </xf>
    <xf numFmtId="164" fontId="3" fillId="0" borderId="31" xfId="5" applyNumberFormat="1" applyFont="1" applyBorder="1" applyAlignment="1">
      <alignment horizontal="right"/>
    </xf>
    <xf numFmtId="164" fontId="3" fillId="0" borderId="32" xfId="5" applyNumberFormat="1" applyFont="1" applyBorder="1" applyAlignment="1">
      <alignment horizontal="right"/>
    </xf>
    <xf numFmtId="0" fontId="3" fillId="0" borderId="19" xfId="3" applyNumberFormat="1" applyFont="1" applyFill="1" applyBorder="1" applyAlignment="1" applyProtection="1">
      <alignment horizontal="right"/>
    </xf>
    <xf numFmtId="0" fontId="3" fillId="0" borderId="20" xfId="3" applyNumberFormat="1" applyFont="1" applyFill="1" applyBorder="1" applyAlignment="1" applyProtection="1">
      <alignment horizontal="right"/>
    </xf>
    <xf numFmtId="164" fontId="3" fillId="0" borderId="1" xfId="1" applyNumberFormat="1" applyFont="1" applyBorder="1" applyAlignment="1">
      <alignment horizontal="center"/>
    </xf>
    <xf numFmtId="164" fontId="3" fillId="0" borderId="36" xfId="1" applyNumberFormat="1" applyFont="1" applyBorder="1" applyAlignment="1">
      <alignment horizontal="center"/>
    </xf>
    <xf numFmtId="164" fontId="3" fillId="0" borderId="3" xfId="1" applyNumberFormat="1" applyFont="1" applyBorder="1" applyAlignment="1" applyProtection="1">
      <alignment horizontal="center"/>
      <protection locked="0"/>
    </xf>
    <xf numFmtId="164" fontId="3" fillId="0" borderId="4" xfId="1" applyNumberFormat="1" applyFont="1" applyBorder="1" applyAlignment="1" applyProtection="1">
      <alignment horizontal="center"/>
      <protection locked="0"/>
    </xf>
    <xf numFmtId="164" fontId="3" fillId="0" borderId="7" xfId="1" applyNumberFormat="1" applyFont="1" applyBorder="1" applyAlignment="1" applyProtection="1">
      <alignment horizontal="center" wrapText="1"/>
      <protection locked="0"/>
    </xf>
    <xf numFmtId="164" fontId="3" fillId="0" borderId="7" xfId="1" applyNumberFormat="1" applyFont="1" applyBorder="1" applyAlignment="1" applyProtection="1">
      <alignment horizontal="center"/>
      <protection locked="0"/>
    </xf>
    <xf numFmtId="164" fontId="3" fillId="0" borderId="8" xfId="1" applyNumberFormat="1" applyFont="1" applyBorder="1" applyAlignment="1" applyProtection="1">
      <alignment horizontal="center"/>
      <protection locked="0"/>
    </xf>
    <xf numFmtId="164" fontId="3" fillId="0" borderId="5" xfId="1" applyNumberFormat="1" applyFont="1" applyBorder="1" applyAlignment="1">
      <alignment horizontal="center"/>
    </xf>
    <xf numFmtId="164" fontId="3" fillId="0" borderId="35" xfId="1" applyNumberFormat="1" applyFont="1" applyBorder="1" applyAlignment="1">
      <alignment horizontal="center"/>
    </xf>
    <xf numFmtId="164" fontId="3" fillId="0" borderId="12" xfId="1" applyNumberFormat="1" applyFont="1" applyBorder="1" applyAlignment="1" applyProtection="1">
      <alignment horizontal="center"/>
      <protection locked="0"/>
    </xf>
    <xf numFmtId="164" fontId="3" fillId="0" borderId="13" xfId="1" applyNumberFormat="1" applyFont="1" applyBorder="1" applyAlignment="1" applyProtection="1">
      <alignment horizontal="center"/>
      <protection locked="0"/>
    </xf>
    <xf numFmtId="164" fontId="3" fillId="0" borderId="14" xfId="1" applyNumberFormat="1" applyFont="1" applyBorder="1" applyAlignment="1">
      <alignment horizontal="left"/>
    </xf>
    <xf numFmtId="164" fontId="3" fillId="0" borderId="15" xfId="1" applyNumberFormat="1" applyFont="1" applyBorder="1" applyAlignment="1">
      <alignment horizontal="left"/>
    </xf>
    <xf numFmtId="164" fontId="3" fillId="0" borderId="19" xfId="1" applyNumberFormat="1" applyFont="1" applyBorder="1" applyAlignment="1">
      <alignment horizontal="right"/>
    </xf>
    <xf numFmtId="164" fontId="3" fillId="0" borderId="20" xfId="1" applyNumberFormat="1" applyFont="1" applyBorder="1" applyAlignment="1">
      <alignment horizontal="right"/>
    </xf>
    <xf numFmtId="164" fontId="3" fillId="0" borderId="24" xfId="1" applyNumberFormat="1" applyFont="1" applyBorder="1" applyAlignment="1">
      <alignment horizontal="left"/>
    </xf>
    <xf numFmtId="164" fontId="3" fillId="0" borderId="25" xfId="1" applyNumberFormat="1" applyFont="1" applyBorder="1" applyAlignment="1">
      <alignment horizontal="left"/>
    </xf>
    <xf numFmtId="164" fontId="3" fillId="0" borderId="35" xfId="1" applyNumberFormat="1" applyFont="1" applyBorder="1" applyAlignment="1">
      <alignment horizontal="left"/>
    </xf>
    <xf numFmtId="49" fontId="3" fillId="0" borderId="3" xfId="1" applyNumberFormat="1" applyFont="1" applyBorder="1" applyAlignment="1" applyProtection="1">
      <alignment horizontal="center"/>
      <protection locked="0"/>
    </xf>
    <xf numFmtId="49" fontId="3" fillId="0" borderId="4" xfId="1" applyNumberFormat="1" applyFont="1" applyBorder="1" applyAlignment="1" applyProtection="1">
      <alignment horizontal="center"/>
      <protection locked="0"/>
    </xf>
    <xf numFmtId="164" fontId="9" fillId="0" borderId="26" xfId="1" applyNumberFormat="1" applyFont="1" applyBorder="1" applyAlignment="1">
      <alignment horizontal="right"/>
    </xf>
    <xf numFmtId="164" fontId="9" fillId="0" borderId="21" xfId="1" applyNumberFormat="1" applyFont="1" applyBorder="1" applyAlignment="1">
      <alignment horizontal="right"/>
    </xf>
  </cellXfs>
  <cellStyles count="7">
    <cellStyle name="Currency 3" xfId="4" xr:uid="{1B8446A3-6E5A-4962-A147-978445D66B1C}"/>
    <cellStyle name="Normal" xfId="0" builtinId="0"/>
    <cellStyle name="Normal 2 2" xfId="6" xr:uid="{79785062-526B-41F8-96D2-916B2C679899}"/>
    <cellStyle name="Normal 4" xfId="2" xr:uid="{F553D29A-0D2D-4484-BD7E-6EAFBBF1B5F5}"/>
    <cellStyle name="normal_CGROVE MINI 99" xfId="3" xr:uid="{10EB9C55-B657-4A0F-ACCE-08AE5C0E5BA7}"/>
    <cellStyle name="Normal_CGROVE MINI 99_1" xfId="1" xr:uid="{086C6AA8-634D-4A27-A30B-EF986B4AED5E}"/>
    <cellStyle name="Normal_COPAN MINI 04" xfId="5" xr:uid="{2351C1BA-1E16-4E58-8D1C-1DED734220F8}"/>
  </cellStyles>
  <dxfs count="0"/>
  <tableStyles count="0" defaultTableStyle="TableStyleMedium2" defaultPivotStyle="PivotStyleLight16"/>
  <colors>
    <mruColors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4899-37F3-4F4D-A60B-D6AA0E6C09EC}">
  <dimension ref="A1:G145"/>
  <sheetViews>
    <sheetView tabSelected="1" zoomScale="84" zoomScaleNormal="84" workbookViewId="0">
      <pane ySplit="5" topLeftCell="A6" activePane="bottomLeft" state="frozen"/>
      <selection pane="bottomLeft" sqref="A1:B1"/>
    </sheetView>
  </sheetViews>
  <sheetFormatPr defaultRowHeight="15" x14ac:dyDescent="0.25"/>
  <cols>
    <col min="2" max="2" width="111.42578125" customWidth="1"/>
    <col min="3" max="3" width="47.5703125" bestFit="1" customWidth="1"/>
    <col min="4" max="4" width="11.5703125" bestFit="1" customWidth="1"/>
    <col min="5" max="5" width="6.42578125" bestFit="1" customWidth="1"/>
    <col min="6" max="6" width="14.28515625" bestFit="1" customWidth="1"/>
    <col min="7" max="7" width="18.28515625" bestFit="1" customWidth="1"/>
  </cols>
  <sheetData>
    <row r="1" spans="1:7" s="11" customFormat="1" ht="15.75" x14ac:dyDescent="0.3">
      <c r="A1" s="73" t="s">
        <v>73</v>
      </c>
      <c r="B1" s="74"/>
      <c r="C1" s="10" t="s">
        <v>0</v>
      </c>
      <c r="D1" s="75"/>
      <c r="E1" s="75"/>
      <c r="F1" s="75"/>
      <c r="G1" s="76"/>
    </row>
    <row r="2" spans="1:7" s="11" customFormat="1" ht="15.75" x14ac:dyDescent="0.3">
      <c r="A2" s="80" t="s">
        <v>2</v>
      </c>
      <c r="B2" s="81"/>
      <c r="C2" s="12" t="s">
        <v>1</v>
      </c>
      <c r="D2" s="77"/>
      <c r="E2" s="78"/>
      <c r="F2" s="78"/>
      <c r="G2" s="79"/>
    </row>
    <row r="3" spans="1:7" s="11" customFormat="1" ht="15.75" x14ac:dyDescent="0.3">
      <c r="A3" s="45"/>
      <c r="B3" s="46" t="s">
        <v>74</v>
      </c>
      <c r="C3" s="12" t="s">
        <v>3</v>
      </c>
      <c r="D3" s="78"/>
      <c r="E3" s="78"/>
      <c r="F3" s="78"/>
      <c r="G3" s="79"/>
    </row>
    <row r="4" spans="1:7" s="11" customFormat="1" ht="16.5" thickBot="1" x14ac:dyDescent="0.35">
      <c r="A4" s="49"/>
      <c r="B4" s="48" t="s">
        <v>110</v>
      </c>
      <c r="C4" s="14" t="s">
        <v>4</v>
      </c>
      <c r="D4" s="82"/>
      <c r="E4" s="82"/>
      <c r="F4" s="82"/>
      <c r="G4" s="83"/>
    </row>
    <row r="5" spans="1:7" s="11" customFormat="1" ht="15.75" x14ac:dyDescent="0.3">
      <c r="A5" s="15" t="s">
        <v>6</v>
      </c>
      <c r="B5" s="1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2" t="s">
        <v>12</v>
      </c>
    </row>
    <row r="6" spans="1:7" s="11" customFormat="1" ht="15.75" x14ac:dyDescent="0.3">
      <c r="A6" s="84" t="s">
        <v>5</v>
      </c>
      <c r="B6" s="85"/>
      <c r="C6" s="85"/>
      <c r="D6" s="85"/>
      <c r="E6" s="85"/>
      <c r="F6" s="85"/>
      <c r="G6" s="57"/>
    </row>
    <row r="7" spans="1:7" s="20" customFormat="1" x14ac:dyDescent="0.25">
      <c r="A7" s="3">
        <v>1</v>
      </c>
      <c r="B7" s="17" t="s">
        <v>111</v>
      </c>
      <c r="C7" s="17" t="s">
        <v>13</v>
      </c>
      <c r="D7" s="4">
        <v>4</v>
      </c>
      <c r="E7" s="18" t="s">
        <v>14</v>
      </c>
      <c r="F7" s="19"/>
      <c r="G7" s="27">
        <f>D7*F7</f>
        <v>0</v>
      </c>
    </row>
    <row r="8" spans="1:7" s="21" customFormat="1" ht="15.75" x14ac:dyDescent="0.3">
      <c r="A8" s="3">
        <v>2</v>
      </c>
      <c r="B8" s="17" t="s">
        <v>111</v>
      </c>
      <c r="C8" s="17" t="s">
        <v>15</v>
      </c>
      <c r="D8" s="4">
        <v>4</v>
      </c>
      <c r="E8" s="18" t="s">
        <v>14</v>
      </c>
      <c r="F8" s="19"/>
      <c r="G8" s="27">
        <f t="shared" ref="G8:G22" si="0">D8*F8</f>
        <v>0</v>
      </c>
    </row>
    <row r="9" spans="1:7" s="20" customFormat="1" x14ac:dyDescent="0.25">
      <c r="A9" s="3">
        <v>3</v>
      </c>
      <c r="B9" s="17" t="s">
        <v>111</v>
      </c>
      <c r="C9" s="17" t="s">
        <v>16</v>
      </c>
      <c r="D9" s="4">
        <v>4</v>
      </c>
      <c r="E9" s="18" t="s">
        <v>14</v>
      </c>
      <c r="F9" s="19"/>
      <c r="G9" s="27">
        <f t="shared" si="0"/>
        <v>0</v>
      </c>
    </row>
    <row r="10" spans="1:7" s="21" customFormat="1" ht="15.75" x14ac:dyDescent="0.3">
      <c r="A10" s="3">
        <v>4</v>
      </c>
      <c r="B10" s="17" t="s">
        <v>111</v>
      </c>
      <c r="C10" s="17" t="s">
        <v>17</v>
      </c>
      <c r="D10" s="4">
        <v>4</v>
      </c>
      <c r="E10" s="18" t="s">
        <v>14</v>
      </c>
      <c r="F10" s="19"/>
      <c r="G10" s="27">
        <f t="shared" si="0"/>
        <v>0</v>
      </c>
    </row>
    <row r="11" spans="1:7" s="20" customFormat="1" x14ac:dyDescent="0.25">
      <c r="A11" s="3">
        <v>5</v>
      </c>
      <c r="B11" s="17" t="s">
        <v>111</v>
      </c>
      <c r="C11" s="17" t="s">
        <v>18</v>
      </c>
      <c r="D11" s="4">
        <v>4</v>
      </c>
      <c r="E11" s="18" t="s">
        <v>14</v>
      </c>
      <c r="F11" s="19"/>
      <c r="G11" s="27">
        <f t="shared" si="0"/>
        <v>0</v>
      </c>
    </row>
    <row r="12" spans="1:7" s="20" customFormat="1" x14ac:dyDescent="0.25">
      <c r="A12" s="3">
        <v>6</v>
      </c>
      <c r="B12" s="17" t="s">
        <v>111</v>
      </c>
      <c r="C12" s="17" t="s">
        <v>19</v>
      </c>
      <c r="D12" s="4">
        <v>4</v>
      </c>
      <c r="E12" s="18" t="s">
        <v>14</v>
      </c>
      <c r="F12" s="19"/>
      <c r="G12" s="27">
        <f t="shared" si="0"/>
        <v>0</v>
      </c>
    </row>
    <row r="13" spans="1:7" s="20" customFormat="1" x14ac:dyDescent="0.25">
      <c r="A13" s="3">
        <v>7</v>
      </c>
      <c r="B13" s="17" t="s">
        <v>111</v>
      </c>
      <c r="C13" s="17" t="s">
        <v>20</v>
      </c>
      <c r="D13" s="4">
        <v>4</v>
      </c>
      <c r="E13" s="18" t="s">
        <v>14</v>
      </c>
      <c r="F13" s="19"/>
      <c r="G13" s="27">
        <f t="shared" si="0"/>
        <v>0</v>
      </c>
    </row>
    <row r="14" spans="1:7" s="20" customFormat="1" x14ac:dyDescent="0.25">
      <c r="A14" s="3">
        <v>8</v>
      </c>
      <c r="B14" s="17" t="s">
        <v>111</v>
      </c>
      <c r="C14" s="22" t="s">
        <v>21</v>
      </c>
      <c r="D14" s="4">
        <v>4</v>
      </c>
      <c r="E14" s="24" t="s">
        <v>14</v>
      </c>
      <c r="F14" s="19"/>
      <c r="G14" s="27">
        <f>D14*F14</f>
        <v>0</v>
      </c>
    </row>
    <row r="15" spans="1:7" s="20" customFormat="1" x14ac:dyDescent="0.25">
      <c r="A15" s="3">
        <v>9</v>
      </c>
      <c r="B15" s="17" t="s">
        <v>111</v>
      </c>
      <c r="C15" s="17" t="s">
        <v>22</v>
      </c>
      <c r="D15" s="4">
        <v>4</v>
      </c>
      <c r="E15" s="18" t="s">
        <v>14</v>
      </c>
      <c r="F15" s="19"/>
      <c r="G15" s="27">
        <f t="shared" si="0"/>
        <v>0</v>
      </c>
    </row>
    <row r="16" spans="1:7" s="20" customFormat="1" ht="15.75" thickBot="1" x14ac:dyDescent="0.3">
      <c r="A16" s="3">
        <v>10</v>
      </c>
      <c r="B16" s="17" t="s">
        <v>111</v>
      </c>
      <c r="C16" s="22" t="s">
        <v>23</v>
      </c>
      <c r="D16" s="4">
        <v>4</v>
      </c>
      <c r="E16" s="24" t="s">
        <v>14</v>
      </c>
      <c r="F16" s="19"/>
      <c r="G16" s="27">
        <f t="shared" si="0"/>
        <v>0</v>
      </c>
    </row>
    <row r="17" spans="1:7" s="11" customFormat="1" ht="17.25" thickTop="1" thickBot="1" x14ac:dyDescent="0.35">
      <c r="A17" s="86" t="s">
        <v>24</v>
      </c>
      <c r="B17" s="87"/>
      <c r="C17" s="87"/>
      <c r="D17" s="87"/>
      <c r="E17" s="87"/>
      <c r="F17" s="87"/>
      <c r="G17" s="9">
        <f>SUM(G7:G16)</f>
        <v>0</v>
      </c>
    </row>
    <row r="18" spans="1:7" s="20" customFormat="1" ht="16.5" thickTop="1" thickBot="1" x14ac:dyDescent="0.3">
      <c r="A18" s="3">
        <v>11</v>
      </c>
      <c r="B18" s="17" t="s">
        <v>112</v>
      </c>
      <c r="C18" s="17" t="s">
        <v>25</v>
      </c>
      <c r="D18" s="4">
        <v>5</v>
      </c>
      <c r="E18" s="18" t="s">
        <v>14</v>
      </c>
      <c r="F18" s="25"/>
      <c r="G18" s="27">
        <f t="shared" si="0"/>
        <v>0</v>
      </c>
    </row>
    <row r="19" spans="1:7" s="11" customFormat="1" ht="17.25" thickTop="1" thickBot="1" x14ac:dyDescent="0.35">
      <c r="A19" s="86" t="s">
        <v>26</v>
      </c>
      <c r="B19" s="87"/>
      <c r="C19" s="87"/>
      <c r="D19" s="87"/>
      <c r="E19" s="87"/>
      <c r="F19" s="87"/>
      <c r="G19" s="9">
        <f>SUM(G18)</f>
        <v>0</v>
      </c>
    </row>
    <row r="20" spans="1:7" s="20" customFormat="1" ht="15.75" thickTop="1" x14ac:dyDescent="0.25">
      <c r="A20" s="3">
        <v>12</v>
      </c>
      <c r="B20" s="26" t="s">
        <v>113</v>
      </c>
      <c r="C20" s="26" t="s">
        <v>27</v>
      </c>
      <c r="D20" s="4">
        <v>4</v>
      </c>
      <c r="E20" s="18" t="s">
        <v>14</v>
      </c>
      <c r="F20" s="19"/>
      <c r="G20" s="27">
        <f t="shared" si="0"/>
        <v>0</v>
      </c>
    </row>
    <row r="21" spans="1:7" s="21" customFormat="1" ht="15.75" x14ac:dyDescent="0.3">
      <c r="A21" s="3">
        <v>13</v>
      </c>
      <c r="B21" s="26" t="s">
        <v>113</v>
      </c>
      <c r="C21" s="17" t="s">
        <v>28</v>
      </c>
      <c r="D21" s="4">
        <v>4</v>
      </c>
      <c r="E21" s="18" t="s">
        <v>14</v>
      </c>
      <c r="F21" s="19"/>
      <c r="G21" s="27">
        <f t="shared" si="0"/>
        <v>0</v>
      </c>
    </row>
    <row r="22" spans="1:7" s="20" customFormat="1" ht="15.75" thickBot="1" x14ac:dyDescent="0.3">
      <c r="A22" s="3">
        <v>14</v>
      </c>
      <c r="B22" s="26" t="s">
        <v>113</v>
      </c>
      <c r="C22" s="26" t="s">
        <v>65</v>
      </c>
      <c r="D22" s="4">
        <v>4</v>
      </c>
      <c r="E22" s="18" t="s">
        <v>14</v>
      </c>
      <c r="F22" s="19"/>
      <c r="G22" s="27">
        <f t="shared" si="0"/>
        <v>0</v>
      </c>
    </row>
    <row r="23" spans="1:7" s="11" customFormat="1" ht="17.25" thickTop="1" thickBot="1" x14ac:dyDescent="0.35">
      <c r="A23" s="86" t="s">
        <v>30</v>
      </c>
      <c r="B23" s="87"/>
      <c r="C23" s="87"/>
      <c r="D23" s="87"/>
      <c r="E23" s="87"/>
      <c r="F23" s="87"/>
      <c r="G23" s="9">
        <f>SUM(G20:G22)</f>
        <v>0</v>
      </c>
    </row>
    <row r="24" spans="1:7" s="11" customFormat="1" ht="17.25" thickTop="1" thickBot="1" x14ac:dyDescent="0.35">
      <c r="A24" s="71" t="s">
        <v>31</v>
      </c>
      <c r="B24" s="72"/>
      <c r="C24" s="72"/>
      <c r="D24" s="72"/>
      <c r="E24" s="72"/>
      <c r="F24" s="72"/>
      <c r="G24" s="9">
        <f>G17+G19+G23</f>
        <v>0</v>
      </c>
    </row>
    <row r="25" spans="1:7" s="11" customFormat="1" ht="16.5" thickTop="1" x14ac:dyDescent="0.3">
      <c r="A25" s="88" t="s">
        <v>32</v>
      </c>
      <c r="B25" s="89"/>
      <c r="C25" s="89"/>
      <c r="D25" s="89"/>
      <c r="E25" s="89"/>
      <c r="F25" s="89"/>
      <c r="G25" s="90"/>
    </row>
    <row r="26" spans="1:7" s="13" customFormat="1" ht="15.75" x14ac:dyDescent="0.3">
      <c r="A26" s="15" t="s">
        <v>6</v>
      </c>
      <c r="B26" s="1" t="s">
        <v>7</v>
      </c>
      <c r="C26" s="16" t="s">
        <v>8</v>
      </c>
      <c r="D26" s="16" t="s">
        <v>9</v>
      </c>
      <c r="E26" s="16" t="s">
        <v>10</v>
      </c>
      <c r="F26" s="16" t="s">
        <v>11</v>
      </c>
      <c r="G26" s="2" t="s">
        <v>12</v>
      </c>
    </row>
    <row r="27" spans="1:7" s="20" customFormat="1" x14ac:dyDescent="0.25">
      <c r="A27" s="3">
        <v>15</v>
      </c>
      <c r="B27" s="26" t="s">
        <v>114</v>
      </c>
      <c r="C27" s="17" t="s">
        <v>33</v>
      </c>
      <c r="D27" s="4">
        <v>4</v>
      </c>
      <c r="E27" s="18" t="s">
        <v>14</v>
      </c>
      <c r="F27" s="29"/>
      <c r="G27" s="27">
        <f t="shared" ref="G27:G28" si="1">D27*F27</f>
        <v>0</v>
      </c>
    </row>
    <row r="28" spans="1:7" s="20" customFormat="1" ht="15.75" thickBot="1" x14ac:dyDescent="0.3">
      <c r="A28" s="3">
        <v>16</v>
      </c>
      <c r="B28" s="26" t="s">
        <v>83</v>
      </c>
      <c r="C28" s="17" t="s">
        <v>33</v>
      </c>
      <c r="D28" s="4">
        <v>5</v>
      </c>
      <c r="E28" s="18" t="s">
        <v>14</v>
      </c>
      <c r="F28" s="29"/>
      <c r="G28" s="27">
        <f t="shared" si="1"/>
        <v>0</v>
      </c>
    </row>
    <row r="29" spans="1:7" s="11" customFormat="1" ht="17.25" thickTop="1" thickBot="1" x14ac:dyDescent="0.35">
      <c r="A29" s="86" t="s">
        <v>34</v>
      </c>
      <c r="B29" s="87"/>
      <c r="C29" s="87"/>
      <c r="D29" s="87"/>
      <c r="E29" s="87"/>
      <c r="F29" s="87"/>
      <c r="G29" s="9">
        <f>SUM(G27:G28)</f>
        <v>0</v>
      </c>
    </row>
    <row r="30" spans="1:7" s="11" customFormat="1" ht="17.25" thickTop="1" thickBot="1" x14ac:dyDescent="0.35">
      <c r="A30" s="71" t="s">
        <v>35</v>
      </c>
      <c r="B30" s="72"/>
      <c r="C30" s="72"/>
      <c r="D30" s="72"/>
      <c r="E30" s="72"/>
      <c r="F30" s="72"/>
      <c r="G30" s="9">
        <f>G29</f>
        <v>0</v>
      </c>
    </row>
    <row r="31" spans="1:7" s="11" customFormat="1" ht="16.5" thickTop="1" x14ac:dyDescent="0.3">
      <c r="A31" s="55" t="s">
        <v>36</v>
      </c>
      <c r="B31" s="56"/>
      <c r="C31" s="56"/>
      <c r="D31" s="56"/>
      <c r="E31" s="56"/>
      <c r="F31" s="56"/>
      <c r="G31" s="57"/>
    </row>
    <row r="32" spans="1:7" s="13" customFormat="1" ht="15.75" x14ac:dyDescent="0.3">
      <c r="A32" s="15" t="s">
        <v>6</v>
      </c>
      <c r="B32" s="1" t="s">
        <v>7</v>
      </c>
      <c r="C32" s="16" t="s">
        <v>8</v>
      </c>
      <c r="D32" s="16" t="s">
        <v>9</v>
      </c>
      <c r="E32" s="16" t="s">
        <v>10</v>
      </c>
      <c r="F32" s="16" t="s">
        <v>11</v>
      </c>
      <c r="G32" s="2" t="s">
        <v>12</v>
      </c>
    </row>
    <row r="33" spans="1:7" s="30" customFormat="1" x14ac:dyDescent="0.25">
      <c r="A33" s="3">
        <v>17</v>
      </c>
      <c r="B33" s="17" t="s">
        <v>115</v>
      </c>
      <c r="C33" s="17" t="s">
        <v>13</v>
      </c>
      <c r="D33" s="4">
        <v>4</v>
      </c>
      <c r="E33" s="18" t="s">
        <v>14</v>
      </c>
      <c r="F33" s="19"/>
      <c r="G33" s="27">
        <f t="shared" ref="G33:G43" si="2">D33*F33</f>
        <v>0</v>
      </c>
    </row>
    <row r="34" spans="1:7" s="30" customFormat="1" x14ac:dyDescent="0.25">
      <c r="A34" s="3">
        <v>18</v>
      </c>
      <c r="B34" s="17" t="s">
        <v>115</v>
      </c>
      <c r="C34" s="17" t="s">
        <v>17</v>
      </c>
      <c r="D34" s="4">
        <v>4</v>
      </c>
      <c r="E34" s="18" t="s">
        <v>14</v>
      </c>
      <c r="F34" s="19"/>
      <c r="G34" s="27">
        <f t="shared" si="2"/>
        <v>0</v>
      </c>
    </row>
    <row r="35" spans="1:7" s="30" customFormat="1" x14ac:dyDescent="0.25">
      <c r="A35" s="3">
        <v>19</v>
      </c>
      <c r="B35" s="17" t="s">
        <v>115</v>
      </c>
      <c r="C35" s="31" t="s">
        <v>37</v>
      </c>
      <c r="D35" s="4">
        <v>4</v>
      </c>
      <c r="E35" s="24" t="s">
        <v>14</v>
      </c>
      <c r="F35" s="19"/>
      <c r="G35" s="27">
        <f t="shared" si="2"/>
        <v>0</v>
      </c>
    </row>
    <row r="36" spans="1:7" s="30" customFormat="1" x14ac:dyDescent="0.25">
      <c r="A36" s="3">
        <v>20</v>
      </c>
      <c r="B36" s="17" t="s">
        <v>115</v>
      </c>
      <c r="C36" s="17" t="s">
        <v>15</v>
      </c>
      <c r="D36" s="4">
        <v>4</v>
      </c>
      <c r="E36" s="18" t="s">
        <v>14</v>
      </c>
      <c r="F36" s="19"/>
      <c r="G36" s="27">
        <f t="shared" si="2"/>
        <v>0</v>
      </c>
    </row>
    <row r="37" spans="1:7" s="30" customFormat="1" x14ac:dyDescent="0.25">
      <c r="A37" s="3">
        <v>21</v>
      </c>
      <c r="B37" s="17" t="s">
        <v>115</v>
      </c>
      <c r="C37" s="17" t="s">
        <v>22</v>
      </c>
      <c r="D37" s="4">
        <v>4</v>
      </c>
      <c r="E37" s="18" t="s">
        <v>14</v>
      </c>
      <c r="F37" s="19"/>
      <c r="G37" s="27">
        <f t="shared" si="2"/>
        <v>0</v>
      </c>
    </row>
    <row r="38" spans="1:7" s="30" customFormat="1" x14ac:dyDescent="0.25">
      <c r="A38" s="3">
        <v>22</v>
      </c>
      <c r="B38" s="17" t="s">
        <v>115</v>
      </c>
      <c r="C38" s="17" t="s">
        <v>18</v>
      </c>
      <c r="D38" s="4">
        <v>4</v>
      </c>
      <c r="E38" s="18" t="s">
        <v>14</v>
      </c>
      <c r="F38" s="19"/>
      <c r="G38" s="27">
        <f t="shared" si="2"/>
        <v>0</v>
      </c>
    </row>
    <row r="39" spans="1:7" s="30" customFormat="1" x14ac:dyDescent="0.25">
      <c r="A39" s="3">
        <v>23</v>
      </c>
      <c r="B39" s="17" t="s">
        <v>115</v>
      </c>
      <c r="C39" s="17" t="s">
        <v>16</v>
      </c>
      <c r="D39" s="4">
        <v>4</v>
      </c>
      <c r="E39" s="18" t="s">
        <v>14</v>
      </c>
      <c r="F39" s="19"/>
      <c r="G39" s="27">
        <f t="shared" si="2"/>
        <v>0</v>
      </c>
    </row>
    <row r="40" spans="1:7" s="30" customFormat="1" x14ac:dyDescent="0.25">
      <c r="A40" s="3">
        <v>24</v>
      </c>
      <c r="B40" s="17" t="s">
        <v>115</v>
      </c>
      <c r="C40" s="32" t="s">
        <v>21</v>
      </c>
      <c r="D40" s="4">
        <v>4</v>
      </c>
      <c r="E40" s="18" t="s">
        <v>14</v>
      </c>
      <c r="F40" s="19"/>
      <c r="G40" s="27">
        <f t="shared" si="2"/>
        <v>0</v>
      </c>
    </row>
    <row r="41" spans="1:7" s="30" customFormat="1" x14ac:dyDescent="0.25">
      <c r="A41" s="3">
        <v>25</v>
      </c>
      <c r="B41" s="17" t="s">
        <v>115</v>
      </c>
      <c r="C41" s="17" t="s">
        <v>20</v>
      </c>
      <c r="D41" s="4">
        <v>4</v>
      </c>
      <c r="E41" s="18" t="s">
        <v>14</v>
      </c>
      <c r="F41" s="19"/>
      <c r="G41" s="27">
        <f t="shared" si="2"/>
        <v>0</v>
      </c>
    </row>
    <row r="42" spans="1:7" s="20" customFormat="1" x14ac:dyDescent="0.25">
      <c r="A42" s="3">
        <v>26</v>
      </c>
      <c r="B42" s="17" t="s">
        <v>115</v>
      </c>
      <c r="C42" s="17" t="s">
        <v>23</v>
      </c>
      <c r="D42" s="4">
        <v>4</v>
      </c>
      <c r="E42" s="18" t="s">
        <v>14</v>
      </c>
      <c r="F42" s="19"/>
      <c r="G42" s="27">
        <f t="shared" si="2"/>
        <v>0</v>
      </c>
    </row>
    <row r="43" spans="1:7" s="30" customFormat="1" ht="15.75" thickBot="1" x14ac:dyDescent="0.3">
      <c r="A43" s="3">
        <v>27</v>
      </c>
      <c r="B43" s="17" t="s">
        <v>115</v>
      </c>
      <c r="C43" s="17" t="s">
        <v>19</v>
      </c>
      <c r="D43" s="4">
        <v>4</v>
      </c>
      <c r="E43" s="18" t="s">
        <v>14</v>
      </c>
      <c r="F43" s="19"/>
      <c r="G43" s="27">
        <f t="shared" si="2"/>
        <v>0</v>
      </c>
    </row>
    <row r="44" spans="1:7" s="11" customFormat="1" ht="17.25" thickTop="1" thickBot="1" x14ac:dyDescent="0.35">
      <c r="A44" s="50" t="s">
        <v>38</v>
      </c>
      <c r="B44" s="51"/>
      <c r="C44" s="51"/>
      <c r="D44" s="51"/>
      <c r="E44" s="51"/>
      <c r="F44" s="51"/>
      <c r="G44" s="9">
        <f>SUM(G33:G43)</f>
        <v>0</v>
      </c>
    </row>
    <row r="45" spans="1:7" s="20" customFormat="1" ht="16.5" thickTop="1" thickBot="1" x14ac:dyDescent="0.3">
      <c r="A45" s="3">
        <v>28</v>
      </c>
      <c r="B45" s="17" t="s">
        <v>115</v>
      </c>
      <c r="C45" s="17" t="s">
        <v>39</v>
      </c>
      <c r="D45" s="4">
        <v>4</v>
      </c>
      <c r="E45" s="18" t="s">
        <v>14</v>
      </c>
      <c r="F45" s="19"/>
      <c r="G45" s="27">
        <f t="shared" ref="G45" si="3">D45*F45</f>
        <v>0</v>
      </c>
    </row>
    <row r="46" spans="1:7" s="11" customFormat="1" ht="17.25" thickTop="1" thickBot="1" x14ac:dyDescent="0.35">
      <c r="A46" s="50" t="s">
        <v>38</v>
      </c>
      <c r="B46" s="51"/>
      <c r="C46" s="51"/>
      <c r="D46" s="51"/>
      <c r="E46" s="51"/>
      <c r="F46" s="51"/>
      <c r="G46" s="9">
        <f>SUM(G45)</f>
        <v>0</v>
      </c>
    </row>
    <row r="47" spans="1:7" s="20" customFormat="1" ht="15.75" thickTop="1" x14ac:dyDescent="0.25">
      <c r="A47" s="3">
        <v>29</v>
      </c>
      <c r="B47" s="17" t="s">
        <v>86</v>
      </c>
      <c r="C47" s="17" t="s">
        <v>13</v>
      </c>
      <c r="D47" s="4">
        <v>1</v>
      </c>
      <c r="E47" s="18" t="s">
        <v>14</v>
      </c>
      <c r="F47" s="19"/>
      <c r="G47" s="27">
        <f t="shared" ref="G47:G57" si="4">D47*F47</f>
        <v>0</v>
      </c>
    </row>
    <row r="48" spans="1:7" s="20" customFormat="1" x14ac:dyDescent="0.25">
      <c r="A48" s="3">
        <v>30</v>
      </c>
      <c r="B48" s="17" t="s">
        <v>86</v>
      </c>
      <c r="C48" s="17" t="s">
        <v>17</v>
      </c>
      <c r="D48" s="4">
        <v>1</v>
      </c>
      <c r="E48" s="18" t="s">
        <v>14</v>
      </c>
      <c r="F48" s="19"/>
      <c r="G48" s="27">
        <f t="shared" si="4"/>
        <v>0</v>
      </c>
    </row>
    <row r="49" spans="1:7" s="20" customFormat="1" x14ac:dyDescent="0.25">
      <c r="A49" s="3">
        <v>31</v>
      </c>
      <c r="B49" s="17" t="s">
        <v>86</v>
      </c>
      <c r="C49" s="17" t="s">
        <v>37</v>
      </c>
      <c r="D49" s="4">
        <v>1</v>
      </c>
      <c r="E49" s="18" t="s">
        <v>14</v>
      </c>
      <c r="F49" s="19"/>
      <c r="G49" s="27">
        <f t="shared" si="4"/>
        <v>0</v>
      </c>
    </row>
    <row r="50" spans="1:7" s="20" customFormat="1" x14ac:dyDescent="0.25">
      <c r="A50" s="3">
        <v>32</v>
      </c>
      <c r="B50" s="17" t="s">
        <v>86</v>
      </c>
      <c r="C50" s="17" t="s">
        <v>18</v>
      </c>
      <c r="D50" s="4">
        <v>1</v>
      </c>
      <c r="E50" s="18" t="s">
        <v>14</v>
      </c>
      <c r="F50" s="19"/>
      <c r="G50" s="27">
        <f t="shared" si="4"/>
        <v>0</v>
      </c>
    </row>
    <row r="51" spans="1:7" s="20" customFormat="1" x14ac:dyDescent="0.25">
      <c r="A51" s="3">
        <v>33</v>
      </c>
      <c r="B51" s="17" t="s">
        <v>86</v>
      </c>
      <c r="C51" s="17" t="s">
        <v>15</v>
      </c>
      <c r="D51" s="4">
        <v>1</v>
      </c>
      <c r="E51" s="18" t="s">
        <v>14</v>
      </c>
      <c r="F51" s="19"/>
      <c r="G51" s="27">
        <f t="shared" si="4"/>
        <v>0</v>
      </c>
    </row>
    <row r="52" spans="1:7" s="20" customFormat="1" x14ac:dyDescent="0.25">
      <c r="A52" s="3">
        <v>34</v>
      </c>
      <c r="B52" s="17" t="s">
        <v>86</v>
      </c>
      <c r="C52" s="17" t="s">
        <v>21</v>
      </c>
      <c r="D52" s="4">
        <v>1</v>
      </c>
      <c r="E52" s="18" t="s">
        <v>14</v>
      </c>
      <c r="F52" s="19"/>
      <c r="G52" s="27">
        <f t="shared" si="4"/>
        <v>0</v>
      </c>
    </row>
    <row r="53" spans="1:7" s="20" customFormat="1" x14ac:dyDescent="0.25">
      <c r="A53" s="3">
        <v>35</v>
      </c>
      <c r="B53" s="17" t="s">
        <v>86</v>
      </c>
      <c r="C53" s="17" t="s">
        <v>19</v>
      </c>
      <c r="D53" s="4">
        <v>1</v>
      </c>
      <c r="E53" s="18" t="s">
        <v>14</v>
      </c>
      <c r="F53" s="19"/>
      <c r="G53" s="27">
        <f t="shared" si="4"/>
        <v>0</v>
      </c>
    </row>
    <row r="54" spans="1:7" s="20" customFormat="1" x14ac:dyDescent="0.25">
      <c r="A54" s="3">
        <v>36</v>
      </c>
      <c r="B54" s="17" t="s">
        <v>86</v>
      </c>
      <c r="C54" s="17" t="s">
        <v>22</v>
      </c>
      <c r="D54" s="4">
        <v>1</v>
      </c>
      <c r="E54" s="18" t="s">
        <v>14</v>
      </c>
      <c r="F54" s="19"/>
      <c r="G54" s="27">
        <f t="shared" si="4"/>
        <v>0</v>
      </c>
    </row>
    <row r="55" spans="1:7" s="20" customFormat="1" x14ac:dyDescent="0.25">
      <c r="A55" s="3">
        <v>37</v>
      </c>
      <c r="B55" s="17" t="s">
        <v>86</v>
      </c>
      <c r="C55" s="17" t="s">
        <v>16</v>
      </c>
      <c r="D55" s="4">
        <v>1</v>
      </c>
      <c r="E55" s="18" t="s">
        <v>14</v>
      </c>
      <c r="F55" s="19"/>
      <c r="G55" s="27">
        <f t="shared" si="4"/>
        <v>0</v>
      </c>
    </row>
    <row r="56" spans="1:7" s="20" customFormat="1" x14ac:dyDescent="0.25">
      <c r="A56" s="3">
        <v>38</v>
      </c>
      <c r="B56" s="17" t="s">
        <v>86</v>
      </c>
      <c r="C56" s="17" t="s">
        <v>23</v>
      </c>
      <c r="D56" s="4">
        <v>1</v>
      </c>
      <c r="E56" s="18" t="s">
        <v>14</v>
      </c>
      <c r="F56" s="19"/>
      <c r="G56" s="27">
        <f t="shared" si="4"/>
        <v>0</v>
      </c>
    </row>
    <row r="57" spans="1:7" s="20" customFormat="1" ht="15.75" thickBot="1" x14ac:dyDescent="0.3">
      <c r="A57" s="3">
        <v>39</v>
      </c>
      <c r="B57" s="17" t="s">
        <v>86</v>
      </c>
      <c r="C57" s="31" t="s">
        <v>20</v>
      </c>
      <c r="D57" s="23">
        <v>1</v>
      </c>
      <c r="E57" s="24" t="s">
        <v>14</v>
      </c>
      <c r="F57" s="19"/>
      <c r="G57" s="27">
        <f t="shared" si="4"/>
        <v>0</v>
      </c>
    </row>
    <row r="58" spans="1:7" s="11" customFormat="1" ht="17.25" thickTop="1" thickBot="1" x14ac:dyDescent="0.35">
      <c r="A58" s="50" t="s">
        <v>40</v>
      </c>
      <c r="B58" s="51"/>
      <c r="C58" s="51"/>
      <c r="D58" s="51"/>
      <c r="E58" s="51"/>
      <c r="F58" s="51"/>
      <c r="G58" s="9">
        <f>SUM(G47:G57)</f>
        <v>0</v>
      </c>
    </row>
    <row r="59" spans="1:7" s="20" customFormat="1" ht="15.75" thickTop="1" x14ac:dyDescent="0.25">
      <c r="A59" s="3">
        <v>40</v>
      </c>
      <c r="B59" s="17" t="s">
        <v>87</v>
      </c>
      <c r="C59" s="17" t="s">
        <v>13</v>
      </c>
      <c r="D59" s="4">
        <v>4</v>
      </c>
      <c r="E59" s="18" t="s">
        <v>14</v>
      </c>
      <c r="F59" s="19"/>
      <c r="G59" s="27">
        <f t="shared" ref="G59:G67" si="5">D59*F59</f>
        <v>0</v>
      </c>
    </row>
    <row r="60" spans="1:7" s="20" customFormat="1" x14ac:dyDescent="0.25">
      <c r="A60" s="3">
        <v>41</v>
      </c>
      <c r="B60" s="17" t="s">
        <v>87</v>
      </c>
      <c r="C60" s="17" t="s">
        <v>66</v>
      </c>
      <c r="D60" s="4">
        <v>4</v>
      </c>
      <c r="E60" s="18" t="s">
        <v>14</v>
      </c>
      <c r="F60" s="19"/>
      <c r="G60" s="27">
        <f t="shared" si="5"/>
        <v>0</v>
      </c>
    </row>
    <row r="61" spans="1:7" s="20" customFormat="1" x14ac:dyDescent="0.25">
      <c r="A61" s="3">
        <v>42</v>
      </c>
      <c r="B61" s="17" t="s">
        <v>87</v>
      </c>
      <c r="C61" s="17" t="s">
        <v>37</v>
      </c>
      <c r="D61" s="4">
        <v>4</v>
      </c>
      <c r="E61" s="18" t="s">
        <v>14</v>
      </c>
      <c r="F61" s="19"/>
      <c r="G61" s="27">
        <f t="shared" si="5"/>
        <v>0</v>
      </c>
    </row>
    <row r="62" spans="1:7" s="20" customFormat="1" x14ac:dyDescent="0.25">
      <c r="A62" s="3">
        <v>43</v>
      </c>
      <c r="B62" s="17" t="s">
        <v>87</v>
      </c>
      <c r="C62" s="17" t="s">
        <v>15</v>
      </c>
      <c r="D62" s="4">
        <v>4</v>
      </c>
      <c r="E62" s="18" t="s">
        <v>14</v>
      </c>
      <c r="F62" s="19"/>
      <c r="G62" s="27">
        <f t="shared" si="5"/>
        <v>0</v>
      </c>
    </row>
    <row r="63" spans="1:7" s="20" customFormat="1" x14ac:dyDescent="0.25">
      <c r="A63" s="3">
        <v>44</v>
      </c>
      <c r="B63" s="17" t="s">
        <v>87</v>
      </c>
      <c r="C63" s="17" t="s">
        <v>18</v>
      </c>
      <c r="D63" s="4">
        <v>4</v>
      </c>
      <c r="E63" s="18" t="s">
        <v>14</v>
      </c>
      <c r="F63" s="19"/>
      <c r="G63" s="27">
        <f t="shared" si="5"/>
        <v>0</v>
      </c>
    </row>
    <row r="64" spans="1:7" s="20" customFormat="1" x14ac:dyDescent="0.25">
      <c r="A64" s="3">
        <v>45</v>
      </c>
      <c r="B64" s="17" t="s">
        <v>87</v>
      </c>
      <c r="C64" s="17" t="s">
        <v>67</v>
      </c>
      <c r="D64" s="4">
        <v>4</v>
      </c>
      <c r="E64" s="18" t="s">
        <v>14</v>
      </c>
      <c r="F64" s="19"/>
      <c r="G64" s="27">
        <f t="shared" si="5"/>
        <v>0</v>
      </c>
    </row>
    <row r="65" spans="1:7" s="20" customFormat="1" x14ac:dyDescent="0.25">
      <c r="A65" s="3">
        <v>46</v>
      </c>
      <c r="B65" s="17" t="s">
        <v>87</v>
      </c>
      <c r="C65" s="17" t="s">
        <v>21</v>
      </c>
      <c r="D65" s="4">
        <v>4</v>
      </c>
      <c r="E65" s="18" t="s">
        <v>14</v>
      </c>
      <c r="F65" s="19"/>
      <c r="G65" s="27">
        <f t="shared" si="5"/>
        <v>0</v>
      </c>
    </row>
    <row r="66" spans="1:7" s="20" customFormat="1" x14ac:dyDescent="0.25">
      <c r="A66" s="3">
        <v>47</v>
      </c>
      <c r="B66" s="17" t="s">
        <v>87</v>
      </c>
      <c r="C66" s="17" t="s">
        <v>19</v>
      </c>
      <c r="D66" s="4">
        <v>4</v>
      </c>
      <c r="E66" s="18" t="s">
        <v>14</v>
      </c>
      <c r="F66" s="19"/>
      <c r="G66" s="27">
        <f t="shared" si="5"/>
        <v>0</v>
      </c>
    </row>
    <row r="67" spans="1:7" s="20" customFormat="1" ht="15.75" thickBot="1" x14ac:dyDescent="0.3">
      <c r="A67" s="3">
        <v>48</v>
      </c>
      <c r="B67" s="17" t="s">
        <v>87</v>
      </c>
      <c r="C67" s="17" t="s">
        <v>23</v>
      </c>
      <c r="D67" s="4">
        <v>4</v>
      </c>
      <c r="E67" s="18" t="s">
        <v>14</v>
      </c>
      <c r="F67" s="19"/>
      <c r="G67" s="27">
        <f t="shared" si="5"/>
        <v>0</v>
      </c>
    </row>
    <row r="68" spans="1:7" s="11" customFormat="1" ht="17.25" thickTop="1" thickBot="1" x14ac:dyDescent="0.35">
      <c r="A68" s="50" t="s">
        <v>41</v>
      </c>
      <c r="B68" s="51"/>
      <c r="C68" s="51"/>
      <c r="D68" s="51"/>
      <c r="E68" s="51"/>
      <c r="F68" s="51"/>
      <c r="G68" s="9">
        <f>SUM(G59:G67)</f>
        <v>0</v>
      </c>
    </row>
    <row r="69" spans="1:7" s="11" customFormat="1" ht="17.25" thickTop="1" thickBot="1" x14ac:dyDescent="0.35">
      <c r="A69" s="71" t="s">
        <v>42</v>
      </c>
      <c r="B69" s="72"/>
      <c r="C69" s="72"/>
      <c r="D69" s="72"/>
      <c r="E69" s="72"/>
      <c r="F69" s="72"/>
      <c r="G69" s="9">
        <f>G44+G46+G58+G68</f>
        <v>0</v>
      </c>
    </row>
    <row r="70" spans="1:7" s="11" customFormat="1" ht="16.5" thickTop="1" x14ac:dyDescent="0.3">
      <c r="A70" s="55" t="s">
        <v>43</v>
      </c>
      <c r="B70" s="56"/>
      <c r="C70" s="56"/>
      <c r="D70" s="56"/>
      <c r="E70" s="56"/>
      <c r="F70" s="56"/>
      <c r="G70" s="57"/>
    </row>
    <row r="71" spans="1:7" s="13" customFormat="1" ht="15.75" x14ac:dyDescent="0.3">
      <c r="A71" s="15" t="s">
        <v>6</v>
      </c>
      <c r="B71" s="1" t="s">
        <v>7</v>
      </c>
      <c r="C71" s="16" t="s">
        <v>8</v>
      </c>
      <c r="D71" s="16" t="s">
        <v>9</v>
      </c>
      <c r="E71" s="16" t="s">
        <v>10</v>
      </c>
      <c r="F71" s="16" t="s">
        <v>11</v>
      </c>
      <c r="G71" s="2" t="s">
        <v>12</v>
      </c>
    </row>
    <row r="72" spans="1:7" s="20" customFormat="1" x14ac:dyDescent="0.25">
      <c r="A72" s="3">
        <v>49</v>
      </c>
      <c r="B72" s="17" t="s">
        <v>116</v>
      </c>
      <c r="C72" s="17" t="s">
        <v>13</v>
      </c>
      <c r="D72" s="4">
        <v>4</v>
      </c>
      <c r="E72" s="18" t="s">
        <v>14</v>
      </c>
      <c r="F72" s="19"/>
      <c r="G72" s="27">
        <f t="shared" ref="G72:G82" si="6">D72*F72</f>
        <v>0</v>
      </c>
    </row>
    <row r="73" spans="1:7" s="30" customFormat="1" x14ac:dyDescent="0.25">
      <c r="A73" s="3">
        <v>50</v>
      </c>
      <c r="B73" s="17" t="s">
        <v>116</v>
      </c>
      <c r="C73" s="17" t="s">
        <v>17</v>
      </c>
      <c r="D73" s="4">
        <v>4</v>
      </c>
      <c r="E73" s="18" t="s">
        <v>14</v>
      </c>
      <c r="F73" s="19"/>
      <c r="G73" s="27">
        <f t="shared" si="6"/>
        <v>0</v>
      </c>
    </row>
    <row r="74" spans="1:7" s="30" customFormat="1" x14ac:dyDescent="0.25">
      <c r="A74" s="3">
        <v>51</v>
      </c>
      <c r="B74" s="17" t="s">
        <v>116</v>
      </c>
      <c r="C74" s="31" t="s">
        <v>37</v>
      </c>
      <c r="D74" s="4">
        <v>4</v>
      </c>
      <c r="E74" s="24" t="s">
        <v>14</v>
      </c>
      <c r="F74" s="19"/>
      <c r="G74" s="27">
        <f t="shared" si="6"/>
        <v>0</v>
      </c>
    </row>
    <row r="75" spans="1:7" s="30" customFormat="1" x14ac:dyDescent="0.25">
      <c r="A75" s="3">
        <v>52</v>
      </c>
      <c r="B75" s="17" t="s">
        <v>116</v>
      </c>
      <c r="C75" s="34" t="s">
        <v>15</v>
      </c>
      <c r="D75" s="4">
        <v>4</v>
      </c>
      <c r="E75" s="18" t="s">
        <v>14</v>
      </c>
      <c r="F75" s="19"/>
      <c r="G75" s="27">
        <f t="shared" si="6"/>
        <v>0</v>
      </c>
    </row>
    <row r="76" spans="1:7" s="30" customFormat="1" x14ac:dyDescent="0.25">
      <c r="A76" s="3">
        <v>53</v>
      </c>
      <c r="B76" s="17" t="s">
        <v>116</v>
      </c>
      <c r="C76" s="34" t="s">
        <v>22</v>
      </c>
      <c r="D76" s="4">
        <v>4</v>
      </c>
      <c r="E76" s="18" t="s">
        <v>14</v>
      </c>
      <c r="F76" s="19"/>
      <c r="G76" s="27">
        <f t="shared" si="6"/>
        <v>0</v>
      </c>
    </row>
    <row r="77" spans="1:7" s="30" customFormat="1" x14ac:dyDescent="0.25">
      <c r="A77" s="3">
        <v>54</v>
      </c>
      <c r="B77" s="17" t="s">
        <v>122</v>
      </c>
      <c r="C77" s="34" t="s">
        <v>18</v>
      </c>
      <c r="D77" s="4">
        <v>4</v>
      </c>
      <c r="E77" s="18" t="s">
        <v>14</v>
      </c>
      <c r="F77" s="19"/>
      <c r="G77" s="27">
        <f t="shared" si="6"/>
        <v>0</v>
      </c>
    </row>
    <row r="78" spans="1:7" s="30" customFormat="1" x14ac:dyDescent="0.25">
      <c r="A78" s="3">
        <v>55</v>
      </c>
      <c r="B78" s="17" t="s">
        <v>122</v>
      </c>
      <c r="C78" s="34" t="s">
        <v>16</v>
      </c>
      <c r="D78" s="4">
        <v>4</v>
      </c>
      <c r="E78" s="18" t="s">
        <v>14</v>
      </c>
      <c r="F78" s="19"/>
      <c r="G78" s="27">
        <f t="shared" si="6"/>
        <v>0</v>
      </c>
    </row>
    <row r="79" spans="1:7" s="30" customFormat="1" x14ac:dyDescent="0.25">
      <c r="A79" s="3">
        <v>56</v>
      </c>
      <c r="B79" s="17" t="s">
        <v>122</v>
      </c>
      <c r="C79" s="34" t="s">
        <v>19</v>
      </c>
      <c r="D79" s="4">
        <v>4</v>
      </c>
      <c r="E79" s="18" t="s">
        <v>14</v>
      </c>
      <c r="F79" s="19"/>
      <c r="G79" s="27">
        <f t="shared" si="6"/>
        <v>0</v>
      </c>
    </row>
    <row r="80" spans="1:7" s="30" customFormat="1" x14ac:dyDescent="0.25">
      <c r="A80" s="3">
        <v>57</v>
      </c>
      <c r="B80" s="17" t="s">
        <v>122</v>
      </c>
      <c r="C80" s="35" t="s">
        <v>21</v>
      </c>
      <c r="D80" s="4">
        <v>4</v>
      </c>
      <c r="E80" s="18" t="s">
        <v>14</v>
      </c>
      <c r="F80" s="19"/>
      <c r="G80" s="27">
        <f t="shared" si="6"/>
        <v>0</v>
      </c>
    </row>
    <row r="81" spans="1:7" s="36" customFormat="1" ht="15.75" x14ac:dyDescent="0.3">
      <c r="A81" s="3">
        <v>58</v>
      </c>
      <c r="B81" s="17" t="s">
        <v>122</v>
      </c>
      <c r="C81" s="32" t="s">
        <v>23</v>
      </c>
      <c r="D81" s="4">
        <v>4</v>
      </c>
      <c r="E81" s="18" t="s">
        <v>14</v>
      </c>
      <c r="F81" s="19"/>
      <c r="G81" s="27">
        <f t="shared" si="6"/>
        <v>0</v>
      </c>
    </row>
    <row r="82" spans="1:7" s="30" customFormat="1" ht="15.75" thickBot="1" x14ac:dyDescent="0.3">
      <c r="A82" s="3">
        <v>59</v>
      </c>
      <c r="B82" s="17" t="s">
        <v>122</v>
      </c>
      <c r="C82" s="34" t="s">
        <v>20</v>
      </c>
      <c r="D82" s="4">
        <v>4</v>
      </c>
      <c r="E82" s="18" t="s">
        <v>14</v>
      </c>
      <c r="F82" s="19"/>
      <c r="G82" s="27">
        <f t="shared" si="6"/>
        <v>0</v>
      </c>
    </row>
    <row r="83" spans="1:7" s="38" customFormat="1" ht="17.25" thickTop="1" thickBot="1" x14ac:dyDescent="0.35">
      <c r="A83" s="50" t="s">
        <v>44</v>
      </c>
      <c r="B83" s="51"/>
      <c r="C83" s="51"/>
      <c r="D83" s="51"/>
      <c r="E83" s="51"/>
      <c r="F83" s="51"/>
      <c r="G83" s="9">
        <f>SUM(G72:G82)</f>
        <v>0</v>
      </c>
    </row>
    <row r="84" spans="1:7" s="30" customFormat="1" ht="15.75" thickTop="1" x14ac:dyDescent="0.25">
      <c r="A84" s="3">
        <v>60</v>
      </c>
      <c r="B84" s="34" t="s">
        <v>117</v>
      </c>
      <c r="C84" s="17" t="s">
        <v>45</v>
      </c>
      <c r="D84" s="4">
        <v>6</v>
      </c>
      <c r="E84" s="18" t="s">
        <v>29</v>
      </c>
      <c r="F84" s="19"/>
      <c r="G84" s="27">
        <f t="shared" ref="G84:G85" si="7">D84*F84</f>
        <v>0</v>
      </c>
    </row>
    <row r="85" spans="1:7" s="30" customFormat="1" ht="15.75" thickBot="1" x14ac:dyDescent="0.3">
      <c r="A85" s="3">
        <v>61</v>
      </c>
      <c r="B85" s="34" t="s">
        <v>118</v>
      </c>
      <c r="C85" s="17" t="s">
        <v>39</v>
      </c>
      <c r="D85" s="4">
        <v>9</v>
      </c>
      <c r="E85" s="18" t="s">
        <v>14</v>
      </c>
      <c r="F85" s="19"/>
      <c r="G85" s="27">
        <f t="shared" si="7"/>
        <v>0</v>
      </c>
    </row>
    <row r="86" spans="1:7" s="11" customFormat="1" ht="17.25" thickTop="1" thickBot="1" x14ac:dyDescent="0.35">
      <c r="A86" s="50" t="s">
        <v>46</v>
      </c>
      <c r="B86" s="51"/>
      <c r="C86" s="51"/>
      <c r="D86" s="51"/>
      <c r="E86" s="51"/>
      <c r="F86" s="51"/>
      <c r="G86" s="9">
        <f>SUM(G84:G85)</f>
        <v>0</v>
      </c>
    </row>
    <row r="87" spans="1:7" s="30" customFormat="1" ht="15.75" thickTop="1" x14ac:dyDescent="0.25">
      <c r="A87" s="3">
        <v>62</v>
      </c>
      <c r="B87" s="17" t="s">
        <v>92</v>
      </c>
      <c r="C87" s="17" t="s">
        <v>13</v>
      </c>
      <c r="D87" s="4">
        <v>1</v>
      </c>
      <c r="E87" s="18" t="s">
        <v>14</v>
      </c>
      <c r="F87" s="19"/>
      <c r="G87" s="27">
        <f t="shared" ref="G87:G97" si="8">D87*F87</f>
        <v>0</v>
      </c>
    </row>
    <row r="88" spans="1:7" s="30" customFormat="1" x14ac:dyDescent="0.25">
      <c r="A88" s="3">
        <v>63</v>
      </c>
      <c r="B88" s="17" t="s">
        <v>92</v>
      </c>
      <c r="C88" s="17" t="s">
        <v>17</v>
      </c>
      <c r="D88" s="4">
        <v>1</v>
      </c>
      <c r="E88" s="18" t="s">
        <v>14</v>
      </c>
      <c r="F88" s="19"/>
      <c r="G88" s="27">
        <f t="shared" si="8"/>
        <v>0</v>
      </c>
    </row>
    <row r="89" spans="1:7" s="30" customFormat="1" x14ac:dyDescent="0.25">
      <c r="A89" s="3">
        <v>64</v>
      </c>
      <c r="B89" s="17" t="s">
        <v>92</v>
      </c>
      <c r="C89" s="31" t="s">
        <v>37</v>
      </c>
      <c r="D89" s="4">
        <v>1</v>
      </c>
      <c r="E89" s="18" t="s">
        <v>14</v>
      </c>
      <c r="F89" s="19"/>
      <c r="G89" s="27">
        <f t="shared" si="8"/>
        <v>0</v>
      </c>
    </row>
    <row r="90" spans="1:7" s="30" customFormat="1" x14ac:dyDescent="0.25">
      <c r="A90" s="3">
        <v>65</v>
      </c>
      <c r="B90" s="17" t="s">
        <v>92</v>
      </c>
      <c r="C90" s="34" t="s">
        <v>18</v>
      </c>
      <c r="D90" s="4">
        <v>1</v>
      </c>
      <c r="E90" s="18" t="s">
        <v>14</v>
      </c>
      <c r="F90" s="19"/>
      <c r="G90" s="27">
        <f t="shared" si="8"/>
        <v>0</v>
      </c>
    </row>
    <row r="91" spans="1:7" s="30" customFormat="1" x14ac:dyDescent="0.25">
      <c r="A91" s="3">
        <v>66</v>
      </c>
      <c r="B91" s="17" t="s">
        <v>92</v>
      </c>
      <c r="C91" s="34" t="s">
        <v>15</v>
      </c>
      <c r="D91" s="4">
        <v>1</v>
      </c>
      <c r="E91" s="18" t="s">
        <v>14</v>
      </c>
      <c r="F91" s="19"/>
      <c r="G91" s="27">
        <f t="shared" si="8"/>
        <v>0</v>
      </c>
    </row>
    <row r="92" spans="1:7" s="30" customFormat="1" x14ac:dyDescent="0.25">
      <c r="A92" s="3">
        <v>67</v>
      </c>
      <c r="B92" s="17" t="s">
        <v>92</v>
      </c>
      <c r="C92" s="34" t="s">
        <v>16</v>
      </c>
      <c r="D92" s="4">
        <v>1</v>
      </c>
      <c r="E92" s="18" t="s">
        <v>14</v>
      </c>
      <c r="F92" s="19"/>
      <c r="G92" s="27">
        <f t="shared" si="8"/>
        <v>0</v>
      </c>
    </row>
    <row r="93" spans="1:7" s="30" customFormat="1" x14ac:dyDescent="0.25">
      <c r="A93" s="3">
        <v>68</v>
      </c>
      <c r="B93" s="17" t="s">
        <v>92</v>
      </c>
      <c r="C93" s="34" t="s">
        <v>19</v>
      </c>
      <c r="D93" s="4">
        <v>1</v>
      </c>
      <c r="E93" s="18" t="s">
        <v>14</v>
      </c>
      <c r="F93" s="19"/>
      <c r="G93" s="27">
        <f t="shared" si="8"/>
        <v>0</v>
      </c>
    </row>
    <row r="94" spans="1:7" s="30" customFormat="1" x14ac:dyDescent="0.25">
      <c r="A94" s="3">
        <v>69</v>
      </c>
      <c r="B94" s="17" t="s">
        <v>92</v>
      </c>
      <c r="C94" s="35" t="s">
        <v>21</v>
      </c>
      <c r="D94" s="4">
        <v>1</v>
      </c>
      <c r="E94" s="18" t="s">
        <v>14</v>
      </c>
      <c r="F94" s="19"/>
      <c r="G94" s="27">
        <f t="shared" si="8"/>
        <v>0</v>
      </c>
    </row>
    <row r="95" spans="1:7" s="30" customFormat="1" x14ac:dyDescent="0.25">
      <c r="A95" s="3">
        <v>70</v>
      </c>
      <c r="B95" s="17" t="s">
        <v>92</v>
      </c>
      <c r="C95" s="32" t="s">
        <v>23</v>
      </c>
      <c r="D95" s="4">
        <v>1</v>
      </c>
      <c r="E95" s="18" t="s">
        <v>14</v>
      </c>
      <c r="F95" s="19"/>
      <c r="G95" s="27">
        <f t="shared" si="8"/>
        <v>0</v>
      </c>
    </row>
    <row r="96" spans="1:7" s="36" customFormat="1" ht="15.75" x14ac:dyDescent="0.3">
      <c r="A96" s="3">
        <v>71</v>
      </c>
      <c r="B96" s="17" t="s">
        <v>92</v>
      </c>
      <c r="C96" s="34" t="s">
        <v>22</v>
      </c>
      <c r="D96" s="4">
        <v>1</v>
      </c>
      <c r="E96" s="18" t="s">
        <v>14</v>
      </c>
      <c r="F96" s="19"/>
      <c r="G96" s="27">
        <f t="shared" si="8"/>
        <v>0</v>
      </c>
    </row>
    <row r="97" spans="1:7" s="30" customFormat="1" ht="15.75" thickBot="1" x14ac:dyDescent="0.3">
      <c r="A97" s="3">
        <v>72</v>
      </c>
      <c r="B97" s="17" t="s">
        <v>92</v>
      </c>
      <c r="C97" s="34" t="s">
        <v>20</v>
      </c>
      <c r="D97" s="4">
        <v>1</v>
      </c>
      <c r="E97" s="18" t="s">
        <v>14</v>
      </c>
      <c r="F97" s="19"/>
      <c r="G97" s="27">
        <f t="shared" si="8"/>
        <v>0</v>
      </c>
    </row>
    <row r="98" spans="1:7" s="39" customFormat="1" ht="17.25" thickTop="1" thickBot="1" x14ac:dyDescent="0.35">
      <c r="A98" s="50" t="s">
        <v>47</v>
      </c>
      <c r="B98" s="51"/>
      <c r="C98" s="51"/>
      <c r="D98" s="51"/>
      <c r="E98" s="51"/>
      <c r="F98" s="51"/>
      <c r="G98" s="9">
        <f>SUM(G87:G97)</f>
        <v>0</v>
      </c>
    </row>
    <row r="99" spans="1:7" s="36" customFormat="1" ht="16.5" thickTop="1" x14ac:dyDescent="0.3">
      <c r="A99" s="3">
        <v>73</v>
      </c>
      <c r="B99" s="17" t="s">
        <v>93</v>
      </c>
      <c r="C99" s="17" t="s">
        <v>13</v>
      </c>
      <c r="D99" s="4">
        <v>4</v>
      </c>
      <c r="E99" s="18" t="s">
        <v>14</v>
      </c>
      <c r="F99" s="19"/>
      <c r="G99" s="27">
        <f t="shared" ref="G99:G108" si="9">D99*F99</f>
        <v>0</v>
      </c>
    </row>
    <row r="100" spans="1:7" s="36" customFormat="1" ht="15.75" x14ac:dyDescent="0.3">
      <c r="A100" s="3">
        <v>74</v>
      </c>
      <c r="B100" s="17" t="s">
        <v>93</v>
      </c>
      <c r="C100" s="17" t="s">
        <v>17</v>
      </c>
      <c r="D100" s="4">
        <v>4</v>
      </c>
      <c r="E100" s="18" t="s">
        <v>14</v>
      </c>
      <c r="F100" s="19"/>
      <c r="G100" s="27">
        <f t="shared" si="9"/>
        <v>0</v>
      </c>
    </row>
    <row r="101" spans="1:7" s="36" customFormat="1" ht="15.75" x14ac:dyDescent="0.3">
      <c r="A101" s="3">
        <v>75</v>
      </c>
      <c r="B101" s="17" t="s">
        <v>93</v>
      </c>
      <c r="C101" s="31" t="s">
        <v>37</v>
      </c>
      <c r="D101" s="4">
        <v>4</v>
      </c>
      <c r="E101" s="18" t="s">
        <v>14</v>
      </c>
      <c r="F101" s="19"/>
      <c r="G101" s="27">
        <f t="shared" si="9"/>
        <v>0</v>
      </c>
    </row>
    <row r="102" spans="1:7" s="36" customFormat="1" ht="15.75" x14ac:dyDescent="0.3">
      <c r="A102" s="3">
        <v>76</v>
      </c>
      <c r="B102" s="17" t="s">
        <v>93</v>
      </c>
      <c r="C102" s="34" t="s">
        <v>18</v>
      </c>
      <c r="D102" s="4">
        <v>4</v>
      </c>
      <c r="E102" s="18" t="s">
        <v>14</v>
      </c>
      <c r="F102" s="19"/>
      <c r="G102" s="27">
        <f t="shared" si="9"/>
        <v>0</v>
      </c>
    </row>
    <row r="103" spans="1:7" s="36" customFormat="1" ht="15.75" x14ac:dyDescent="0.3">
      <c r="A103" s="3">
        <v>77</v>
      </c>
      <c r="B103" s="17" t="s">
        <v>93</v>
      </c>
      <c r="C103" s="34" t="s">
        <v>15</v>
      </c>
      <c r="D103" s="4">
        <v>4</v>
      </c>
      <c r="E103" s="18" t="s">
        <v>14</v>
      </c>
      <c r="F103" s="19"/>
      <c r="G103" s="27">
        <f t="shared" si="9"/>
        <v>0</v>
      </c>
    </row>
    <row r="104" spans="1:7" s="36" customFormat="1" ht="15.75" x14ac:dyDescent="0.3">
      <c r="A104" s="3">
        <v>78</v>
      </c>
      <c r="B104" s="17" t="s">
        <v>93</v>
      </c>
      <c r="C104" s="34" t="s">
        <v>19</v>
      </c>
      <c r="D104" s="4">
        <v>4</v>
      </c>
      <c r="E104" s="18" t="s">
        <v>14</v>
      </c>
      <c r="F104" s="19"/>
      <c r="G104" s="27">
        <f t="shared" si="9"/>
        <v>0</v>
      </c>
    </row>
    <row r="105" spans="1:7" s="30" customFormat="1" x14ac:dyDescent="0.25">
      <c r="A105" s="3">
        <v>79</v>
      </c>
      <c r="B105" s="17" t="s">
        <v>93</v>
      </c>
      <c r="C105" s="35" t="s">
        <v>21</v>
      </c>
      <c r="D105" s="4">
        <v>4</v>
      </c>
      <c r="E105" s="18" t="s">
        <v>14</v>
      </c>
      <c r="F105" s="19"/>
      <c r="G105" s="27">
        <f t="shared" si="9"/>
        <v>0</v>
      </c>
    </row>
    <row r="106" spans="1:7" s="36" customFormat="1" ht="15.75" x14ac:dyDescent="0.3">
      <c r="A106" s="3">
        <v>80</v>
      </c>
      <c r="B106" s="17" t="s">
        <v>93</v>
      </c>
      <c r="C106" s="32" t="s">
        <v>23</v>
      </c>
      <c r="D106" s="4">
        <v>4</v>
      </c>
      <c r="E106" s="18" t="s">
        <v>14</v>
      </c>
      <c r="F106" s="19"/>
      <c r="G106" s="27">
        <f t="shared" si="9"/>
        <v>0</v>
      </c>
    </row>
    <row r="107" spans="1:7" s="36" customFormat="1" ht="15.75" x14ac:dyDescent="0.3">
      <c r="A107" s="3">
        <v>81</v>
      </c>
      <c r="B107" s="17" t="s">
        <v>93</v>
      </c>
      <c r="C107" s="34" t="s">
        <v>22</v>
      </c>
      <c r="D107" s="4">
        <v>4</v>
      </c>
      <c r="E107" s="18" t="s">
        <v>14</v>
      </c>
      <c r="F107" s="19"/>
      <c r="G107" s="27">
        <f t="shared" si="9"/>
        <v>0</v>
      </c>
    </row>
    <row r="108" spans="1:7" s="30" customFormat="1" ht="15.75" thickBot="1" x14ac:dyDescent="0.3">
      <c r="A108" s="3">
        <v>82</v>
      </c>
      <c r="B108" s="17" t="s">
        <v>93</v>
      </c>
      <c r="C108" s="34" t="s">
        <v>20</v>
      </c>
      <c r="D108" s="4">
        <v>4</v>
      </c>
      <c r="E108" s="18" t="s">
        <v>14</v>
      </c>
      <c r="F108" s="19"/>
      <c r="G108" s="27">
        <f t="shared" si="9"/>
        <v>0</v>
      </c>
    </row>
    <row r="109" spans="1:7" s="11" customFormat="1" ht="17.25" thickTop="1" thickBot="1" x14ac:dyDescent="0.35">
      <c r="A109" s="50" t="s">
        <v>48</v>
      </c>
      <c r="B109" s="51"/>
      <c r="C109" s="51"/>
      <c r="D109" s="51"/>
      <c r="E109" s="51"/>
      <c r="F109" s="51"/>
      <c r="G109" s="9">
        <f>SUM(G99:G108)</f>
        <v>0</v>
      </c>
    </row>
    <row r="110" spans="1:7" s="11" customFormat="1" ht="17.25" thickTop="1" thickBot="1" x14ac:dyDescent="0.35">
      <c r="A110" s="52" t="s">
        <v>49</v>
      </c>
      <c r="B110" s="53"/>
      <c r="C110" s="53"/>
      <c r="D110" s="53"/>
      <c r="E110" s="53"/>
      <c r="F110" s="54"/>
      <c r="G110" s="9">
        <f>G83+G86+G98+G109</f>
        <v>0</v>
      </c>
    </row>
    <row r="111" spans="1:7" s="11" customFormat="1" ht="16.5" thickTop="1" x14ac:dyDescent="0.3">
      <c r="A111" s="55" t="s">
        <v>50</v>
      </c>
      <c r="B111" s="56"/>
      <c r="C111" s="56"/>
      <c r="D111" s="56"/>
      <c r="E111" s="56"/>
      <c r="F111" s="56"/>
      <c r="G111" s="57"/>
    </row>
    <row r="112" spans="1:7" s="13" customFormat="1" ht="15.75" x14ac:dyDescent="0.3">
      <c r="A112" s="15" t="s">
        <v>6</v>
      </c>
      <c r="B112" s="1" t="s">
        <v>7</v>
      </c>
      <c r="C112" s="16" t="s">
        <v>8</v>
      </c>
      <c r="D112" s="16" t="s">
        <v>9</v>
      </c>
      <c r="E112" s="16" t="s">
        <v>10</v>
      </c>
      <c r="F112" s="16" t="s">
        <v>11</v>
      </c>
      <c r="G112" s="2" t="s">
        <v>12</v>
      </c>
    </row>
    <row r="113" spans="1:7" s="30" customFormat="1" x14ac:dyDescent="0.25">
      <c r="A113" s="3">
        <v>83</v>
      </c>
      <c r="B113" s="17" t="s">
        <v>119</v>
      </c>
      <c r="C113" s="17" t="s">
        <v>13</v>
      </c>
      <c r="D113" s="4">
        <v>9</v>
      </c>
      <c r="E113" s="18" t="s">
        <v>14</v>
      </c>
      <c r="F113" s="19"/>
      <c r="G113" s="27">
        <f t="shared" ref="G113:G120" si="10">D113*F113</f>
        <v>0</v>
      </c>
    </row>
    <row r="114" spans="1:7" s="40" customFormat="1" x14ac:dyDescent="0.25">
      <c r="A114" s="3">
        <v>84</v>
      </c>
      <c r="B114" s="17" t="s">
        <v>119</v>
      </c>
      <c r="C114" s="17" t="s">
        <v>17</v>
      </c>
      <c r="D114" s="4">
        <v>9</v>
      </c>
      <c r="E114" s="18" t="s">
        <v>14</v>
      </c>
      <c r="F114" s="19"/>
      <c r="G114" s="27">
        <f t="shared" si="10"/>
        <v>0</v>
      </c>
    </row>
    <row r="115" spans="1:7" s="30" customFormat="1" x14ac:dyDescent="0.25">
      <c r="A115" s="3">
        <v>85</v>
      </c>
      <c r="B115" s="17" t="s">
        <v>119</v>
      </c>
      <c r="C115" s="17" t="s">
        <v>37</v>
      </c>
      <c r="D115" s="4">
        <v>9</v>
      </c>
      <c r="E115" s="18" t="s">
        <v>14</v>
      </c>
      <c r="F115" s="19"/>
      <c r="G115" s="27">
        <f t="shared" si="10"/>
        <v>0</v>
      </c>
    </row>
    <row r="116" spans="1:7" s="30" customFormat="1" x14ac:dyDescent="0.25">
      <c r="A116" s="3">
        <v>86</v>
      </c>
      <c r="B116" s="17" t="s">
        <v>119</v>
      </c>
      <c r="C116" s="17" t="s">
        <v>18</v>
      </c>
      <c r="D116" s="4">
        <v>9</v>
      </c>
      <c r="E116" s="18" t="s">
        <v>14</v>
      </c>
      <c r="F116" s="19"/>
      <c r="G116" s="27">
        <f t="shared" si="10"/>
        <v>0</v>
      </c>
    </row>
    <row r="117" spans="1:7" s="30" customFormat="1" x14ac:dyDescent="0.25">
      <c r="A117" s="3">
        <v>87</v>
      </c>
      <c r="B117" s="17" t="s">
        <v>119</v>
      </c>
      <c r="C117" s="17" t="s">
        <v>15</v>
      </c>
      <c r="D117" s="4">
        <v>9</v>
      </c>
      <c r="E117" s="18" t="s">
        <v>14</v>
      </c>
      <c r="F117" s="19"/>
      <c r="G117" s="27">
        <f t="shared" si="10"/>
        <v>0</v>
      </c>
    </row>
    <row r="118" spans="1:7" s="30" customFormat="1" x14ac:dyDescent="0.25">
      <c r="A118" s="3">
        <v>88</v>
      </c>
      <c r="B118" s="17" t="s">
        <v>119</v>
      </c>
      <c r="C118" s="17" t="s">
        <v>21</v>
      </c>
      <c r="D118" s="4">
        <v>9</v>
      </c>
      <c r="E118" s="18" t="s">
        <v>14</v>
      </c>
      <c r="F118" s="19"/>
      <c r="G118" s="27">
        <f t="shared" si="10"/>
        <v>0</v>
      </c>
    </row>
    <row r="119" spans="1:7" s="30" customFormat="1" x14ac:dyDescent="0.25">
      <c r="A119" s="3">
        <v>89</v>
      </c>
      <c r="B119" s="17" t="s">
        <v>119</v>
      </c>
      <c r="C119" s="17" t="s">
        <v>19</v>
      </c>
      <c r="D119" s="4">
        <v>9</v>
      </c>
      <c r="E119" s="18" t="s">
        <v>14</v>
      </c>
      <c r="F119" s="19"/>
      <c r="G119" s="27">
        <f t="shared" si="10"/>
        <v>0</v>
      </c>
    </row>
    <row r="120" spans="1:7" s="30" customFormat="1" ht="15.75" thickBot="1" x14ac:dyDescent="0.3">
      <c r="A120" s="3">
        <v>90</v>
      </c>
      <c r="B120" s="17" t="s">
        <v>119</v>
      </c>
      <c r="C120" s="17" t="s">
        <v>22</v>
      </c>
      <c r="D120" s="4">
        <v>9</v>
      </c>
      <c r="E120" s="18" t="s">
        <v>14</v>
      </c>
      <c r="F120" s="19"/>
      <c r="G120" s="27">
        <f t="shared" si="10"/>
        <v>0</v>
      </c>
    </row>
    <row r="121" spans="1:7" s="11" customFormat="1" ht="17.25" thickTop="1" thickBot="1" x14ac:dyDescent="0.35">
      <c r="A121" s="50" t="s">
        <v>51</v>
      </c>
      <c r="B121" s="51"/>
      <c r="C121" s="51"/>
      <c r="D121" s="51"/>
      <c r="E121" s="51"/>
      <c r="F121" s="51"/>
      <c r="G121" s="9">
        <f>SUM(G113:G120)</f>
        <v>0</v>
      </c>
    </row>
    <row r="122" spans="1:7" s="11" customFormat="1" ht="17.25" thickTop="1" thickBot="1" x14ac:dyDescent="0.35">
      <c r="A122" s="52" t="s">
        <v>52</v>
      </c>
      <c r="B122" s="53"/>
      <c r="C122" s="53"/>
      <c r="D122" s="53"/>
      <c r="E122" s="53"/>
      <c r="F122" s="54"/>
      <c r="G122" s="9">
        <f>G121</f>
        <v>0</v>
      </c>
    </row>
    <row r="123" spans="1:7" s="11" customFormat="1" ht="16.5" thickTop="1" x14ac:dyDescent="0.3">
      <c r="A123" s="62" t="s">
        <v>53</v>
      </c>
      <c r="B123" s="63"/>
      <c r="C123" s="63"/>
      <c r="D123" s="63"/>
      <c r="E123" s="63"/>
      <c r="F123" s="63"/>
      <c r="G123" s="64"/>
    </row>
    <row r="124" spans="1:7" s="20" customFormat="1" ht="15.75" x14ac:dyDescent="0.3">
      <c r="A124" s="15" t="s">
        <v>6</v>
      </c>
      <c r="B124" s="6" t="s">
        <v>7</v>
      </c>
      <c r="C124" s="18" t="s">
        <v>8</v>
      </c>
      <c r="D124" s="18" t="s">
        <v>9</v>
      </c>
      <c r="E124" s="18" t="s">
        <v>10</v>
      </c>
      <c r="F124" s="18" t="s">
        <v>11</v>
      </c>
      <c r="G124" s="7" t="s">
        <v>12</v>
      </c>
    </row>
    <row r="125" spans="1:7" s="20" customFormat="1" x14ac:dyDescent="0.25">
      <c r="A125" s="3">
        <v>91</v>
      </c>
      <c r="B125" s="41" t="s">
        <v>120</v>
      </c>
      <c r="C125" s="42" t="s">
        <v>54</v>
      </c>
      <c r="D125" s="4">
        <v>4</v>
      </c>
      <c r="E125" s="6" t="s">
        <v>14</v>
      </c>
      <c r="F125" s="19"/>
      <c r="G125" s="27">
        <f t="shared" ref="G125:G133" si="11">D125*F125</f>
        <v>0</v>
      </c>
    </row>
    <row r="126" spans="1:7" s="20" customFormat="1" x14ac:dyDescent="0.25">
      <c r="A126" s="3">
        <v>92</v>
      </c>
      <c r="B126" s="41" t="s">
        <v>120</v>
      </c>
      <c r="C126" s="42" t="s">
        <v>17</v>
      </c>
      <c r="D126" s="4">
        <v>4</v>
      </c>
      <c r="E126" s="6" t="s">
        <v>14</v>
      </c>
      <c r="F126" s="19"/>
      <c r="G126" s="27">
        <f t="shared" si="11"/>
        <v>0</v>
      </c>
    </row>
    <row r="127" spans="1:7" s="20" customFormat="1" x14ac:dyDescent="0.25">
      <c r="A127" s="3">
        <v>93</v>
      </c>
      <c r="B127" s="41" t="s">
        <v>120</v>
      </c>
      <c r="C127" s="42" t="s">
        <v>37</v>
      </c>
      <c r="D127" s="4">
        <v>4</v>
      </c>
      <c r="E127" s="6" t="s">
        <v>14</v>
      </c>
      <c r="F127" s="19"/>
      <c r="G127" s="27">
        <f t="shared" si="11"/>
        <v>0</v>
      </c>
    </row>
    <row r="128" spans="1:7" s="20" customFormat="1" x14ac:dyDescent="0.25">
      <c r="A128" s="3">
        <v>94</v>
      </c>
      <c r="B128" s="41" t="s">
        <v>120</v>
      </c>
      <c r="C128" s="42" t="s">
        <v>55</v>
      </c>
      <c r="D128" s="4">
        <v>4</v>
      </c>
      <c r="E128" s="6" t="s">
        <v>14</v>
      </c>
      <c r="F128" s="19"/>
      <c r="G128" s="27">
        <f t="shared" si="11"/>
        <v>0</v>
      </c>
    </row>
    <row r="129" spans="1:7" s="20" customFormat="1" x14ac:dyDescent="0.25">
      <c r="A129" s="3">
        <v>95</v>
      </c>
      <c r="B129" s="41" t="s">
        <v>120</v>
      </c>
      <c r="C129" s="42" t="s">
        <v>56</v>
      </c>
      <c r="D129" s="4">
        <v>4</v>
      </c>
      <c r="E129" s="6" t="s">
        <v>14</v>
      </c>
      <c r="F129" s="19"/>
      <c r="G129" s="27">
        <f t="shared" si="11"/>
        <v>0</v>
      </c>
    </row>
    <row r="130" spans="1:7" s="20" customFormat="1" x14ac:dyDescent="0.25">
      <c r="A130" s="3">
        <v>96</v>
      </c>
      <c r="B130" s="41" t="s">
        <v>120</v>
      </c>
      <c r="C130" s="43" t="s">
        <v>57</v>
      </c>
      <c r="D130" s="4">
        <v>4</v>
      </c>
      <c r="E130" s="6" t="s">
        <v>14</v>
      </c>
      <c r="F130" s="19"/>
      <c r="G130" s="27">
        <f t="shared" si="11"/>
        <v>0</v>
      </c>
    </row>
    <row r="131" spans="1:7" s="20" customFormat="1" x14ac:dyDescent="0.25">
      <c r="A131" s="3">
        <v>97</v>
      </c>
      <c r="B131" s="41" t="s">
        <v>121</v>
      </c>
      <c r="C131" s="42" t="s">
        <v>58</v>
      </c>
      <c r="D131" s="4">
        <v>4</v>
      </c>
      <c r="E131" s="6" t="s">
        <v>14</v>
      </c>
      <c r="F131" s="19"/>
      <c r="G131" s="27">
        <f t="shared" si="11"/>
        <v>0</v>
      </c>
    </row>
    <row r="132" spans="1:7" s="20" customFormat="1" x14ac:dyDescent="0.25">
      <c r="A132" s="3">
        <v>98</v>
      </c>
      <c r="B132" s="41" t="s">
        <v>97</v>
      </c>
      <c r="C132" s="42" t="s">
        <v>59</v>
      </c>
      <c r="D132" s="4">
        <v>1</v>
      </c>
      <c r="E132" s="6" t="s">
        <v>29</v>
      </c>
      <c r="F132" s="19"/>
      <c r="G132" s="27">
        <f t="shared" si="11"/>
        <v>0</v>
      </c>
    </row>
    <row r="133" spans="1:7" s="20" customFormat="1" ht="15.75" thickBot="1" x14ac:dyDescent="0.3">
      <c r="A133" s="3">
        <v>99</v>
      </c>
      <c r="B133" s="41" t="s">
        <v>98</v>
      </c>
      <c r="C133" s="42" t="s">
        <v>59</v>
      </c>
      <c r="D133" s="4">
        <v>1</v>
      </c>
      <c r="E133" s="6" t="s">
        <v>29</v>
      </c>
      <c r="F133" s="19"/>
      <c r="G133" s="27">
        <f t="shared" si="11"/>
        <v>0</v>
      </c>
    </row>
    <row r="134" spans="1:7" s="11" customFormat="1" ht="17.25" thickTop="1" thickBot="1" x14ac:dyDescent="0.35">
      <c r="A134" s="50" t="s">
        <v>60</v>
      </c>
      <c r="B134" s="51"/>
      <c r="C134" s="51"/>
      <c r="D134" s="51"/>
      <c r="E134" s="51"/>
      <c r="F134" s="51"/>
      <c r="G134" s="9">
        <f>SUM(G125:G133)</f>
        <v>0</v>
      </c>
    </row>
    <row r="135" spans="1:7" s="11" customFormat="1" ht="17.25" thickTop="1" thickBot="1" x14ac:dyDescent="0.35">
      <c r="A135" s="65" t="s">
        <v>61</v>
      </c>
      <c r="B135" s="66"/>
      <c r="C135" s="66"/>
      <c r="D135" s="66"/>
      <c r="E135" s="66"/>
      <c r="F135" s="66"/>
      <c r="G135" s="9">
        <f>G134</f>
        <v>0</v>
      </c>
    </row>
    <row r="136" spans="1:7" s="11" customFormat="1" ht="16.5" thickBot="1" x14ac:dyDescent="0.35">
      <c r="A136" s="67"/>
      <c r="B136" s="67"/>
      <c r="C136" s="67"/>
      <c r="D136" s="67"/>
      <c r="E136" s="67"/>
      <c r="F136" s="67"/>
      <c r="G136" s="68"/>
    </row>
    <row r="137" spans="1:7" s="11" customFormat="1" ht="17.25" thickTop="1" thickBot="1" x14ac:dyDescent="0.35">
      <c r="A137" s="69" t="s">
        <v>62</v>
      </c>
      <c r="B137" s="70"/>
      <c r="C137" s="70"/>
      <c r="D137" s="70"/>
      <c r="E137" s="70"/>
      <c r="F137" s="70"/>
      <c r="G137" s="9">
        <f>G24+G30+G69+G110+G122+G135</f>
        <v>0</v>
      </c>
    </row>
    <row r="138" spans="1:7" s="11" customFormat="1" ht="16.5" thickTop="1" x14ac:dyDescent="0.3">
      <c r="A138" s="58"/>
      <c r="B138" s="58"/>
      <c r="C138" s="58"/>
      <c r="D138" s="58"/>
      <c r="E138" s="58"/>
      <c r="F138" s="58"/>
      <c r="G138" s="59"/>
    </row>
    <row r="139" spans="1:7" s="11" customFormat="1" ht="15.75" x14ac:dyDescent="0.3">
      <c r="A139" s="60" t="s">
        <v>63</v>
      </c>
      <c r="B139" s="60"/>
      <c r="C139" s="60"/>
      <c r="D139" s="60"/>
      <c r="E139" s="60"/>
      <c r="F139" s="60"/>
      <c r="G139" s="60"/>
    </row>
    <row r="140" spans="1:7" s="11" customFormat="1" ht="15.75" x14ac:dyDescent="0.3">
      <c r="G140" s="8"/>
    </row>
    <row r="141" spans="1:7" s="11" customFormat="1" ht="15.75" x14ac:dyDescent="0.3">
      <c r="A141" s="61" t="s">
        <v>64</v>
      </c>
      <c r="B141" s="61"/>
      <c r="C141" s="61"/>
      <c r="D141" s="61"/>
      <c r="E141" s="61"/>
      <c r="F141" s="61"/>
      <c r="G141" s="61"/>
    </row>
    <row r="142" spans="1:7" ht="15.75" x14ac:dyDescent="0.3">
      <c r="F142" s="11"/>
      <c r="G142" s="44"/>
    </row>
    <row r="143" spans="1:7" ht="15.75" x14ac:dyDescent="0.3">
      <c r="F143" s="11"/>
      <c r="G143" s="8"/>
    </row>
    <row r="144" spans="1:7" ht="15.75" x14ac:dyDescent="0.3">
      <c r="F144" s="11"/>
      <c r="G144" s="8"/>
    </row>
    <row r="145" spans="6:7" ht="15.75" x14ac:dyDescent="0.3">
      <c r="F145" s="11"/>
      <c r="G145" s="8"/>
    </row>
  </sheetData>
  <mergeCells count="37">
    <mergeCell ref="A24:F24"/>
    <mergeCell ref="A25:G25"/>
    <mergeCell ref="A29:F29"/>
    <mergeCell ref="A30:F30"/>
    <mergeCell ref="D4:G4"/>
    <mergeCell ref="A6:G6"/>
    <mergeCell ref="A17:F17"/>
    <mergeCell ref="A19:F19"/>
    <mergeCell ref="A23:F23"/>
    <mergeCell ref="A1:B1"/>
    <mergeCell ref="D1:G1"/>
    <mergeCell ref="D2:G2"/>
    <mergeCell ref="A2:B2"/>
    <mergeCell ref="D3:G3"/>
    <mergeCell ref="A31:G31"/>
    <mergeCell ref="A58:F58"/>
    <mergeCell ref="A68:F68"/>
    <mergeCell ref="A69:F69"/>
    <mergeCell ref="A70:G70"/>
    <mergeCell ref="A46:F46"/>
    <mergeCell ref="A44:F44"/>
    <mergeCell ref="A111:G111"/>
    <mergeCell ref="A138:G138"/>
    <mergeCell ref="A139:G139"/>
    <mergeCell ref="A141:G141"/>
    <mergeCell ref="A122:F122"/>
    <mergeCell ref="A123:G123"/>
    <mergeCell ref="A134:F134"/>
    <mergeCell ref="A135:F135"/>
    <mergeCell ref="A136:G136"/>
    <mergeCell ref="A137:F137"/>
    <mergeCell ref="A121:F121"/>
    <mergeCell ref="A83:F83"/>
    <mergeCell ref="A86:F86"/>
    <mergeCell ref="A98:F98"/>
    <mergeCell ref="A109:F109"/>
    <mergeCell ref="A110:F110"/>
  </mergeCells>
  <pageMargins left="0.7" right="0.7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3C94-D111-4F65-80D3-F90318D8C106}">
  <sheetPr>
    <pageSetUpPr fitToPage="1"/>
  </sheetPr>
  <dimension ref="A1:G189"/>
  <sheetViews>
    <sheetView zoomScale="84" zoomScaleNormal="84" workbookViewId="0">
      <pane ySplit="5" topLeftCell="A6" activePane="bottomLeft" state="frozen"/>
      <selection pane="bottomLeft" sqref="A1:B1"/>
    </sheetView>
  </sheetViews>
  <sheetFormatPr defaultRowHeight="15" x14ac:dyDescent="0.25"/>
  <cols>
    <col min="2" max="2" width="111.42578125" customWidth="1"/>
    <col min="3" max="3" width="47.5703125" bestFit="1" customWidth="1"/>
    <col min="4" max="4" width="11.5703125" bestFit="1" customWidth="1"/>
    <col min="5" max="5" width="6.42578125" bestFit="1" customWidth="1"/>
    <col min="6" max="6" width="14.28515625" bestFit="1" customWidth="1"/>
    <col min="7" max="7" width="18.28515625" bestFit="1" customWidth="1"/>
  </cols>
  <sheetData>
    <row r="1" spans="1:7" s="11" customFormat="1" ht="15.75" x14ac:dyDescent="0.3">
      <c r="A1" s="73" t="s">
        <v>99</v>
      </c>
      <c r="B1" s="74"/>
      <c r="C1" s="10" t="s">
        <v>0</v>
      </c>
      <c r="D1" s="91"/>
      <c r="E1" s="91"/>
      <c r="F1" s="91"/>
      <c r="G1" s="92"/>
    </row>
    <row r="2" spans="1:7" s="11" customFormat="1" ht="15.75" x14ac:dyDescent="0.3">
      <c r="A2" s="80" t="s">
        <v>2</v>
      </c>
      <c r="B2" s="81"/>
      <c r="C2" s="12" t="s">
        <v>1</v>
      </c>
      <c r="D2" s="77"/>
      <c r="E2" s="78"/>
      <c r="F2" s="78"/>
      <c r="G2" s="79"/>
    </row>
    <row r="3" spans="1:7" s="11" customFormat="1" ht="15.75" x14ac:dyDescent="0.3">
      <c r="A3" s="45"/>
      <c r="B3" s="46" t="s">
        <v>74</v>
      </c>
      <c r="C3" s="12" t="s">
        <v>3</v>
      </c>
      <c r="D3" s="78"/>
      <c r="E3" s="78"/>
      <c r="F3" s="78"/>
      <c r="G3" s="79"/>
    </row>
    <row r="4" spans="1:7" s="11" customFormat="1" ht="16.5" thickBot="1" x14ac:dyDescent="0.35">
      <c r="A4" s="49"/>
      <c r="B4" s="47" t="s">
        <v>106</v>
      </c>
      <c r="C4" s="14" t="s">
        <v>4</v>
      </c>
      <c r="D4" s="82"/>
      <c r="E4" s="82"/>
      <c r="F4" s="82"/>
      <c r="G4" s="83"/>
    </row>
    <row r="5" spans="1:7" s="13" customFormat="1" ht="15.75" x14ac:dyDescent="0.3">
      <c r="A5" s="15" t="s">
        <v>6</v>
      </c>
      <c r="B5" s="1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2" t="s">
        <v>12</v>
      </c>
    </row>
    <row r="6" spans="1:7" s="11" customFormat="1" ht="15.75" x14ac:dyDescent="0.3">
      <c r="A6" s="84" t="s">
        <v>5</v>
      </c>
      <c r="B6" s="85"/>
      <c r="C6" s="85"/>
      <c r="D6" s="85"/>
      <c r="E6" s="85"/>
      <c r="F6" s="85"/>
      <c r="G6" s="57"/>
    </row>
    <row r="7" spans="1:7" s="20" customFormat="1" x14ac:dyDescent="0.25">
      <c r="A7" s="3">
        <v>1</v>
      </c>
      <c r="B7" s="17" t="s">
        <v>75</v>
      </c>
      <c r="C7" s="17" t="s">
        <v>13</v>
      </c>
      <c r="D7" s="4">
        <v>1</v>
      </c>
      <c r="E7" s="18" t="s">
        <v>14</v>
      </c>
      <c r="F7" s="19"/>
      <c r="G7" s="27">
        <f>D7*F7</f>
        <v>0</v>
      </c>
    </row>
    <row r="8" spans="1:7" s="21" customFormat="1" ht="15.75" x14ac:dyDescent="0.3">
      <c r="A8" s="3">
        <v>2</v>
      </c>
      <c r="B8" s="17" t="s">
        <v>75</v>
      </c>
      <c r="C8" s="17" t="s">
        <v>15</v>
      </c>
      <c r="D8" s="4">
        <v>1</v>
      </c>
      <c r="E8" s="18" t="s">
        <v>14</v>
      </c>
      <c r="F8" s="19"/>
      <c r="G8" s="27">
        <f t="shared" ref="G8:G39" si="0">D8*F8</f>
        <v>0</v>
      </c>
    </row>
    <row r="9" spans="1:7" s="20" customFormat="1" x14ac:dyDescent="0.25">
      <c r="A9" s="3">
        <v>3</v>
      </c>
      <c r="B9" s="17" t="s">
        <v>75</v>
      </c>
      <c r="C9" s="17" t="s">
        <v>16</v>
      </c>
      <c r="D9" s="4">
        <v>1</v>
      </c>
      <c r="E9" s="18" t="s">
        <v>14</v>
      </c>
      <c r="F9" s="19"/>
      <c r="G9" s="27">
        <f t="shared" si="0"/>
        <v>0</v>
      </c>
    </row>
    <row r="10" spans="1:7" s="21" customFormat="1" ht="15.75" x14ac:dyDescent="0.3">
      <c r="A10" s="3">
        <v>4</v>
      </c>
      <c r="B10" s="17" t="s">
        <v>75</v>
      </c>
      <c r="C10" s="17" t="s">
        <v>17</v>
      </c>
      <c r="D10" s="4">
        <v>1</v>
      </c>
      <c r="E10" s="18" t="s">
        <v>14</v>
      </c>
      <c r="F10" s="19"/>
      <c r="G10" s="27">
        <f t="shared" si="0"/>
        <v>0</v>
      </c>
    </row>
    <row r="11" spans="1:7" s="20" customFormat="1" x14ac:dyDescent="0.25">
      <c r="A11" s="3">
        <v>5</v>
      </c>
      <c r="B11" s="17" t="s">
        <v>75</v>
      </c>
      <c r="C11" s="17" t="s">
        <v>18</v>
      </c>
      <c r="D11" s="4">
        <v>1</v>
      </c>
      <c r="E11" s="18" t="s">
        <v>14</v>
      </c>
      <c r="F11" s="19"/>
      <c r="G11" s="27">
        <f t="shared" si="0"/>
        <v>0</v>
      </c>
    </row>
    <row r="12" spans="1:7" s="20" customFormat="1" x14ac:dyDescent="0.25">
      <c r="A12" s="3">
        <v>6</v>
      </c>
      <c r="B12" s="17" t="s">
        <v>75</v>
      </c>
      <c r="C12" s="17" t="s">
        <v>19</v>
      </c>
      <c r="D12" s="4">
        <v>1</v>
      </c>
      <c r="E12" s="18" t="s">
        <v>14</v>
      </c>
      <c r="F12" s="19"/>
      <c r="G12" s="27">
        <f t="shared" si="0"/>
        <v>0</v>
      </c>
    </row>
    <row r="13" spans="1:7" s="20" customFormat="1" x14ac:dyDescent="0.25">
      <c r="A13" s="3">
        <v>7</v>
      </c>
      <c r="B13" s="17" t="s">
        <v>75</v>
      </c>
      <c r="C13" s="17" t="s">
        <v>20</v>
      </c>
      <c r="D13" s="4">
        <v>1</v>
      </c>
      <c r="E13" s="18" t="s">
        <v>14</v>
      </c>
      <c r="F13" s="19"/>
      <c r="G13" s="27">
        <f t="shared" si="0"/>
        <v>0</v>
      </c>
    </row>
    <row r="14" spans="1:7" s="20" customFormat="1" x14ac:dyDescent="0.25">
      <c r="A14" s="3">
        <v>8</v>
      </c>
      <c r="B14" s="17" t="s">
        <v>75</v>
      </c>
      <c r="C14" s="22" t="s">
        <v>21</v>
      </c>
      <c r="D14" s="23">
        <v>1</v>
      </c>
      <c r="E14" s="24" t="s">
        <v>14</v>
      </c>
      <c r="F14" s="19"/>
      <c r="G14" s="27">
        <f t="shared" si="0"/>
        <v>0</v>
      </c>
    </row>
    <row r="15" spans="1:7" s="20" customFormat="1" x14ac:dyDescent="0.25">
      <c r="A15" s="3">
        <v>9</v>
      </c>
      <c r="B15" s="17" t="s">
        <v>75</v>
      </c>
      <c r="C15" s="17" t="s">
        <v>22</v>
      </c>
      <c r="D15" s="4">
        <v>1</v>
      </c>
      <c r="E15" s="18" t="s">
        <v>14</v>
      </c>
      <c r="F15" s="19"/>
      <c r="G15" s="27">
        <f t="shared" si="0"/>
        <v>0</v>
      </c>
    </row>
    <row r="16" spans="1:7" s="20" customFormat="1" ht="15.75" thickBot="1" x14ac:dyDescent="0.3">
      <c r="A16" s="3">
        <v>10</v>
      </c>
      <c r="B16" s="17" t="s">
        <v>75</v>
      </c>
      <c r="C16" s="22" t="s">
        <v>23</v>
      </c>
      <c r="D16" s="23">
        <v>1</v>
      </c>
      <c r="E16" s="24" t="s">
        <v>14</v>
      </c>
      <c r="F16" s="19"/>
      <c r="G16" s="27">
        <f t="shared" si="0"/>
        <v>0</v>
      </c>
    </row>
    <row r="17" spans="1:7" s="11" customFormat="1" ht="17.25" thickTop="1" thickBot="1" x14ac:dyDescent="0.35">
      <c r="A17" s="86" t="s">
        <v>70</v>
      </c>
      <c r="B17" s="87"/>
      <c r="C17" s="87"/>
      <c r="D17" s="87"/>
      <c r="E17" s="87"/>
      <c r="F17" s="87"/>
      <c r="G17" s="9">
        <f>SUM(G7:G16)</f>
        <v>0</v>
      </c>
    </row>
    <row r="18" spans="1:7" s="20" customFormat="1" ht="16.5" thickTop="1" thickBot="1" x14ac:dyDescent="0.3">
      <c r="A18" s="3">
        <v>11</v>
      </c>
      <c r="B18" s="17" t="s">
        <v>76</v>
      </c>
      <c r="C18" s="17" t="s">
        <v>25</v>
      </c>
      <c r="D18" s="4">
        <v>1</v>
      </c>
      <c r="E18" s="18" t="s">
        <v>14</v>
      </c>
      <c r="F18" s="25"/>
      <c r="G18" s="27">
        <f t="shared" si="0"/>
        <v>0</v>
      </c>
    </row>
    <row r="19" spans="1:7" s="11" customFormat="1" ht="17.25" thickTop="1" thickBot="1" x14ac:dyDescent="0.35">
      <c r="A19" s="86" t="s">
        <v>68</v>
      </c>
      <c r="B19" s="87"/>
      <c r="C19" s="87"/>
      <c r="D19" s="87"/>
      <c r="E19" s="87"/>
      <c r="F19" s="87"/>
      <c r="G19" s="9">
        <f>SUM(G18)</f>
        <v>0</v>
      </c>
    </row>
    <row r="20" spans="1:7" s="20" customFormat="1" ht="15.75" thickTop="1" x14ac:dyDescent="0.25">
      <c r="A20" s="3">
        <v>12</v>
      </c>
      <c r="B20" s="26" t="s">
        <v>77</v>
      </c>
      <c r="C20" s="26" t="s">
        <v>27</v>
      </c>
      <c r="D20" s="4">
        <v>1</v>
      </c>
      <c r="E20" s="18" t="s">
        <v>14</v>
      </c>
      <c r="F20" s="19"/>
      <c r="G20" s="27">
        <f t="shared" si="0"/>
        <v>0</v>
      </c>
    </row>
    <row r="21" spans="1:7" s="21" customFormat="1" ht="15.75" x14ac:dyDescent="0.3">
      <c r="A21" s="3">
        <v>13</v>
      </c>
      <c r="B21" s="26" t="s">
        <v>77</v>
      </c>
      <c r="C21" s="17" t="s">
        <v>28</v>
      </c>
      <c r="D21" s="4">
        <v>1</v>
      </c>
      <c r="E21" s="18" t="s">
        <v>14</v>
      </c>
      <c r="F21" s="19"/>
      <c r="G21" s="27">
        <f t="shared" si="0"/>
        <v>0</v>
      </c>
    </row>
    <row r="22" spans="1:7" s="20" customFormat="1" ht="15.75" thickBot="1" x14ac:dyDescent="0.3">
      <c r="A22" s="3">
        <v>14</v>
      </c>
      <c r="B22" s="26" t="s">
        <v>77</v>
      </c>
      <c r="C22" s="26" t="s">
        <v>65</v>
      </c>
      <c r="D22" s="4">
        <v>1</v>
      </c>
      <c r="E22" s="18" t="s">
        <v>14</v>
      </c>
      <c r="F22" s="19"/>
      <c r="G22" s="27">
        <f t="shared" si="0"/>
        <v>0</v>
      </c>
    </row>
    <row r="23" spans="1:7" s="20" customFormat="1" ht="17.25" thickTop="1" thickBot="1" x14ac:dyDescent="0.35">
      <c r="A23" s="3"/>
      <c r="B23" s="26"/>
      <c r="C23" s="28" t="s">
        <v>69</v>
      </c>
      <c r="D23" s="4"/>
      <c r="E23" s="18"/>
      <c r="F23" s="29"/>
      <c r="G23" s="9">
        <f>SUM(G20:G22)</f>
        <v>0</v>
      </c>
    </row>
    <row r="24" spans="1:7" s="20" customFormat="1" ht="15.75" thickTop="1" x14ac:dyDescent="0.25">
      <c r="A24" s="3">
        <v>15</v>
      </c>
      <c r="B24" s="17" t="s">
        <v>78</v>
      </c>
      <c r="C24" s="17" t="s">
        <v>13</v>
      </c>
      <c r="D24" s="4">
        <v>6</v>
      </c>
      <c r="E24" s="18" t="s">
        <v>14</v>
      </c>
      <c r="F24" s="19"/>
      <c r="G24" s="27">
        <f t="shared" si="0"/>
        <v>0</v>
      </c>
    </row>
    <row r="25" spans="1:7" s="21" customFormat="1" ht="15.75" x14ac:dyDescent="0.3">
      <c r="A25" s="3">
        <v>16</v>
      </c>
      <c r="B25" s="17" t="s">
        <v>78</v>
      </c>
      <c r="C25" s="17" t="s">
        <v>15</v>
      </c>
      <c r="D25" s="4">
        <v>6</v>
      </c>
      <c r="E25" s="18" t="s">
        <v>14</v>
      </c>
      <c r="F25" s="19"/>
      <c r="G25" s="27">
        <f t="shared" si="0"/>
        <v>0</v>
      </c>
    </row>
    <row r="26" spans="1:7" s="20" customFormat="1" x14ac:dyDescent="0.25">
      <c r="A26" s="3">
        <v>17</v>
      </c>
      <c r="B26" s="17" t="s">
        <v>78</v>
      </c>
      <c r="C26" s="17" t="s">
        <v>16</v>
      </c>
      <c r="D26" s="4">
        <v>6</v>
      </c>
      <c r="E26" s="18" t="s">
        <v>14</v>
      </c>
      <c r="F26" s="19"/>
      <c r="G26" s="27">
        <f t="shared" si="0"/>
        <v>0</v>
      </c>
    </row>
    <row r="27" spans="1:7" s="21" customFormat="1" ht="15.75" x14ac:dyDescent="0.3">
      <c r="A27" s="3">
        <v>18</v>
      </c>
      <c r="B27" s="17" t="s">
        <v>78</v>
      </c>
      <c r="C27" s="17" t="s">
        <v>17</v>
      </c>
      <c r="D27" s="4">
        <v>6</v>
      </c>
      <c r="E27" s="18" t="s">
        <v>14</v>
      </c>
      <c r="F27" s="19"/>
      <c r="G27" s="27">
        <f t="shared" si="0"/>
        <v>0</v>
      </c>
    </row>
    <row r="28" spans="1:7" s="20" customFormat="1" x14ac:dyDescent="0.25">
      <c r="A28" s="3">
        <v>19</v>
      </c>
      <c r="B28" s="17" t="s">
        <v>78</v>
      </c>
      <c r="C28" s="17" t="s">
        <v>18</v>
      </c>
      <c r="D28" s="4">
        <v>6</v>
      </c>
      <c r="E28" s="18" t="s">
        <v>14</v>
      </c>
      <c r="F28" s="19"/>
      <c r="G28" s="27">
        <f t="shared" si="0"/>
        <v>0</v>
      </c>
    </row>
    <row r="29" spans="1:7" s="20" customFormat="1" x14ac:dyDescent="0.25">
      <c r="A29" s="3">
        <v>20</v>
      </c>
      <c r="B29" s="17" t="s">
        <v>78</v>
      </c>
      <c r="C29" s="17" t="s">
        <v>19</v>
      </c>
      <c r="D29" s="4">
        <v>6</v>
      </c>
      <c r="E29" s="18" t="s">
        <v>14</v>
      </c>
      <c r="F29" s="19"/>
      <c r="G29" s="27">
        <f t="shared" si="0"/>
        <v>0</v>
      </c>
    </row>
    <row r="30" spans="1:7" s="20" customFormat="1" x14ac:dyDescent="0.25">
      <c r="A30" s="3">
        <v>21</v>
      </c>
      <c r="B30" s="17" t="s">
        <v>78</v>
      </c>
      <c r="C30" s="17" t="s">
        <v>20</v>
      </c>
      <c r="D30" s="4">
        <v>6</v>
      </c>
      <c r="E30" s="18" t="s">
        <v>14</v>
      </c>
      <c r="F30" s="19"/>
      <c r="G30" s="27">
        <f t="shared" si="0"/>
        <v>0</v>
      </c>
    </row>
    <row r="31" spans="1:7" s="20" customFormat="1" x14ac:dyDescent="0.25">
      <c r="A31" s="3">
        <v>22</v>
      </c>
      <c r="B31" s="17" t="s">
        <v>78</v>
      </c>
      <c r="C31" s="22" t="s">
        <v>21</v>
      </c>
      <c r="D31" s="23">
        <v>6</v>
      </c>
      <c r="E31" s="24" t="s">
        <v>14</v>
      </c>
      <c r="F31" s="19"/>
      <c r="G31" s="27">
        <f t="shared" si="0"/>
        <v>0</v>
      </c>
    </row>
    <row r="32" spans="1:7" s="20" customFormat="1" x14ac:dyDescent="0.25">
      <c r="A32" s="3">
        <v>23</v>
      </c>
      <c r="B32" s="17" t="s">
        <v>78</v>
      </c>
      <c r="C32" s="17" t="s">
        <v>22</v>
      </c>
      <c r="D32" s="4">
        <v>6</v>
      </c>
      <c r="E32" s="18" t="s">
        <v>14</v>
      </c>
      <c r="F32" s="19"/>
      <c r="G32" s="27">
        <f t="shared" si="0"/>
        <v>0</v>
      </c>
    </row>
    <row r="33" spans="1:7" s="20" customFormat="1" ht="15.75" thickBot="1" x14ac:dyDescent="0.3">
      <c r="A33" s="3">
        <v>24</v>
      </c>
      <c r="B33" s="17" t="s">
        <v>78</v>
      </c>
      <c r="C33" s="22" t="s">
        <v>23</v>
      </c>
      <c r="D33" s="23">
        <v>6</v>
      </c>
      <c r="E33" s="24" t="s">
        <v>14</v>
      </c>
      <c r="F33" s="19"/>
      <c r="G33" s="27">
        <f t="shared" si="0"/>
        <v>0</v>
      </c>
    </row>
    <row r="34" spans="1:7" s="11" customFormat="1" ht="17.25" thickTop="1" thickBot="1" x14ac:dyDescent="0.35">
      <c r="A34" s="86" t="s">
        <v>24</v>
      </c>
      <c r="B34" s="87"/>
      <c r="C34" s="87"/>
      <c r="D34" s="87"/>
      <c r="E34" s="87"/>
      <c r="F34" s="87"/>
      <c r="G34" s="9">
        <f>SUM(G24:G33)</f>
        <v>0</v>
      </c>
    </row>
    <row r="35" spans="1:7" s="20" customFormat="1" ht="16.5" thickTop="1" thickBot="1" x14ac:dyDescent="0.3">
      <c r="A35" s="3">
        <v>25</v>
      </c>
      <c r="B35" s="17" t="s">
        <v>79</v>
      </c>
      <c r="C35" s="17" t="s">
        <v>25</v>
      </c>
      <c r="D35" s="4">
        <v>7</v>
      </c>
      <c r="E35" s="18" t="s">
        <v>14</v>
      </c>
      <c r="F35" s="25"/>
      <c r="G35" s="27">
        <f t="shared" si="0"/>
        <v>0</v>
      </c>
    </row>
    <row r="36" spans="1:7" s="11" customFormat="1" ht="17.25" thickTop="1" thickBot="1" x14ac:dyDescent="0.35">
      <c r="A36" s="86" t="s">
        <v>26</v>
      </c>
      <c r="B36" s="87"/>
      <c r="C36" s="87"/>
      <c r="D36" s="87"/>
      <c r="E36" s="87"/>
      <c r="F36" s="87"/>
      <c r="G36" s="9">
        <f>SUM(G35)</f>
        <v>0</v>
      </c>
    </row>
    <row r="37" spans="1:7" s="20" customFormat="1" ht="15.75" thickTop="1" x14ac:dyDescent="0.25">
      <c r="A37" s="3">
        <v>26</v>
      </c>
      <c r="B37" s="26" t="s">
        <v>80</v>
      </c>
      <c r="C37" s="26" t="s">
        <v>27</v>
      </c>
      <c r="D37" s="4">
        <v>6</v>
      </c>
      <c r="E37" s="18" t="s">
        <v>14</v>
      </c>
      <c r="F37" s="19"/>
      <c r="G37" s="27">
        <f t="shared" si="0"/>
        <v>0</v>
      </c>
    </row>
    <row r="38" spans="1:7" s="21" customFormat="1" ht="15.75" x14ac:dyDescent="0.3">
      <c r="A38" s="3">
        <v>27</v>
      </c>
      <c r="B38" s="26" t="s">
        <v>80</v>
      </c>
      <c r="C38" s="17" t="s">
        <v>28</v>
      </c>
      <c r="D38" s="4">
        <v>6</v>
      </c>
      <c r="E38" s="18" t="s">
        <v>14</v>
      </c>
      <c r="F38" s="19"/>
      <c r="G38" s="27">
        <f t="shared" si="0"/>
        <v>0</v>
      </c>
    </row>
    <row r="39" spans="1:7" s="20" customFormat="1" ht="15.75" thickBot="1" x14ac:dyDescent="0.3">
      <c r="A39" s="3">
        <v>28</v>
      </c>
      <c r="B39" s="26" t="s">
        <v>80</v>
      </c>
      <c r="C39" s="26" t="s">
        <v>65</v>
      </c>
      <c r="D39" s="4">
        <v>6</v>
      </c>
      <c r="E39" s="18" t="s">
        <v>14</v>
      </c>
      <c r="F39" s="19"/>
      <c r="G39" s="27">
        <f t="shared" si="0"/>
        <v>0</v>
      </c>
    </row>
    <row r="40" spans="1:7" s="11" customFormat="1" ht="17.25" thickTop="1" thickBot="1" x14ac:dyDescent="0.35">
      <c r="A40" s="86" t="s">
        <v>30</v>
      </c>
      <c r="B40" s="87"/>
      <c r="C40" s="87"/>
      <c r="D40" s="87"/>
      <c r="E40" s="87"/>
      <c r="F40" s="87"/>
      <c r="G40" s="9">
        <f>SUM(G37:G39)</f>
        <v>0</v>
      </c>
    </row>
    <row r="41" spans="1:7" s="11" customFormat="1" ht="17.25" thickTop="1" thickBot="1" x14ac:dyDescent="0.35">
      <c r="A41" s="71" t="s">
        <v>31</v>
      </c>
      <c r="B41" s="72"/>
      <c r="C41" s="72"/>
      <c r="D41" s="72"/>
      <c r="E41" s="72"/>
      <c r="F41" s="72"/>
      <c r="G41" s="9">
        <f>SUM(G17,G19,G23,G34,G36,G40)</f>
        <v>0</v>
      </c>
    </row>
    <row r="42" spans="1:7" s="11" customFormat="1" ht="16.5" thickTop="1" x14ac:dyDescent="0.3">
      <c r="A42" s="88" t="s">
        <v>32</v>
      </c>
      <c r="B42" s="89"/>
      <c r="C42" s="89"/>
      <c r="D42" s="89"/>
      <c r="E42" s="89"/>
      <c r="F42" s="89"/>
      <c r="G42" s="90"/>
    </row>
    <row r="43" spans="1:7" s="13" customFormat="1" ht="15.75" x14ac:dyDescent="0.3">
      <c r="A43" s="15" t="s">
        <v>6</v>
      </c>
      <c r="B43" s="1" t="s">
        <v>7</v>
      </c>
      <c r="C43" s="16" t="s">
        <v>8</v>
      </c>
      <c r="D43" s="16" t="s">
        <v>9</v>
      </c>
      <c r="E43" s="16" t="s">
        <v>10</v>
      </c>
      <c r="F43" s="16" t="s">
        <v>11</v>
      </c>
      <c r="G43" s="2" t="s">
        <v>12</v>
      </c>
    </row>
    <row r="44" spans="1:7" s="20" customFormat="1" x14ac:dyDescent="0.25">
      <c r="A44" s="3">
        <v>29</v>
      </c>
      <c r="B44" s="26" t="s">
        <v>81</v>
      </c>
      <c r="C44" s="17" t="s">
        <v>33</v>
      </c>
      <c r="D44" s="4">
        <v>1</v>
      </c>
      <c r="E44" s="18" t="s">
        <v>14</v>
      </c>
      <c r="F44" s="29"/>
      <c r="G44" s="27">
        <f t="shared" ref="G44:G46" si="1">D44*F44</f>
        <v>0</v>
      </c>
    </row>
    <row r="45" spans="1:7" s="20" customFormat="1" x14ac:dyDescent="0.25">
      <c r="A45" s="3">
        <v>30</v>
      </c>
      <c r="B45" s="26" t="s">
        <v>82</v>
      </c>
      <c r="C45" s="17" t="s">
        <v>33</v>
      </c>
      <c r="D45" s="4">
        <v>6</v>
      </c>
      <c r="E45" s="18" t="s">
        <v>14</v>
      </c>
      <c r="F45" s="29"/>
      <c r="G45" s="27">
        <f t="shared" si="1"/>
        <v>0</v>
      </c>
    </row>
    <row r="46" spans="1:7" s="20" customFormat="1" ht="15.75" thickBot="1" x14ac:dyDescent="0.3">
      <c r="A46" s="3">
        <v>31</v>
      </c>
      <c r="B46" s="26" t="s">
        <v>83</v>
      </c>
      <c r="C46" s="17" t="s">
        <v>33</v>
      </c>
      <c r="D46" s="4">
        <v>5</v>
      </c>
      <c r="E46" s="18" t="s">
        <v>14</v>
      </c>
      <c r="F46" s="29"/>
      <c r="G46" s="27">
        <f t="shared" si="1"/>
        <v>0</v>
      </c>
    </row>
    <row r="47" spans="1:7" s="11" customFormat="1" ht="17.25" thickTop="1" thickBot="1" x14ac:dyDescent="0.35">
      <c r="A47" s="86" t="s">
        <v>34</v>
      </c>
      <c r="B47" s="87"/>
      <c r="C47" s="87"/>
      <c r="D47" s="87"/>
      <c r="E47" s="87"/>
      <c r="F47" s="87"/>
      <c r="G47" s="9">
        <f>SUM(G44:G46)</f>
        <v>0</v>
      </c>
    </row>
    <row r="48" spans="1:7" s="11" customFormat="1" ht="17.25" thickTop="1" thickBot="1" x14ac:dyDescent="0.35">
      <c r="A48" s="71" t="s">
        <v>35</v>
      </c>
      <c r="B48" s="72"/>
      <c r="C48" s="72"/>
      <c r="D48" s="72"/>
      <c r="E48" s="72"/>
      <c r="F48" s="72"/>
      <c r="G48" s="9">
        <f>G47</f>
        <v>0</v>
      </c>
    </row>
    <row r="49" spans="1:7" s="11" customFormat="1" ht="16.5" thickTop="1" x14ac:dyDescent="0.3">
      <c r="A49" s="55" t="s">
        <v>36</v>
      </c>
      <c r="B49" s="56"/>
      <c r="C49" s="56"/>
      <c r="D49" s="56"/>
      <c r="E49" s="56"/>
      <c r="F49" s="56"/>
      <c r="G49" s="57"/>
    </row>
    <row r="50" spans="1:7" s="13" customFormat="1" ht="15.75" x14ac:dyDescent="0.3">
      <c r="A50" s="15" t="s">
        <v>6</v>
      </c>
      <c r="B50" s="1" t="s">
        <v>7</v>
      </c>
      <c r="C50" s="16" t="s">
        <v>8</v>
      </c>
      <c r="D50" s="16" t="s">
        <v>9</v>
      </c>
      <c r="E50" s="16" t="s">
        <v>10</v>
      </c>
      <c r="F50" s="16" t="s">
        <v>11</v>
      </c>
      <c r="G50" s="2" t="s">
        <v>12</v>
      </c>
    </row>
    <row r="51" spans="1:7" s="30" customFormat="1" x14ac:dyDescent="0.25">
      <c r="A51" s="3">
        <v>32</v>
      </c>
      <c r="B51" s="17" t="s">
        <v>84</v>
      </c>
      <c r="C51" s="17" t="s">
        <v>13</v>
      </c>
      <c r="D51" s="4">
        <v>1</v>
      </c>
      <c r="E51" s="18" t="s">
        <v>14</v>
      </c>
      <c r="F51" s="19"/>
      <c r="G51" s="27">
        <f t="shared" ref="G51:G61" si="2">D51*F51</f>
        <v>0</v>
      </c>
    </row>
    <row r="52" spans="1:7" s="30" customFormat="1" x14ac:dyDescent="0.25">
      <c r="A52" s="3">
        <v>33</v>
      </c>
      <c r="B52" s="17" t="s">
        <v>84</v>
      </c>
      <c r="C52" s="17" t="s">
        <v>17</v>
      </c>
      <c r="D52" s="4">
        <v>1</v>
      </c>
      <c r="E52" s="18" t="s">
        <v>14</v>
      </c>
      <c r="F52" s="19"/>
      <c r="G52" s="27">
        <f t="shared" si="2"/>
        <v>0</v>
      </c>
    </row>
    <row r="53" spans="1:7" s="30" customFormat="1" x14ac:dyDescent="0.25">
      <c r="A53" s="3">
        <v>34</v>
      </c>
      <c r="B53" s="17" t="s">
        <v>84</v>
      </c>
      <c r="C53" s="31" t="s">
        <v>37</v>
      </c>
      <c r="D53" s="4">
        <v>1</v>
      </c>
      <c r="E53" s="24" t="s">
        <v>14</v>
      </c>
      <c r="F53" s="19"/>
      <c r="G53" s="27">
        <f t="shared" si="2"/>
        <v>0</v>
      </c>
    </row>
    <row r="54" spans="1:7" s="30" customFormat="1" x14ac:dyDescent="0.25">
      <c r="A54" s="3">
        <v>35</v>
      </c>
      <c r="B54" s="17" t="s">
        <v>84</v>
      </c>
      <c r="C54" s="17" t="s">
        <v>15</v>
      </c>
      <c r="D54" s="4">
        <v>1</v>
      </c>
      <c r="E54" s="18" t="s">
        <v>14</v>
      </c>
      <c r="F54" s="19"/>
      <c r="G54" s="27">
        <f t="shared" si="2"/>
        <v>0</v>
      </c>
    </row>
    <row r="55" spans="1:7" s="30" customFormat="1" x14ac:dyDescent="0.25">
      <c r="A55" s="3">
        <v>36</v>
      </c>
      <c r="B55" s="17" t="s">
        <v>84</v>
      </c>
      <c r="C55" s="17" t="s">
        <v>22</v>
      </c>
      <c r="D55" s="4">
        <v>1</v>
      </c>
      <c r="E55" s="18" t="s">
        <v>14</v>
      </c>
      <c r="F55" s="19"/>
      <c r="G55" s="27">
        <f t="shared" si="2"/>
        <v>0</v>
      </c>
    </row>
    <row r="56" spans="1:7" s="30" customFormat="1" x14ac:dyDescent="0.25">
      <c r="A56" s="3">
        <v>37</v>
      </c>
      <c r="B56" s="17" t="s">
        <v>84</v>
      </c>
      <c r="C56" s="17" t="s">
        <v>18</v>
      </c>
      <c r="D56" s="4">
        <v>1</v>
      </c>
      <c r="E56" s="18" t="s">
        <v>14</v>
      </c>
      <c r="F56" s="19"/>
      <c r="G56" s="27">
        <f t="shared" si="2"/>
        <v>0</v>
      </c>
    </row>
    <row r="57" spans="1:7" s="30" customFormat="1" x14ac:dyDescent="0.25">
      <c r="A57" s="3">
        <v>38</v>
      </c>
      <c r="B57" s="17" t="s">
        <v>84</v>
      </c>
      <c r="C57" s="17" t="s">
        <v>16</v>
      </c>
      <c r="D57" s="4">
        <v>1</v>
      </c>
      <c r="E57" s="18" t="s">
        <v>14</v>
      </c>
      <c r="F57" s="19"/>
      <c r="G57" s="27">
        <f t="shared" si="2"/>
        <v>0</v>
      </c>
    </row>
    <row r="58" spans="1:7" s="30" customFormat="1" x14ac:dyDescent="0.25">
      <c r="A58" s="3">
        <v>39</v>
      </c>
      <c r="B58" s="17" t="s">
        <v>84</v>
      </c>
      <c r="C58" s="32" t="s">
        <v>21</v>
      </c>
      <c r="D58" s="4">
        <v>1</v>
      </c>
      <c r="E58" s="18" t="s">
        <v>14</v>
      </c>
      <c r="F58" s="19"/>
      <c r="G58" s="27">
        <f t="shared" si="2"/>
        <v>0</v>
      </c>
    </row>
    <row r="59" spans="1:7" s="30" customFormat="1" x14ac:dyDescent="0.25">
      <c r="A59" s="3">
        <v>40</v>
      </c>
      <c r="B59" s="17" t="s">
        <v>84</v>
      </c>
      <c r="C59" s="17" t="s">
        <v>20</v>
      </c>
      <c r="D59" s="4">
        <v>1</v>
      </c>
      <c r="E59" s="18" t="s">
        <v>14</v>
      </c>
      <c r="F59" s="19"/>
      <c r="G59" s="27">
        <f t="shared" si="2"/>
        <v>0</v>
      </c>
    </row>
    <row r="60" spans="1:7" s="20" customFormat="1" x14ac:dyDescent="0.25">
      <c r="A60" s="3">
        <v>41</v>
      </c>
      <c r="B60" s="17" t="s">
        <v>84</v>
      </c>
      <c r="C60" s="17" t="s">
        <v>23</v>
      </c>
      <c r="D60" s="4">
        <v>1</v>
      </c>
      <c r="E60" s="18" t="s">
        <v>14</v>
      </c>
      <c r="F60" s="19"/>
      <c r="G60" s="27">
        <f t="shared" si="2"/>
        <v>0</v>
      </c>
    </row>
    <row r="61" spans="1:7" s="30" customFormat="1" ht="15.75" thickBot="1" x14ac:dyDescent="0.3">
      <c r="A61" s="3">
        <v>42</v>
      </c>
      <c r="B61" s="17" t="s">
        <v>84</v>
      </c>
      <c r="C61" s="17" t="s">
        <v>19</v>
      </c>
      <c r="D61" s="4">
        <v>1</v>
      </c>
      <c r="E61" s="18" t="s">
        <v>14</v>
      </c>
      <c r="F61" s="19"/>
      <c r="G61" s="27">
        <f t="shared" si="2"/>
        <v>0</v>
      </c>
    </row>
    <row r="62" spans="1:7" s="13" customFormat="1" ht="17.25" thickTop="1" thickBot="1" x14ac:dyDescent="0.35">
      <c r="A62" s="15"/>
      <c r="B62" s="1"/>
      <c r="C62" s="16"/>
      <c r="D62" s="13" t="s">
        <v>71</v>
      </c>
      <c r="E62" s="16"/>
      <c r="F62" s="33"/>
      <c r="G62" s="9">
        <f>SUM(G51:G61)</f>
        <v>0</v>
      </c>
    </row>
    <row r="63" spans="1:7" s="20" customFormat="1" ht="16.5" thickTop="1" thickBot="1" x14ac:dyDescent="0.3">
      <c r="A63" s="3">
        <v>43</v>
      </c>
      <c r="B63" s="17" t="s">
        <v>84</v>
      </c>
      <c r="C63" s="17" t="s">
        <v>39</v>
      </c>
      <c r="D63" s="4">
        <v>1</v>
      </c>
      <c r="E63" s="18" t="s">
        <v>14</v>
      </c>
      <c r="F63" s="19"/>
      <c r="G63" s="27">
        <f t="shared" ref="G63" si="3">D63*F63</f>
        <v>0</v>
      </c>
    </row>
    <row r="64" spans="1:7" s="13" customFormat="1" ht="17.25" thickTop="1" thickBot="1" x14ac:dyDescent="0.35">
      <c r="A64" s="15"/>
      <c r="B64" s="1"/>
      <c r="C64" s="16"/>
      <c r="D64" s="16" t="s">
        <v>71</v>
      </c>
      <c r="E64" s="16"/>
      <c r="F64" s="33"/>
      <c r="G64" s="9">
        <f>SUM(G63)</f>
        <v>0</v>
      </c>
    </row>
    <row r="65" spans="1:7" s="30" customFormat="1" ht="15.75" thickTop="1" x14ac:dyDescent="0.25">
      <c r="A65" s="3">
        <v>44</v>
      </c>
      <c r="B65" s="17" t="s">
        <v>85</v>
      </c>
      <c r="C65" s="17" t="s">
        <v>13</v>
      </c>
      <c r="D65" s="4">
        <v>6</v>
      </c>
      <c r="E65" s="18" t="s">
        <v>14</v>
      </c>
      <c r="F65" s="19"/>
      <c r="G65" s="27">
        <f t="shared" ref="G65:G75" si="4">D65*F65</f>
        <v>0</v>
      </c>
    </row>
    <row r="66" spans="1:7" s="30" customFormat="1" x14ac:dyDescent="0.25">
      <c r="A66" s="3">
        <v>45</v>
      </c>
      <c r="B66" s="17" t="s">
        <v>85</v>
      </c>
      <c r="C66" s="17" t="s">
        <v>17</v>
      </c>
      <c r="D66" s="4">
        <v>6</v>
      </c>
      <c r="E66" s="18" t="s">
        <v>14</v>
      </c>
      <c r="F66" s="19"/>
      <c r="G66" s="27">
        <f t="shared" si="4"/>
        <v>0</v>
      </c>
    </row>
    <row r="67" spans="1:7" s="30" customFormat="1" x14ac:dyDescent="0.25">
      <c r="A67" s="3">
        <v>46</v>
      </c>
      <c r="B67" s="17" t="s">
        <v>85</v>
      </c>
      <c r="C67" s="31" t="s">
        <v>37</v>
      </c>
      <c r="D67" s="4">
        <v>6</v>
      </c>
      <c r="E67" s="24" t="s">
        <v>14</v>
      </c>
      <c r="F67" s="19"/>
      <c r="G67" s="27">
        <f t="shared" si="4"/>
        <v>0</v>
      </c>
    </row>
    <row r="68" spans="1:7" s="30" customFormat="1" x14ac:dyDescent="0.25">
      <c r="A68" s="3">
        <v>47</v>
      </c>
      <c r="B68" s="17" t="s">
        <v>85</v>
      </c>
      <c r="C68" s="17" t="s">
        <v>15</v>
      </c>
      <c r="D68" s="4">
        <v>6</v>
      </c>
      <c r="E68" s="18" t="s">
        <v>14</v>
      </c>
      <c r="F68" s="19"/>
      <c r="G68" s="27">
        <f t="shared" si="4"/>
        <v>0</v>
      </c>
    </row>
    <row r="69" spans="1:7" s="30" customFormat="1" x14ac:dyDescent="0.25">
      <c r="A69" s="3">
        <v>48</v>
      </c>
      <c r="B69" s="17" t="s">
        <v>85</v>
      </c>
      <c r="C69" s="17" t="s">
        <v>22</v>
      </c>
      <c r="D69" s="4">
        <v>6</v>
      </c>
      <c r="E69" s="18" t="s">
        <v>14</v>
      </c>
      <c r="F69" s="19"/>
      <c r="G69" s="27">
        <f t="shared" si="4"/>
        <v>0</v>
      </c>
    </row>
    <row r="70" spans="1:7" s="30" customFormat="1" x14ac:dyDescent="0.25">
      <c r="A70" s="3">
        <v>49</v>
      </c>
      <c r="B70" s="17" t="s">
        <v>85</v>
      </c>
      <c r="C70" s="17" t="s">
        <v>18</v>
      </c>
      <c r="D70" s="4">
        <v>6</v>
      </c>
      <c r="E70" s="18" t="s">
        <v>14</v>
      </c>
      <c r="F70" s="19"/>
      <c r="G70" s="27">
        <f t="shared" si="4"/>
        <v>0</v>
      </c>
    </row>
    <row r="71" spans="1:7" s="30" customFormat="1" x14ac:dyDescent="0.25">
      <c r="A71" s="3">
        <v>50</v>
      </c>
      <c r="B71" s="17" t="s">
        <v>85</v>
      </c>
      <c r="C71" s="17" t="s">
        <v>16</v>
      </c>
      <c r="D71" s="4">
        <v>6</v>
      </c>
      <c r="E71" s="18" t="s">
        <v>14</v>
      </c>
      <c r="F71" s="19"/>
      <c r="G71" s="27">
        <f t="shared" si="4"/>
        <v>0</v>
      </c>
    </row>
    <row r="72" spans="1:7" s="30" customFormat="1" x14ac:dyDescent="0.25">
      <c r="A72" s="3">
        <v>51</v>
      </c>
      <c r="B72" s="17" t="s">
        <v>85</v>
      </c>
      <c r="C72" s="32" t="s">
        <v>21</v>
      </c>
      <c r="D72" s="4">
        <v>6</v>
      </c>
      <c r="E72" s="18" t="s">
        <v>14</v>
      </c>
      <c r="F72" s="19"/>
      <c r="G72" s="27">
        <f>D72*F72</f>
        <v>0</v>
      </c>
    </row>
    <row r="73" spans="1:7" s="30" customFormat="1" x14ac:dyDescent="0.25">
      <c r="A73" s="3">
        <v>52</v>
      </c>
      <c r="B73" s="17" t="s">
        <v>85</v>
      </c>
      <c r="C73" s="17" t="s">
        <v>20</v>
      </c>
      <c r="D73" s="4">
        <v>6</v>
      </c>
      <c r="E73" s="18" t="s">
        <v>14</v>
      </c>
      <c r="F73" s="19"/>
      <c r="G73" s="27">
        <f t="shared" si="4"/>
        <v>0</v>
      </c>
    </row>
    <row r="74" spans="1:7" s="20" customFormat="1" x14ac:dyDescent="0.25">
      <c r="A74" s="3">
        <v>53</v>
      </c>
      <c r="B74" s="17" t="s">
        <v>85</v>
      </c>
      <c r="C74" s="17" t="s">
        <v>23</v>
      </c>
      <c r="D74" s="4">
        <v>6</v>
      </c>
      <c r="E74" s="18" t="s">
        <v>14</v>
      </c>
      <c r="F74" s="19"/>
      <c r="G74" s="27">
        <f t="shared" si="4"/>
        <v>0</v>
      </c>
    </row>
    <row r="75" spans="1:7" s="30" customFormat="1" ht="15.75" thickBot="1" x14ac:dyDescent="0.3">
      <c r="A75" s="3">
        <v>54</v>
      </c>
      <c r="B75" s="17" t="s">
        <v>85</v>
      </c>
      <c r="C75" s="17" t="s">
        <v>19</v>
      </c>
      <c r="D75" s="4">
        <v>6</v>
      </c>
      <c r="E75" s="18" t="s">
        <v>14</v>
      </c>
      <c r="F75" s="19"/>
      <c r="G75" s="27">
        <f t="shared" si="4"/>
        <v>0</v>
      </c>
    </row>
    <row r="76" spans="1:7" s="11" customFormat="1" ht="17.25" thickTop="1" thickBot="1" x14ac:dyDescent="0.35">
      <c r="A76" s="50" t="s">
        <v>38</v>
      </c>
      <c r="B76" s="51"/>
      <c r="C76" s="51"/>
      <c r="D76" s="51"/>
      <c r="E76" s="51"/>
      <c r="F76" s="51"/>
      <c r="G76" s="9">
        <f>SUM(G65:G75)</f>
        <v>0</v>
      </c>
    </row>
    <row r="77" spans="1:7" s="20" customFormat="1" ht="16.5" thickTop="1" thickBot="1" x14ac:dyDescent="0.3">
      <c r="A77" s="3">
        <v>55</v>
      </c>
      <c r="B77" s="17" t="s">
        <v>85</v>
      </c>
      <c r="C77" s="17" t="s">
        <v>39</v>
      </c>
      <c r="D77" s="4">
        <v>6</v>
      </c>
      <c r="E77" s="18" t="s">
        <v>14</v>
      </c>
      <c r="F77" s="19"/>
      <c r="G77" s="27">
        <f>D77*F77</f>
        <v>0</v>
      </c>
    </row>
    <row r="78" spans="1:7" s="11" customFormat="1" ht="17.25" thickTop="1" thickBot="1" x14ac:dyDescent="0.35">
      <c r="A78" s="50" t="s">
        <v>38</v>
      </c>
      <c r="B78" s="51"/>
      <c r="C78" s="51"/>
      <c r="D78" s="51"/>
      <c r="E78" s="51"/>
      <c r="F78" s="51"/>
      <c r="G78" s="9">
        <f>SUM(G77)</f>
        <v>0</v>
      </c>
    </row>
    <row r="79" spans="1:7" s="20" customFormat="1" ht="15.75" thickTop="1" x14ac:dyDescent="0.25">
      <c r="A79" s="3">
        <v>56</v>
      </c>
      <c r="B79" s="17" t="s">
        <v>86</v>
      </c>
      <c r="C79" s="17" t="s">
        <v>13</v>
      </c>
      <c r="D79" s="4">
        <v>1</v>
      </c>
      <c r="E79" s="18" t="s">
        <v>14</v>
      </c>
      <c r="F79" s="19"/>
      <c r="G79" s="27">
        <f t="shared" ref="G79:G89" si="5">D79*F79</f>
        <v>0</v>
      </c>
    </row>
    <row r="80" spans="1:7" s="20" customFormat="1" x14ac:dyDescent="0.25">
      <c r="A80" s="3">
        <v>57</v>
      </c>
      <c r="B80" s="17" t="s">
        <v>86</v>
      </c>
      <c r="C80" s="17" t="s">
        <v>17</v>
      </c>
      <c r="D80" s="4">
        <v>1</v>
      </c>
      <c r="E80" s="18" t="s">
        <v>14</v>
      </c>
      <c r="F80" s="19"/>
      <c r="G80" s="27">
        <f t="shared" si="5"/>
        <v>0</v>
      </c>
    </row>
    <row r="81" spans="1:7" s="20" customFormat="1" x14ac:dyDescent="0.25">
      <c r="A81" s="3">
        <v>58</v>
      </c>
      <c r="B81" s="17" t="s">
        <v>86</v>
      </c>
      <c r="C81" s="17" t="s">
        <v>37</v>
      </c>
      <c r="D81" s="4">
        <v>1</v>
      </c>
      <c r="E81" s="18" t="s">
        <v>14</v>
      </c>
      <c r="F81" s="19"/>
      <c r="G81" s="27">
        <f t="shared" si="5"/>
        <v>0</v>
      </c>
    </row>
    <row r="82" spans="1:7" s="20" customFormat="1" x14ac:dyDescent="0.25">
      <c r="A82" s="3">
        <v>59</v>
      </c>
      <c r="B82" s="17" t="s">
        <v>86</v>
      </c>
      <c r="C82" s="17" t="s">
        <v>18</v>
      </c>
      <c r="D82" s="4">
        <v>1</v>
      </c>
      <c r="E82" s="18" t="s">
        <v>14</v>
      </c>
      <c r="F82" s="19"/>
      <c r="G82" s="27">
        <f t="shared" si="5"/>
        <v>0</v>
      </c>
    </row>
    <row r="83" spans="1:7" s="20" customFormat="1" x14ac:dyDescent="0.25">
      <c r="A83" s="3">
        <v>60</v>
      </c>
      <c r="B83" s="17" t="s">
        <v>86</v>
      </c>
      <c r="C83" s="17" t="s">
        <v>15</v>
      </c>
      <c r="D83" s="4">
        <v>1</v>
      </c>
      <c r="E83" s="18" t="s">
        <v>14</v>
      </c>
      <c r="F83" s="19"/>
      <c r="G83" s="27">
        <f t="shared" si="5"/>
        <v>0</v>
      </c>
    </row>
    <row r="84" spans="1:7" s="20" customFormat="1" x14ac:dyDescent="0.25">
      <c r="A84" s="3">
        <v>61</v>
      </c>
      <c r="B84" s="17" t="s">
        <v>86</v>
      </c>
      <c r="C84" s="17" t="s">
        <v>21</v>
      </c>
      <c r="D84" s="4">
        <v>1</v>
      </c>
      <c r="E84" s="18" t="s">
        <v>14</v>
      </c>
      <c r="F84" s="19"/>
      <c r="G84" s="27">
        <f t="shared" si="5"/>
        <v>0</v>
      </c>
    </row>
    <row r="85" spans="1:7" s="20" customFormat="1" x14ac:dyDescent="0.25">
      <c r="A85" s="3">
        <v>62</v>
      </c>
      <c r="B85" s="17" t="s">
        <v>86</v>
      </c>
      <c r="C85" s="17" t="s">
        <v>19</v>
      </c>
      <c r="D85" s="4">
        <v>1</v>
      </c>
      <c r="E85" s="18" t="s">
        <v>14</v>
      </c>
      <c r="F85" s="19"/>
      <c r="G85" s="27">
        <f t="shared" si="5"/>
        <v>0</v>
      </c>
    </row>
    <row r="86" spans="1:7" s="20" customFormat="1" x14ac:dyDescent="0.25">
      <c r="A86" s="3">
        <v>63</v>
      </c>
      <c r="B86" s="17" t="s">
        <v>86</v>
      </c>
      <c r="C86" s="17" t="s">
        <v>22</v>
      </c>
      <c r="D86" s="4">
        <v>1</v>
      </c>
      <c r="E86" s="18" t="s">
        <v>14</v>
      </c>
      <c r="F86" s="19"/>
      <c r="G86" s="27">
        <f t="shared" si="5"/>
        <v>0</v>
      </c>
    </row>
    <row r="87" spans="1:7" s="20" customFormat="1" x14ac:dyDescent="0.25">
      <c r="A87" s="3">
        <v>64</v>
      </c>
      <c r="B87" s="17" t="s">
        <v>86</v>
      </c>
      <c r="C87" s="17" t="s">
        <v>16</v>
      </c>
      <c r="D87" s="4">
        <v>1</v>
      </c>
      <c r="E87" s="18" t="s">
        <v>14</v>
      </c>
      <c r="F87" s="19"/>
      <c r="G87" s="27">
        <f t="shared" si="5"/>
        <v>0</v>
      </c>
    </row>
    <row r="88" spans="1:7" s="20" customFormat="1" x14ac:dyDescent="0.25">
      <c r="A88" s="3">
        <v>65</v>
      </c>
      <c r="B88" s="17" t="s">
        <v>86</v>
      </c>
      <c r="C88" s="17" t="s">
        <v>23</v>
      </c>
      <c r="D88" s="4">
        <v>1</v>
      </c>
      <c r="E88" s="18" t="s">
        <v>14</v>
      </c>
      <c r="F88" s="19"/>
      <c r="G88" s="27">
        <f t="shared" si="5"/>
        <v>0</v>
      </c>
    </row>
    <row r="89" spans="1:7" s="20" customFormat="1" ht="15.75" thickBot="1" x14ac:dyDescent="0.3">
      <c r="A89" s="3">
        <v>66</v>
      </c>
      <c r="B89" s="17" t="s">
        <v>86</v>
      </c>
      <c r="C89" s="31" t="s">
        <v>20</v>
      </c>
      <c r="D89" s="23">
        <v>1</v>
      </c>
      <c r="E89" s="24" t="s">
        <v>14</v>
      </c>
      <c r="F89" s="19"/>
      <c r="G89" s="27">
        <f t="shared" si="5"/>
        <v>0</v>
      </c>
    </row>
    <row r="90" spans="1:7" s="11" customFormat="1" ht="17.25" thickTop="1" thickBot="1" x14ac:dyDescent="0.35">
      <c r="A90" s="50" t="s">
        <v>40</v>
      </c>
      <c r="B90" s="51"/>
      <c r="C90" s="51"/>
      <c r="D90" s="51"/>
      <c r="E90" s="51"/>
      <c r="F90" s="51"/>
      <c r="G90" s="9">
        <f>SUM(G79:G89)</f>
        <v>0</v>
      </c>
    </row>
    <row r="91" spans="1:7" s="20" customFormat="1" ht="15.75" thickTop="1" x14ac:dyDescent="0.25">
      <c r="A91" s="3">
        <v>67</v>
      </c>
      <c r="B91" s="17" t="s">
        <v>100</v>
      </c>
      <c r="C91" s="17" t="s">
        <v>13</v>
      </c>
      <c r="D91" s="4">
        <v>4</v>
      </c>
      <c r="E91" s="18" t="s">
        <v>14</v>
      </c>
      <c r="F91" s="19"/>
      <c r="G91" s="27">
        <f t="shared" ref="G91:G99" si="6">D91*F91</f>
        <v>0</v>
      </c>
    </row>
    <row r="92" spans="1:7" s="20" customFormat="1" x14ac:dyDescent="0.25">
      <c r="A92" s="3">
        <v>68</v>
      </c>
      <c r="B92" s="17" t="s">
        <v>100</v>
      </c>
      <c r="C92" s="17" t="s">
        <v>66</v>
      </c>
      <c r="D92" s="4">
        <v>4</v>
      </c>
      <c r="E92" s="18" t="s">
        <v>14</v>
      </c>
      <c r="F92" s="19"/>
      <c r="G92" s="27">
        <f t="shared" si="6"/>
        <v>0</v>
      </c>
    </row>
    <row r="93" spans="1:7" s="20" customFormat="1" x14ac:dyDescent="0.25">
      <c r="A93" s="3">
        <v>69</v>
      </c>
      <c r="B93" s="17" t="s">
        <v>100</v>
      </c>
      <c r="C93" s="17" t="s">
        <v>37</v>
      </c>
      <c r="D93" s="4">
        <v>4</v>
      </c>
      <c r="E93" s="18" t="s">
        <v>14</v>
      </c>
      <c r="F93" s="19"/>
      <c r="G93" s="27">
        <f t="shared" si="6"/>
        <v>0</v>
      </c>
    </row>
    <row r="94" spans="1:7" s="20" customFormat="1" x14ac:dyDescent="0.25">
      <c r="A94" s="3">
        <v>70</v>
      </c>
      <c r="B94" s="17" t="s">
        <v>100</v>
      </c>
      <c r="C94" s="17" t="s">
        <v>15</v>
      </c>
      <c r="D94" s="4">
        <v>4</v>
      </c>
      <c r="E94" s="18" t="s">
        <v>14</v>
      </c>
      <c r="F94" s="19"/>
      <c r="G94" s="27">
        <f t="shared" si="6"/>
        <v>0</v>
      </c>
    </row>
    <row r="95" spans="1:7" s="20" customFormat="1" x14ac:dyDescent="0.25">
      <c r="A95" s="3">
        <v>71</v>
      </c>
      <c r="B95" s="17" t="s">
        <v>100</v>
      </c>
      <c r="C95" s="17" t="s">
        <v>18</v>
      </c>
      <c r="D95" s="4">
        <v>4</v>
      </c>
      <c r="E95" s="18" t="s">
        <v>14</v>
      </c>
      <c r="F95" s="19"/>
      <c r="G95" s="27">
        <f t="shared" si="6"/>
        <v>0</v>
      </c>
    </row>
    <row r="96" spans="1:7" s="20" customFormat="1" x14ac:dyDescent="0.25">
      <c r="A96" s="3">
        <v>72</v>
      </c>
      <c r="B96" s="17" t="s">
        <v>100</v>
      </c>
      <c r="C96" s="17" t="s">
        <v>67</v>
      </c>
      <c r="D96" s="4">
        <v>4</v>
      </c>
      <c r="E96" s="18" t="s">
        <v>14</v>
      </c>
      <c r="F96" s="19"/>
      <c r="G96" s="27">
        <f t="shared" si="6"/>
        <v>0</v>
      </c>
    </row>
    <row r="97" spans="1:7" s="20" customFormat="1" x14ac:dyDescent="0.25">
      <c r="A97" s="3">
        <v>73</v>
      </c>
      <c r="B97" s="17" t="s">
        <v>100</v>
      </c>
      <c r="C97" s="17" t="s">
        <v>21</v>
      </c>
      <c r="D97" s="4">
        <v>4</v>
      </c>
      <c r="E97" s="18" t="s">
        <v>14</v>
      </c>
      <c r="F97" s="19"/>
      <c r="G97" s="27">
        <f t="shared" si="6"/>
        <v>0</v>
      </c>
    </row>
    <row r="98" spans="1:7" s="20" customFormat="1" x14ac:dyDescent="0.25">
      <c r="A98" s="3">
        <v>74</v>
      </c>
      <c r="B98" s="17" t="s">
        <v>100</v>
      </c>
      <c r="C98" s="17" t="s">
        <v>19</v>
      </c>
      <c r="D98" s="4">
        <v>4</v>
      </c>
      <c r="E98" s="18" t="s">
        <v>14</v>
      </c>
      <c r="F98" s="19"/>
      <c r="G98" s="27">
        <f t="shared" si="6"/>
        <v>0</v>
      </c>
    </row>
    <row r="99" spans="1:7" s="20" customFormat="1" ht="15.75" thickBot="1" x14ac:dyDescent="0.3">
      <c r="A99" s="3">
        <v>75</v>
      </c>
      <c r="B99" s="17" t="s">
        <v>100</v>
      </c>
      <c r="C99" s="17" t="s">
        <v>23</v>
      </c>
      <c r="D99" s="4">
        <v>4</v>
      </c>
      <c r="E99" s="18" t="s">
        <v>14</v>
      </c>
      <c r="F99" s="19"/>
      <c r="G99" s="27">
        <f t="shared" si="6"/>
        <v>0</v>
      </c>
    </row>
    <row r="100" spans="1:7" s="11" customFormat="1" ht="17.25" thickTop="1" thickBot="1" x14ac:dyDescent="0.35">
      <c r="A100" s="50" t="s">
        <v>41</v>
      </c>
      <c r="B100" s="51"/>
      <c r="C100" s="51"/>
      <c r="D100" s="51"/>
      <c r="E100" s="51"/>
      <c r="F100" s="51"/>
      <c r="G100" s="9">
        <f>SUM(G91:G99)</f>
        <v>0</v>
      </c>
    </row>
    <row r="101" spans="1:7" s="11" customFormat="1" ht="17.25" thickTop="1" thickBot="1" x14ac:dyDescent="0.35">
      <c r="A101" s="71" t="s">
        <v>42</v>
      </c>
      <c r="B101" s="72"/>
      <c r="C101" s="72"/>
      <c r="D101" s="72"/>
      <c r="E101" s="72"/>
      <c r="F101" s="72"/>
      <c r="G101" s="9">
        <f>SUM(G62,G64,G76,G78,G90,G100)</f>
        <v>0</v>
      </c>
    </row>
    <row r="102" spans="1:7" s="11" customFormat="1" ht="16.5" thickTop="1" x14ac:dyDescent="0.3">
      <c r="A102" s="55" t="s">
        <v>43</v>
      </c>
      <c r="B102" s="56"/>
      <c r="C102" s="56"/>
      <c r="D102" s="56"/>
      <c r="E102" s="56"/>
      <c r="F102" s="56"/>
      <c r="G102" s="57"/>
    </row>
    <row r="103" spans="1:7" s="13" customFormat="1" ht="15.75" x14ac:dyDescent="0.3">
      <c r="A103" s="15" t="s">
        <v>6</v>
      </c>
      <c r="B103" s="1" t="s">
        <v>7</v>
      </c>
      <c r="C103" s="16" t="s">
        <v>8</v>
      </c>
      <c r="D103" s="16" t="s">
        <v>9</v>
      </c>
      <c r="E103" s="16" t="s">
        <v>10</v>
      </c>
      <c r="F103" s="16" t="s">
        <v>11</v>
      </c>
      <c r="G103" s="2" t="s">
        <v>12</v>
      </c>
    </row>
    <row r="104" spans="1:7" s="20" customFormat="1" x14ac:dyDescent="0.25">
      <c r="A104" s="3">
        <v>76</v>
      </c>
      <c r="B104" s="17" t="s">
        <v>88</v>
      </c>
      <c r="C104" s="17" t="s">
        <v>13</v>
      </c>
      <c r="D104" s="4">
        <v>1</v>
      </c>
      <c r="E104" s="18" t="s">
        <v>14</v>
      </c>
      <c r="F104" s="19"/>
      <c r="G104" s="27">
        <f t="shared" ref="G104:G114" si="7">D104*F104</f>
        <v>0</v>
      </c>
    </row>
    <row r="105" spans="1:7" s="30" customFormat="1" x14ac:dyDescent="0.25">
      <c r="A105" s="3">
        <v>77</v>
      </c>
      <c r="B105" s="17" t="s">
        <v>88</v>
      </c>
      <c r="C105" s="17" t="s">
        <v>17</v>
      </c>
      <c r="D105" s="4">
        <v>1</v>
      </c>
      <c r="E105" s="18" t="s">
        <v>14</v>
      </c>
      <c r="F105" s="19"/>
      <c r="G105" s="27">
        <f t="shared" si="7"/>
        <v>0</v>
      </c>
    </row>
    <row r="106" spans="1:7" s="30" customFormat="1" x14ac:dyDescent="0.25">
      <c r="A106" s="3">
        <v>78</v>
      </c>
      <c r="B106" s="17" t="s">
        <v>88</v>
      </c>
      <c r="C106" s="31" t="s">
        <v>37</v>
      </c>
      <c r="D106" s="23">
        <v>1</v>
      </c>
      <c r="E106" s="24" t="s">
        <v>14</v>
      </c>
      <c r="F106" s="19"/>
      <c r="G106" s="27">
        <f t="shared" si="7"/>
        <v>0</v>
      </c>
    </row>
    <row r="107" spans="1:7" s="30" customFormat="1" x14ac:dyDescent="0.25">
      <c r="A107" s="3">
        <v>79</v>
      </c>
      <c r="B107" s="17" t="s">
        <v>88</v>
      </c>
      <c r="C107" s="34" t="s">
        <v>15</v>
      </c>
      <c r="D107" s="4">
        <v>1</v>
      </c>
      <c r="E107" s="18" t="s">
        <v>14</v>
      </c>
      <c r="F107" s="19"/>
      <c r="G107" s="27">
        <f t="shared" si="7"/>
        <v>0</v>
      </c>
    </row>
    <row r="108" spans="1:7" s="30" customFormat="1" x14ac:dyDescent="0.25">
      <c r="A108" s="3">
        <v>80</v>
      </c>
      <c r="B108" s="17" t="s">
        <v>88</v>
      </c>
      <c r="C108" s="34" t="s">
        <v>22</v>
      </c>
      <c r="D108" s="4">
        <v>1</v>
      </c>
      <c r="E108" s="18" t="s">
        <v>14</v>
      </c>
      <c r="F108" s="19"/>
      <c r="G108" s="27">
        <f t="shared" si="7"/>
        <v>0</v>
      </c>
    </row>
    <row r="109" spans="1:7" s="30" customFormat="1" x14ac:dyDescent="0.25">
      <c r="A109" s="3">
        <v>81</v>
      </c>
      <c r="B109" s="17" t="s">
        <v>88</v>
      </c>
      <c r="C109" s="34" t="s">
        <v>18</v>
      </c>
      <c r="D109" s="4">
        <v>1</v>
      </c>
      <c r="E109" s="18" t="s">
        <v>14</v>
      </c>
      <c r="F109" s="19"/>
      <c r="G109" s="27">
        <f t="shared" si="7"/>
        <v>0</v>
      </c>
    </row>
    <row r="110" spans="1:7" s="30" customFormat="1" x14ac:dyDescent="0.25">
      <c r="A110" s="3">
        <v>82</v>
      </c>
      <c r="B110" s="17" t="s">
        <v>88</v>
      </c>
      <c r="C110" s="34" t="s">
        <v>16</v>
      </c>
      <c r="D110" s="4">
        <v>1</v>
      </c>
      <c r="E110" s="18" t="s">
        <v>14</v>
      </c>
      <c r="F110" s="19"/>
      <c r="G110" s="27">
        <f t="shared" si="7"/>
        <v>0</v>
      </c>
    </row>
    <row r="111" spans="1:7" s="30" customFormat="1" x14ac:dyDescent="0.25">
      <c r="A111" s="3">
        <v>83</v>
      </c>
      <c r="B111" s="17" t="s">
        <v>88</v>
      </c>
      <c r="C111" s="34" t="s">
        <v>19</v>
      </c>
      <c r="D111" s="4">
        <v>1</v>
      </c>
      <c r="E111" s="18" t="s">
        <v>14</v>
      </c>
      <c r="F111" s="19"/>
      <c r="G111" s="27">
        <f t="shared" si="7"/>
        <v>0</v>
      </c>
    </row>
    <row r="112" spans="1:7" s="30" customFormat="1" x14ac:dyDescent="0.25">
      <c r="A112" s="3">
        <v>84</v>
      </c>
      <c r="B112" s="17" t="s">
        <v>88</v>
      </c>
      <c r="C112" s="35" t="s">
        <v>21</v>
      </c>
      <c r="D112" s="4">
        <v>1</v>
      </c>
      <c r="E112" s="18" t="s">
        <v>14</v>
      </c>
      <c r="F112" s="19"/>
      <c r="G112" s="27">
        <f t="shared" si="7"/>
        <v>0</v>
      </c>
    </row>
    <row r="113" spans="1:7" s="36" customFormat="1" ht="15.75" x14ac:dyDescent="0.3">
      <c r="A113" s="3">
        <v>85</v>
      </c>
      <c r="B113" s="17" t="s">
        <v>88</v>
      </c>
      <c r="C113" s="32" t="s">
        <v>23</v>
      </c>
      <c r="D113" s="4">
        <v>1</v>
      </c>
      <c r="E113" s="18" t="s">
        <v>14</v>
      </c>
      <c r="F113" s="19"/>
      <c r="G113" s="27">
        <f t="shared" si="7"/>
        <v>0</v>
      </c>
    </row>
    <row r="114" spans="1:7" s="30" customFormat="1" ht="15.75" thickBot="1" x14ac:dyDescent="0.3">
      <c r="A114" s="3">
        <v>86</v>
      </c>
      <c r="B114" s="17" t="s">
        <v>88</v>
      </c>
      <c r="C114" s="34" t="s">
        <v>20</v>
      </c>
      <c r="D114" s="4">
        <v>1</v>
      </c>
      <c r="E114" s="18" t="s">
        <v>14</v>
      </c>
      <c r="F114" s="19"/>
      <c r="G114" s="27">
        <f t="shared" si="7"/>
        <v>0</v>
      </c>
    </row>
    <row r="115" spans="1:7" s="13" customFormat="1" ht="17.25" thickTop="1" thickBot="1" x14ac:dyDescent="0.35">
      <c r="A115" s="37"/>
      <c r="B115" s="93" t="s">
        <v>72</v>
      </c>
      <c r="C115" s="51"/>
      <c r="D115" s="51"/>
      <c r="E115" s="51"/>
      <c r="F115" s="94"/>
      <c r="G115" s="9">
        <f>SUM(G104:G114)</f>
        <v>0</v>
      </c>
    </row>
    <row r="116" spans="1:7" s="20" customFormat="1" ht="15.75" thickTop="1" x14ac:dyDescent="0.25">
      <c r="A116" s="3">
        <v>87</v>
      </c>
      <c r="B116" s="17" t="s">
        <v>89</v>
      </c>
      <c r="C116" s="17" t="s">
        <v>13</v>
      </c>
      <c r="D116" s="4">
        <v>6</v>
      </c>
      <c r="E116" s="18" t="s">
        <v>14</v>
      </c>
      <c r="F116" s="19"/>
      <c r="G116" s="27">
        <f t="shared" ref="G116:G126" si="8">D116*F116</f>
        <v>0</v>
      </c>
    </row>
    <row r="117" spans="1:7" s="30" customFormat="1" x14ac:dyDescent="0.25">
      <c r="A117" s="3">
        <v>88</v>
      </c>
      <c r="B117" s="17" t="s">
        <v>89</v>
      </c>
      <c r="C117" s="17" t="s">
        <v>17</v>
      </c>
      <c r="D117" s="4">
        <v>6</v>
      </c>
      <c r="E117" s="18" t="s">
        <v>14</v>
      </c>
      <c r="F117" s="19"/>
      <c r="G117" s="27">
        <f t="shared" si="8"/>
        <v>0</v>
      </c>
    </row>
    <row r="118" spans="1:7" s="30" customFormat="1" x14ac:dyDescent="0.25">
      <c r="A118" s="3">
        <v>89</v>
      </c>
      <c r="B118" s="17" t="s">
        <v>89</v>
      </c>
      <c r="C118" s="31" t="s">
        <v>37</v>
      </c>
      <c r="D118" s="23">
        <v>6</v>
      </c>
      <c r="E118" s="24" t="s">
        <v>14</v>
      </c>
      <c r="F118" s="19"/>
      <c r="G118" s="27">
        <f t="shared" si="8"/>
        <v>0</v>
      </c>
    </row>
    <row r="119" spans="1:7" s="30" customFormat="1" x14ac:dyDescent="0.25">
      <c r="A119" s="3">
        <v>90</v>
      </c>
      <c r="B119" s="17" t="s">
        <v>89</v>
      </c>
      <c r="C119" s="34" t="s">
        <v>15</v>
      </c>
      <c r="D119" s="4">
        <v>6</v>
      </c>
      <c r="E119" s="18" t="s">
        <v>14</v>
      </c>
      <c r="F119" s="19"/>
      <c r="G119" s="27">
        <f t="shared" si="8"/>
        <v>0</v>
      </c>
    </row>
    <row r="120" spans="1:7" s="30" customFormat="1" x14ac:dyDescent="0.25">
      <c r="A120" s="3">
        <v>91</v>
      </c>
      <c r="B120" s="17" t="s">
        <v>89</v>
      </c>
      <c r="C120" s="34" t="s">
        <v>22</v>
      </c>
      <c r="D120" s="4">
        <v>6</v>
      </c>
      <c r="E120" s="18" t="s">
        <v>14</v>
      </c>
      <c r="F120" s="19"/>
      <c r="G120" s="27">
        <f t="shared" si="8"/>
        <v>0</v>
      </c>
    </row>
    <row r="121" spans="1:7" s="30" customFormat="1" x14ac:dyDescent="0.25">
      <c r="A121" s="3">
        <v>92</v>
      </c>
      <c r="B121" s="17" t="s">
        <v>101</v>
      </c>
      <c r="C121" s="34" t="s">
        <v>18</v>
      </c>
      <c r="D121" s="4">
        <v>6</v>
      </c>
      <c r="E121" s="18" t="s">
        <v>14</v>
      </c>
      <c r="F121" s="19"/>
      <c r="G121" s="27">
        <f t="shared" si="8"/>
        <v>0</v>
      </c>
    </row>
    <row r="122" spans="1:7" s="30" customFormat="1" x14ac:dyDescent="0.25">
      <c r="A122" s="3">
        <v>93</v>
      </c>
      <c r="B122" s="17" t="s">
        <v>101</v>
      </c>
      <c r="C122" s="34" t="s">
        <v>16</v>
      </c>
      <c r="D122" s="4">
        <v>6</v>
      </c>
      <c r="E122" s="18" t="s">
        <v>14</v>
      </c>
      <c r="F122" s="19"/>
      <c r="G122" s="27">
        <f t="shared" si="8"/>
        <v>0</v>
      </c>
    </row>
    <row r="123" spans="1:7" s="30" customFormat="1" x14ac:dyDescent="0.25">
      <c r="A123" s="3">
        <v>94</v>
      </c>
      <c r="B123" s="17" t="s">
        <v>101</v>
      </c>
      <c r="C123" s="34" t="s">
        <v>19</v>
      </c>
      <c r="D123" s="4">
        <v>6</v>
      </c>
      <c r="E123" s="18" t="s">
        <v>14</v>
      </c>
      <c r="F123" s="19"/>
      <c r="G123" s="27">
        <f t="shared" si="8"/>
        <v>0</v>
      </c>
    </row>
    <row r="124" spans="1:7" s="30" customFormat="1" x14ac:dyDescent="0.25">
      <c r="A124" s="3">
        <v>95</v>
      </c>
      <c r="B124" s="17" t="s">
        <v>101</v>
      </c>
      <c r="C124" s="35" t="s">
        <v>21</v>
      </c>
      <c r="D124" s="4">
        <v>6</v>
      </c>
      <c r="E124" s="18" t="s">
        <v>14</v>
      </c>
      <c r="F124" s="19"/>
      <c r="G124" s="27">
        <f t="shared" si="8"/>
        <v>0</v>
      </c>
    </row>
    <row r="125" spans="1:7" s="36" customFormat="1" ht="15.75" x14ac:dyDescent="0.3">
      <c r="A125" s="3">
        <v>96</v>
      </c>
      <c r="B125" s="17" t="s">
        <v>101</v>
      </c>
      <c r="C125" s="32" t="s">
        <v>23</v>
      </c>
      <c r="D125" s="4">
        <v>6</v>
      </c>
      <c r="E125" s="18" t="s">
        <v>14</v>
      </c>
      <c r="F125" s="19"/>
      <c r="G125" s="27">
        <f t="shared" si="8"/>
        <v>0</v>
      </c>
    </row>
    <row r="126" spans="1:7" s="30" customFormat="1" ht="15.75" thickBot="1" x14ac:dyDescent="0.3">
      <c r="A126" s="3">
        <v>97</v>
      </c>
      <c r="B126" s="17" t="s">
        <v>101</v>
      </c>
      <c r="C126" s="34" t="s">
        <v>20</v>
      </c>
      <c r="D126" s="4">
        <v>6</v>
      </c>
      <c r="E126" s="18" t="s">
        <v>14</v>
      </c>
      <c r="F126" s="19"/>
      <c r="G126" s="27">
        <f t="shared" si="8"/>
        <v>0</v>
      </c>
    </row>
    <row r="127" spans="1:7" s="38" customFormat="1" ht="17.25" thickTop="1" thickBot="1" x14ac:dyDescent="0.35">
      <c r="A127" s="50" t="s">
        <v>44</v>
      </c>
      <c r="B127" s="51"/>
      <c r="C127" s="51"/>
      <c r="D127" s="51"/>
      <c r="E127" s="51"/>
      <c r="F127" s="51"/>
      <c r="G127" s="9">
        <f>SUM(G116:G126)</f>
        <v>0</v>
      </c>
    </row>
    <row r="128" spans="1:7" s="30" customFormat="1" ht="15.75" thickTop="1" x14ac:dyDescent="0.25">
      <c r="A128" s="3">
        <v>98</v>
      </c>
      <c r="B128" s="34" t="s">
        <v>90</v>
      </c>
      <c r="C128" s="17" t="s">
        <v>45</v>
      </c>
      <c r="D128" s="4">
        <v>6</v>
      </c>
      <c r="E128" s="18" t="s">
        <v>29</v>
      </c>
      <c r="F128" s="19"/>
      <c r="G128" s="27">
        <f t="shared" ref="G128:G152" si="9">D128*F128</f>
        <v>0</v>
      </c>
    </row>
    <row r="129" spans="1:7" s="30" customFormat="1" ht="15.75" thickBot="1" x14ac:dyDescent="0.3">
      <c r="A129" s="3">
        <v>99</v>
      </c>
      <c r="B129" s="34" t="s">
        <v>91</v>
      </c>
      <c r="C129" s="17" t="s">
        <v>39</v>
      </c>
      <c r="D129" s="4">
        <v>12</v>
      </c>
      <c r="E129" s="18" t="s">
        <v>14</v>
      </c>
      <c r="F129" s="19"/>
      <c r="G129" s="27">
        <f t="shared" si="9"/>
        <v>0</v>
      </c>
    </row>
    <row r="130" spans="1:7" s="11" customFormat="1" ht="17.25" thickTop="1" thickBot="1" x14ac:dyDescent="0.35">
      <c r="A130" s="50" t="s">
        <v>46</v>
      </c>
      <c r="B130" s="51"/>
      <c r="C130" s="51"/>
      <c r="D130" s="51"/>
      <c r="E130" s="51"/>
      <c r="F130" s="51"/>
      <c r="G130" s="9">
        <f>SUM(G128:G129)</f>
        <v>0</v>
      </c>
    </row>
    <row r="131" spans="1:7" s="30" customFormat="1" ht="15.75" thickTop="1" x14ac:dyDescent="0.25">
      <c r="A131" s="3">
        <v>100</v>
      </c>
      <c r="B131" s="17" t="s">
        <v>92</v>
      </c>
      <c r="C131" s="17" t="s">
        <v>13</v>
      </c>
      <c r="D131" s="4">
        <v>1</v>
      </c>
      <c r="E131" s="18" t="s">
        <v>14</v>
      </c>
      <c r="F131" s="19"/>
      <c r="G131" s="27">
        <f t="shared" si="9"/>
        <v>0</v>
      </c>
    </row>
    <row r="132" spans="1:7" s="30" customFormat="1" x14ac:dyDescent="0.25">
      <c r="A132" s="3">
        <v>101</v>
      </c>
      <c r="B132" s="17" t="s">
        <v>92</v>
      </c>
      <c r="C132" s="17" t="s">
        <v>17</v>
      </c>
      <c r="D132" s="4">
        <v>1</v>
      </c>
      <c r="E132" s="18" t="s">
        <v>14</v>
      </c>
      <c r="F132" s="19"/>
      <c r="G132" s="27">
        <f t="shared" si="9"/>
        <v>0</v>
      </c>
    </row>
    <row r="133" spans="1:7" s="30" customFormat="1" x14ac:dyDescent="0.25">
      <c r="A133" s="3">
        <v>102</v>
      </c>
      <c r="B133" s="17" t="s">
        <v>92</v>
      </c>
      <c r="C133" s="31" t="s">
        <v>37</v>
      </c>
      <c r="D133" s="4">
        <v>1</v>
      </c>
      <c r="E133" s="18" t="s">
        <v>14</v>
      </c>
      <c r="F133" s="19"/>
      <c r="G133" s="27">
        <f t="shared" si="9"/>
        <v>0</v>
      </c>
    </row>
    <row r="134" spans="1:7" s="30" customFormat="1" x14ac:dyDescent="0.25">
      <c r="A134" s="3">
        <v>103</v>
      </c>
      <c r="B134" s="17" t="s">
        <v>92</v>
      </c>
      <c r="C134" s="34" t="s">
        <v>18</v>
      </c>
      <c r="D134" s="4">
        <v>1</v>
      </c>
      <c r="E134" s="18" t="s">
        <v>14</v>
      </c>
      <c r="F134" s="19"/>
      <c r="G134" s="27">
        <f t="shared" si="9"/>
        <v>0</v>
      </c>
    </row>
    <row r="135" spans="1:7" s="30" customFormat="1" x14ac:dyDescent="0.25">
      <c r="A135" s="3">
        <v>104</v>
      </c>
      <c r="B135" s="17" t="s">
        <v>92</v>
      </c>
      <c r="C135" s="34" t="s">
        <v>15</v>
      </c>
      <c r="D135" s="4">
        <v>1</v>
      </c>
      <c r="E135" s="18" t="s">
        <v>14</v>
      </c>
      <c r="F135" s="19"/>
      <c r="G135" s="27">
        <f t="shared" si="9"/>
        <v>0</v>
      </c>
    </row>
    <row r="136" spans="1:7" s="30" customFormat="1" x14ac:dyDescent="0.25">
      <c r="A136" s="3">
        <v>105</v>
      </c>
      <c r="B136" s="17" t="s">
        <v>92</v>
      </c>
      <c r="C136" s="34" t="s">
        <v>16</v>
      </c>
      <c r="D136" s="4">
        <v>1</v>
      </c>
      <c r="E136" s="18" t="s">
        <v>14</v>
      </c>
      <c r="F136" s="19"/>
      <c r="G136" s="27">
        <f t="shared" si="9"/>
        <v>0</v>
      </c>
    </row>
    <row r="137" spans="1:7" s="30" customFormat="1" x14ac:dyDescent="0.25">
      <c r="A137" s="3">
        <v>106</v>
      </c>
      <c r="B137" s="17" t="s">
        <v>92</v>
      </c>
      <c r="C137" s="34" t="s">
        <v>19</v>
      </c>
      <c r="D137" s="4">
        <v>1</v>
      </c>
      <c r="E137" s="18" t="s">
        <v>14</v>
      </c>
      <c r="F137" s="19"/>
      <c r="G137" s="27">
        <f t="shared" si="9"/>
        <v>0</v>
      </c>
    </row>
    <row r="138" spans="1:7" s="30" customFormat="1" x14ac:dyDescent="0.25">
      <c r="A138" s="3">
        <v>107</v>
      </c>
      <c r="B138" s="17" t="s">
        <v>92</v>
      </c>
      <c r="C138" s="35" t="s">
        <v>21</v>
      </c>
      <c r="D138" s="4">
        <v>1</v>
      </c>
      <c r="E138" s="18" t="s">
        <v>14</v>
      </c>
      <c r="F138" s="19"/>
      <c r="G138" s="27">
        <f t="shared" si="9"/>
        <v>0</v>
      </c>
    </row>
    <row r="139" spans="1:7" s="30" customFormat="1" x14ac:dyDescent="0.25">
      <c r="A139" s="3">
        <v>108</v>
      </c>
      <c r="B139" s="17" t="s">
        <v>92</v>
      </c>
      <c r="C139" s="32" t="s">
        <v>23</v>
      </c>
      <c r="D139" s="4">
        <v>1</v>
      </c>
      <c r="E139" s="18" t="s">
        <v>14</v>
      </c>
      <c r="F139" s="19"/>
      <c r="G139" s="27">
        <f t="shared" si="9"/>
        <v>0</v>
      </c>
    </row>
    <row r="140" spans="1:7" s="36" customFormat="1" ht="15.75" x14ac:dyDescent="0.3">
      <c r="A140" s="3">
        <v>109</v>
      </c>
      <c r="B140" s="17" t="s">
        <v>92</v>
      </c>
      <c r="C140" s="34" t="s">
        <v>22</v>
      </c>
      <c r="D140" s="4">
        <v>1</v>
      </c>
      <c r="E140" s="18" t="s">
        <v>14</v>
      </c>
      <c r="F140" s="19"/>
      <c r="G140" s="27">
        <f t="shared" si="9"/>
        <v>0</v>
      </c>
    </row>
    <row r="141" spans="1:7" s="30" customFormat="1" ht="15.75" thickBot="1" x14ac:dyDescent="0.3">
      <c r="A141" s="3">
        <v>110</v>
      </c>
      <c r="B141" s="17" t="s">
        <v>92</v>
      </c>
      <c r="C141" s="34" t="s">
        <v>20</v>
      </c>
      <c r="D141" s="4">
        <v>1</v>
      </c>
      <c r="E141" s="18" t="s">
        <v>14</v>
      </c>
      <c r="F141" s="19"/>
      <c r="G141" s="27">
        <f t="shared" si="9"/>
        <v>0</v>
      </c>
    </row>
    <row r="142" spans="1:7" s="39" customFormat="1" ht="17.25" thickTop="1" thickBot="1" x14ac:dyDescent="0.35">
      <c r="A142" s="50" t="s">
        <v>47</v>
      </c>
      <c r="B142" s="51"/>
      <c r="C142" s="51"/>
      <c r="D142" s="51"/>
      <c r="E142" s="51"/>
      <c r="F142" s="51"/>
      <c r="G142" s="9">
        <f>SUM(G131:G141)</f>
        <v>0</v>
      </c>
    </row>
    <row r="143" spans="1:7" s="36" customFormat="1" ht="16.5" thickTop="1" x14ac:dyDescent="0.3">
      <c r="A143" s="3">
        <v>111</v>
      </c>
      <c r="B143" s="17" t="s">
        <v>93</v>
      </c>
      <c r="C143" s="17" t="s">
        <v>13</v>
      </c>
      <c r="D143" s="4">
        <v>4</v>
      </c>
      <c r="E143" s="18" t="s">
        <v>14</v>
      </c>
      <c r="F143" s="19"/>
      <c r="G143" s="27">
        <f t="shared" si="9"/>
        <v>0</v>
      </c>
    </row>
    <row r="144" spans="1:7" s="36" customFormat="1" ht="15.75" x14ac:dyDescent="0.3">
      <c r="A144" s="3">
        <v>112</v>
      </c>
      <c r="B144" s="17" t="s">
        <v>93</v>
      </c>
      <c r="C144" s="17" t="s">
        <v>17</v>
      </c>
      <c r="D144" s="4">
        <v>4</v>
      </c>
      <c r="E144" s="18" t="s">
        <v>14</v>
      </c>
      <c r="F144" s="19"/>
      <c r="G144" s="27">
        <f t="shared" si="9"/>
        <v>0</v>
      </c>
    </row>
    <row r="145" spans="1:7" s="36" customFormat="1" ht="15.75" x14ac:dyDescent="0.3">
      <c r="A145" s="3">
        <v>113</v>
      </c>
      <c r="B145" s="17" t="s">
        <v>93</v>
      </c>
      <c r="C145" s="31" t="s">
        <v>37</v>
      </c>
      <c r="D145" s="4">
        <v>4</v>
      </c>
      <c r="E145" s="18" t="s">
        <v>14</v>
      </c>
      <c r="F145" s="19"/>
      <c r="G145" s="27">
        <f t="shared" si="9"/>
        <v>0</v>
      </c>
    </row>
    <row r="146" spans="1:7" s="36" customFormat="1" ht="15.75" x14ac:dyDescent="0.3">
      <c r="A146" s="3">
        <v>114</v>
      </c>
      <c r="B146" s="17" t="s">
        <v>93</v>
      </c>
      <c r="C146" s="34" t="s">
        <v>18</v>
      </c>
      <c r="D146" s="4">
        <v>4</v>
      </c>
      <c r="E146" s="18" t="s">
        <v>14</v>
      </c>
      <c r="F146" s="19"/>
      <c r="G146" s="27">
        <f t="shared" si="9"/>
        <v>0</v>
      </c>
    </row>
    <row r="147" spans="1:7" s="36" customFormat="1" ht="15.75" x14ac:dyDescent="0.3">
      <c r="A147" s="3">
        <v>115</v>
      </c>
      <c r="B147" s="17" t="s">
        <v>93</v>
      </c>
      <c r="C147" s="34" t="s">
        <v>15</v>
      </c>
      <c r="D147" s="4">
        <v>4</v>
      </c>
      <c r="E147" s="18" t="s">
        <v>14</v>
      </c>
      <c r="F147" s="19"/>
      <c r="G147" s="27">
        <f t="shared" si="9"/>
        <v>0</v>
      </c>
    </row>
    <row r="148" spans="1:7" s="36" customFormat="1" ht="15.75" x14ac:dyDescent="0.3">
      <c r="A148" s="3">
        <v>116</v>
      </c>
      <c r="B148" s="17" t="s">
        <v>93</v>
      </c>
      <c r="C148" s="34" t="s">
        <v>19</v>
      </c>
      <c r="D148" s="4">
        <v>4</v>
      </c>
      <c r="E148" s="18" t="s">
        <v>14</v>
      </c>
      <c r="F148" s="19"/>
      <c r="G148" s="27">
        <f t="shared" si="9"/>
        <v>0</v>
      </c>
    </row>
    <row r="149" spans="1:7" s="30" customFormat="1" x14ac:dyDescent="0.25">
      <c r="A149" s="3">
        <v>117</v>
      </c>
      <c r="B149" s="17" t="s">
        <v>93</v>
      </c>
      <c r="C149" s="35" t="s">
        <v>21</v>
      </c>
      <c r="D149" s="4">
        <v>4</v>
      </c>
      <c r="E149" s="18" t="s">
        <v>14</v>
      </c>
      <c r="F149" s="19"/>
      <c r="G149" s="27">
        <f t="shared" si="9"/>
        <v>0</v>
      </c>
    </row>
    <row r="150" spans="1:7" s="36" customFormat="1" ht="15.75" x14ac:dyDescent="0.3">
      <c r="A150" s="3">
        <v>118</v>
      </c>
      <c r="B150" s="17" t="s">
        <v>93</v>
      </c>
      <c r="C150" s="32" t="s">
        <v>23</v>
      </c>
      <c r="D150" s="4">
        <v>4</v>
      </c>
      <c r="E150" s="18" t="s">
        <v>14</v>
      </c>
      <c r="F150" s="19"/>
      <c r="G150" s="27">
        <f t="shared" si="9"/>
        <v>0</v>
      </c>
    </row>
    <row r="151" spans="1:7" s="36" customFormat="1" ht="15.75" x14ac:dyDescent="0.3">
      <c r="A151" s="3">
        <v>119</v>
      </c>
      <c r="B151" s="17" t="s">
        <v>93</v>
      </c>
      <c r="C151" s="34" t="s">
        <v>22</v>
      </c>
      <c r="D151" s="4">
        <v>4</v>
      </c>
      <c r="E151" s="18" t="s">
        <v>14</v>
      </c>
      <c r="F151" s="19"/>
      <c r="G151" s="27">
        <f t="shared" si="9"/>
        <v>0</v>
      </c>
    </row>
    <row r="152" spans="1:7" s="30" customFormat="1" ht="15.75" thickBot="1" x14ac:dyDescent="0.3">
      <c r="A152" s="3">
        <v>120</v>
      </c>
      <c r="B152" s="17" t="s">
        <v>93</v>
      </c>
      <c r="C152" s="34" t="s">
        <v>20</v>
      </c>
      <c r="D152" s="4">
        <v>4</v>
      </c>
      <c r="E152" s="18" t="s">
        <v>14</v>
      </c>
      <c r="F152" s="19"/>
      <c r="G152" s="27">
        <f t="shared" si="9"/>
        <v>0</v>
      </c>
    </row>
    <row r="153" spans="1:7" s="11" customFormat="1" ht="17.25" thickTop="1" thickBot="1" x14ac:dyDescent="0.35">
      <c r="A153" s="50" t="s">
        <v>48</v>
      </c>
      <c r="B153" s="51"/>
      <c r="C153" s="51"/>
      <c r="D153" s="51"/>
      <c r="E153" s="51"/>
      <c r="F153" s="51"/>
      <c r="G153" s="9">
        <f>SUM(G143:G152)</f>
        <v>0</v>
      </c>
    </row>
    <row r="154" spans="1:7" s="11" customFormat="1" ht="17.25" thickTop="1" thickBot="1" x14ac:dyDescent="0.35">
      <c r="A154" s="52" t="s">
        <v>49</v>
      </c>
      <c r="B154" s="53"/>
      <c r="C154" s="53"/>
      <c r="D154" s="53"/>
      <c r="E154" s="53"/>
      <c r="F154" s="54"/>
      <c r="G154" s="9">
        <f>SUM(G115,G127,G130,G142,G153)</f>
        <v>0</v>
      </c>
    </row>
    <row r="155" spans="1:7" s="11" customFormat="1" ht="16.5" thickTop="1" x14ac:dyDescent="0.3">
      <c r="A155" s="55" t="s">
        <v>50</v>
      </c>
      <c r="B155" s="56"/>
      <c r="C155" s="56"/>
      <c r="D155" s="56"/>
      <c r="E155" s="56"/>
      <c r="F155" s="56"/>
      <c r="G155" s="57"/>
    </row>
    <row r="156" spans="1:7" s="13" customFormat="1" ht="15.75" x14ac:dyDescent="0.3">
      <c r="A156" s="15" t="s">
        <v>6</v>
      </c>
      <c r="B156" s="1" t="s">
        <v>7</v>
      </c>
      <c r="C156" s="16" t="s">
        <v>8</v>
      </c>
      <c r="D156" s="16" t="s">
        <v>9</v>
      </c>
      <c r="E156" s="16" t="s">
        <v>10</v>
      </c>
      <c r="F156" s="16" t="s">
        <v>11</v>
      </c>
      <c r="G156" s="2" t="s">
        <v>12</v>
      </c>
    </row>
    <row r="157" spans="1:7" s="30" customFormat="1" x14ac:dyDescent="0.25">
      <c r="A157" s="3">
        <v>121</v>
      </c>
      <c r="B157" s="17" t="s">
        <v>94</v>
      </c>
      <c r="C157" s="17" t="s">
        <v>13</v>
      </c>
      <c r="D157" s="4">
        <v>12</v>
      </c>
      <c r="E157" s="18" t="s">
        <v>14</v>
      </c>
      <c r="F157" s="19"/>
      <c r="G157" s="27">
        <f t="shared" ref="G157:G164" si="10">D157*F157</f>
        <v>0</v>
      </c>
    </row>
    <row r="158" spans="1:7" s="40" customFormat="1" x14ac:dyDescent="0.25">
      <c r="A158" s="3">
        <v>122</v>
      </c>
      <c r="B158" s="17" t="s">
        <v>94</v>
      </c>
      <c r="C158" s="17" t="s">
        <v>17</v>
      </c>
      <c r="D158" s="4">
        <v>12</v>
      </c>
      <c r="E158" s="18" t="s">
        <v>14</v>
      </c>
      <c r="F158" s="19"/>
      <c r="G158" s="27">
        <f t="shared" si="10"/>
        <v>0</v>
      </c>
    </row>
    <row r="159" spans="1:7" s="30" customFormat="1" x14ac:dyDescent="0.25">
      <c r="A159" s="3">
        <v>123</v>
      </c>
      <c r="B159" s="17" t="s">
        <v>94</v>
      </c>
      <c r="C159" s="17" t="s">
        <v>37</v>
      </c>
      <c r="D159" s="4">
        <v>12</v>
      </c>
      <c r="E159" s="18" t="s">
        <v>14</v>
      </c>
      <c r="F159" s="19"/>
      <c r="G159" s="27">
        <f t="shared" si="10"/>
        <v>0</v>
      </c>
    </row>
    <row r="160" spans="1:7" s="30" customFormat="1" x14ac:dyDescent="0.25">
      <c r="A160" s="3">
        <v>124</v>
      </c>
      <c r="B160" s="17" t="s">
        <v>94</v>
      </c>
      <c r="C160" s="17" t="s">
        <v>18</v>
      </c>
      <c r="D160" s="4">
        <v>12</v>
      </c>
      <c r="E160" s="18" t="s">
        <v>14</v>
      </c>
      <c r="F160" s="19"/>
      <c r="G160" s="27">
        <f t="shared" si="10"/>
        <v>0</v>
      </c>
    </row>
    <row r="161" spans="1:7" s="30" customFormat="1" x14ac:dyDescent="0.25">
      <c r="A161" s="3">
        <v>125</v>
      </c>
      <c r="B161" s="17" t="s">
        <v>94</v>
      </c>
      <c r="C161" s="17" t="s">
        <v>15</v>
      </c>
      <c r="D161" s="4">
        <v>12</v>
      </c>
      <c r="E161" s="18" t="s">
        <v>14</v>
      </c>
      <c r="F161" s="19"/>
      <c r="G161" s="27">
        <f t="shared" si="10"/>
        <v>0</v>
      </c>
    </row>
    <row r="162" spans="1:7" s="30" customFormat="1" x14ac:dyDescent="0.25">
      <c r="A162" s="3">
        <v>126</v>
      </c>
      <c r="B162" s="17" t="s">
        <v>94</v>
      </c>
      <c r="C162" s="17" t="s">
        <v>21</v>
      </c>
      <c r="D162" s="4">
        <v>12</v>
      </c>
      <c r="E162" s="18" t="s">
        <v>14</v>
      </c>
      <c r="F162" s="19"/>
      <c r="G162" s="27">
        <f t="shared" si="10"/>
        <v>0</v>
      </c>
    </row>
    <row r="163" spans="1:7" s="30" customFormat="1" x14ac:dyDescent="0.25">
      <c r="A163" s="3">
        <v>127</v>
      </c>
      <c r="B163" s="17" t="s">
        <v>94</v>
      </c>
      <c r="C163" s="17" t="s">
        <v>19</v>
      </c>
      <c r="D163" s="4">
        <v>12</v>
      </c>
      <c r="E163" s="18" t="s">
        <v>14</v>
      </c>
      <c r="F163" s="19"/>
      <c r="G163" s="27">
        <f t="shared" si="10"/>
        <v>0</v>
      </c>
    </row>
    <row r="164" spans="1:7" s="30" customFormat="1" ht="15.75" thickBot="1" x14ac:dyDescent="0.3">
      <c r="A164" s="3">
        <v>128</v>
      </c>
      <c r="B164" s="17" t="s">
        <v>94</v>
      </c>
      <c r="C164" s="17" t="s">
        <v>22</v>
      </c>
      <c r="D164" s="4">
        <v>12</v>
      </c>
      <c r="E164" s="18" t="s">
        <v>14</v>
      </c>
      <c r="F164" s="19"/>
      <c r="G164" s="27">
        <f t="shared" si="10"/>
        <v>0</v>
      </c>
    </row>
    <row r="165" spans="1:7" s="11" customFormat="1" ht="17.25" thickTop="1" thickBot="1" x14ac:dyDescent="0.35">
      <c r="A165" s="50" t="s">
        <v>51</v>
      </c>
      <c r="B165" s="51"/>
      <c r="C165" s="51"/>
      <c r="D165" s="51"/>
      <c r="E165" s="51"/>
      <c r="F165" s="51"/>
      <c r="G165" s="9">
        <f>SUM(G157:G164)</f>
        <v>0</v>
      </c>
    </row>
    <row r="166" spans="1:7" s="11" customFormat="1" ht="17.25" thickTop="1" thickBot="1" x14ac:dyDescent="0.35">
      <c r="A166" s="52" t="s">
        <v>52</v>
      </c>
      <c r="B166" s="53"/>
      <c r="C166" s="53"/>
      <c r="D166" s="53"/>
      <c r="E166" s="53"/>
      <c r="F166" s="54"/>
      <c r="G166" s="9">
        <f>G165</f>
        <v>0</v>
      </c>
    </row>
    <row r="167" spans="1:7" s="11" customFormat="1" ht="16.5" thickTop="1" x14ac:dyDescent="0.3">
      <c r="A167" s="62" t="s">
        <v>53</v>
      </c>
      <c r="B167" s="63"/>
      <c r="C167" s="63"/>
      <c r="D167" s="63"/>
      <c r="E167" s="63"/>
      <c r="F167" s="63"/>
      <c r="G167" s="64"/>
    </row>
    <row r="168" spans="1:7" s="20" customFormat="1" ht="15.75" x14ac:dyDescent="0.3">
      <c r="A168" s="15" t="s">
        <v>6</v>
      </c>
      <c r="B168" s="6" t="s">
        <v>7</v>
      </c>
      <c r="C168" s="18" t="s">
        <v>8</v>
      </c>
      <c r="D168" s="18" t="s">
        <v>9</v>
      </c>
      <c r="E168" s="18" t="s">
        <v>10</v>
      </c>
      <c r="F168" s="18" t="s">
        <v>11</v>
      </c>
      <c r="G168" s="7" t="s">
        <v>12</v>
      </c>
    </row>
    <row r="169" spans="1:7" s="20" customFormat="1" x14ac:dyDescent="0.25">
      <c r="A169" s="3">
        <v>129</v>
      </c>
      <c r="B169" s="41" t="s">
        <v>95</v>
      </c>
      <c r="C169" s="42" t="s">
        <v>54</v>
      </c>
      <c r="D169" s="4">
        <v>7</v>
      </c>
      <c r="E169" s="6" t="s">
        <v>14</v>
      </c>
      <c r="F169" s="19"/>
      <c r="G169" s="27">
        <f t="shared" ref="G169:G177" si="11">D169*F169</f>
        <v>0</v>
      </c>
    </row>
    <row r="170" spans="1:7" s="20" customFormat="1" x14ac:dyDescent="0.25">
      <c r="A170" s="3">
        <v>130</v>
      </c>
      <c r="B170" s="41" t="s">
        <v>95</v>
      </c>
      <c r="C170" s="42" t="s">
        <v>17</v>
      </c>
      <c r="D170" s="4">
        <v>7</v>
      </c>
      <c r="E170" s="6" t="s">
        <v>14</v>
      </c>
      <c r="F170" s="19"/>
      <c r="G170" s="27">
        <f t="shared" si="11"/>
        <v>0</v>
      </c>
    </row>
    <row r="171" spans="1:7" s="20" customFormat="1" x14ac:dyDescent="0.25">
      <c r="A171" s="3">
        <v>131</v>
      </c>
      <c r="B171" s="41" t="s">
        <v>95</v>
      </c>
      <c r="C171" s="42" t="s">
        <v>37</v>
      </c>
      <c r="D171" s="4">
        <v>7</v>
      </c>
      <c r="E171" s="6" t="s">
        <v>14</v>
      </c>
      <c r="F171" s="19"/>
      <c r="G171" s="27">
        <f t="shared" si="11"/>
        <v>0</v>
      </c>
    </row>
    <row r="172" spans="1:7" s="20" customFormat="1" x14ac:dyDescent="0.25">
      <c r="A172" s="3">
        <v>132</v>
      </c>
      <c r="B172" s="41" t="s">
        <v>95</v>
      </c>
      <c r="C172" s="42" t="s">
        <v>55</v>
      </c>
      <c r="D172" s="4">
        <v>7</v>
      </c>
      <c r="E172" s="6" t="s">
        <v>14</v>
      </c>
      <c r="F172" s="19"/>
      <c r="G172" s="27">
        <f t="shared" si="11"/>
        <v>0</v>
      </c>
    </row>
    <row r="173" spans="1:7" s="20" customFormat="1" x14ac:dyDescent="0.25">
      <c r="A173" s="3">
        <v>133</v>
      </c>
      <c r="B173" s="41" t="s">
        <v>95</v>
      </c>
      <c r="C173" s="42" t="s">
        <v>56</v>
      </c>
      <c r="D173" s="4">
        <v>7</v>
      </c>
      <c r="E173" s="6" t="s">
        <v>14</v>
      </c>
      <c r="F173" s="19"/>
      <c r="G173" s="27">
        <f t="shared" si="11"/>
        <v>0</v>
      </c>
    </row>
    <row r="174" spans="1:7" s="20" customFormat="1" x14ac:dyDescent="0.25">
      <c r="A174" s="3">
        <v>134</v>
      </c>
      <c r="B174" s="41" t="s">
        <v>95</v>
      </c>
      <c r="C174" s="43" t="s">
        <v>57</v>
      </c>
      <c r="D174" s="4">
        <v>7</v>
      </c>
      <c r="E174" s="6" t="s">
        <v>14</v>
      </c>
      <c r="F174" s="19"/>
      <c r="G174" s="27">
        <f t="shared" si="11"/>
        <v>0</v>
      </c>
    </row>
    <row r="175" spans="1:7" s="20" customFormat="1" x14ac:dyDescent="0.25">
      <c r="A175" s="3">
        <v>135</v>
      </c>
      <c r="B175" s="41" t="s">
        <v>96</v>
      </c>
      <c r="C175" s="42" t="s">
        <v>58</v>
      </c>
      <c r="D175" s="4">
        <v>7</v>
      </c>
      <c r="E175" s="6" t="s">
        <v>14</v>
      </c>
      <c r="F175" s="19"/>
      <c r="G175" s="27">
        <f t="shared" si="11"/>
        <v>0</v>
      </c>
    </row>
    <row r="176" spans="1:7" s="20" customFormat="1" x14ac:dyDescent="0.25">
      <c r="A176" s="3">
        <v>136</v>
      </c>
      <c r="B176" s="41" t="s">
        <v>97</v>
      </c>
      <c r="C176" s="42" t="s">
        <v>59</v>
      </c>
      <c r="D176" s="4">
        <v>1</v>
      </c>
      <c r="E176" s="6" t="s">
        <v>29</v>
      </c>
      <c r="F176" s="19"/>
      <c r="G176" s="27">
        <f t="shared" si="11"/>
        <v>0</v>
      </c>
    </row>
    <row r="177" spans="1:7" s="20" customFormat="1" ht="15.75" thickBot="1" x14ac:dyDescent="0.3">
      <c r="A177" s="3">
        <v>137</v>
      </c>
      <c r="B177" s="41" t="s">
        <v>98</v>
      </c>
      <c r="C177" s="42" t="s">
        <v>59</v>
      </c>
      <c r="D177" s="4">
        <v>1</v>
      </c>
      <c r="E177" s="6" t="s">
        <v>29</v>
      </c>
      <c r="F177" s="19"/>
      <c r="G177" s="27">
        <f t="shared" si="11"/>
        <v>0</v>
      </c>
    </row>
    <row r="178" spans="1:7" s="11" customFormat="1" ht="17.25" thickTop="1" thickBot="1" x14ac:dyDescent="0.35">
      <c r="A178" s="50" t="s">
        <v>60</v>
      </c>
      <c r="B178" s="51"/>
      <c r="C178" s="51"/>
      <c r="D178" s="51"/>
      <c r="E178" s="51"/>
      <c r="F178" s="51"/>
      <c r="G178" s="9">
        <f>SUM(G169:G177)</f>
        <v>0</v>
      </c>
    </row>
    <row r="179" spans="1:7" s="11" customFormat="1" ht="17.25" thickTop="1" thickBot="1" x14ac:dyDescent="0.35">
      <c r="A179" s="65" t="s">
        <v>61</v>
      </c>
      <c r="B179" s="66"/>
      <c r="C179" s="66"/>
      <c r="D179" s="66"/>
      <c r="E179" s="66"/>
      <c r="F179" s="66"/>
      <c r="G179" s="9">
        <f>G178</f>
        <v>0</v>
      </c>
    </row>
    <row r="180" spans="1:7" s="11" customFormat="1" ht="16.5" thickBot="1" x14ac:dyDescent="0.35">
      <c r="A180" s="67"/>
      <c r="B180" s="67"/>
      <c r="C180" s="67"/>
      <c r="D180" s="67"/>
      <c r="E180" s="67"/>
      <c r="F180" s="67"/>
      <c r="G180" s="68"/>
    </row>
    <row r="181" spans="1:7" s="11" customFormat="1" ht="17.25" thickTop="1" thickBot="1" x14ac:dyDescent="0.35">
      <c r="A181" s="69" t="s">
        <v>62</v>
      </c>
      <c r="B181" s="70"/>
      <c r="C181" s="70"/>
      <c r="D181" s="70"/>
      <c r="E181" s="70"/>
      <c r="F181" s="70"/>
      <c r="G181" s="9">
        <f>SUM(G41,G48,G101,G154,G166,G179)</f>
        <v>0</v>
      </c>
    </row>
    <row r="182" spans="1:7" s="11" customFormat="1" ht="16.5" thickTop="1" x14ac:dyDescent="0.3">
      <c r="A182" s="58"/>
      <c r="B182" s="58"/>
      <c r="C182" s="58"/>
      <c r="D182" s="58"/>
      <c r="E182" s="58"/>
      <c r="F182" s="58"/>
      <c r="G182" s="59"/>
    </row>
    <row r="183" spans="1:7" s="11" customFormat="1" ht="15.75" x14ac:dyDescent="0.3">
      <c r="A183" s="60" t="s">
        <v>63</v>
      </c>
      <c r="B183" s="60"/>
      <c r="C183" s="60"/>
      <c r="D183" s="60"/>
      <c r="E183" s="60"/>
      <c r="F183" s="60"/>
      <c r="G183" s="60"/>
    </row>
    <row r="184" spans="1:7" s="11" customFormat="1" ht="15.75" x14ac:dyDescent="0.3">
      <c r="G184" s="8"/>
    </row>
    <row r="185" spans="1:7" s="11" customFormat="1" ht="15.75" x14ac:dyDescent="0.3">
      <c r="A185" s="61" t="s">
        <v>64</v>
      </c>
      <c r="B185" s="61"/>
      <c r="C185" s="61"/>
      <c r="D185" s="61"/>
      <c r="E185" s="61"/>
      <c r="F185" s="61"/>
      <c r="G185" s="61"/>
    </row>
    <row r="186" spans="1:7" ht="15.75" x14ac:dyDescent="0.3">
      <c r="F186" s="11"/>
      <c r="G186" s="44"/>
    </row>
    <row r="187" spans="1:7" ht="15.75" x14ac:dyDescent="0.3">
      <c r="F187" s="11"/>
      <c r="G187" s="8"/>
    </row>
    <row r="188" spans="1:7" ht="15.75" x14ac:dyDescent="0.3">
      <c r="F188" s="11"/>
      <c r="G188" s="8"/>
    </row>
    <row r="189" spans="1:7" ht="15.75" x14ac:dyDescent="0.3">
      <c r="F189" s="11"/>
      <c r="G189" s="8"/>
    </row>
  </sheetData>
  <mergeCells count="40">
    <mergeCell ref="A185:G185"/>
    <mergeCell ref="A178:F178"/>
    <mergeCell ref="A179:F179"/>
    <mergeCell ref="A180:G180"/>
    <mergeCell ref="A181:F181"/>
    <mergeCell ref="A182:G182"/>
    <mergeCell ref="A183:G183"/>
    <mergeCell ref="A167:G167"/>
    <mergeCell ref="A102:G102"/>
    <mergeCell ref="B115:F115"/>
    <mergeCell ref="A127:F127"/>
    <mergeCell ref="A130:F130"/>
    <mergeCell ref="A142:F142"/>
    <mergeCell ref="A153:F153"/>
    <mergeCell ref="A154:F154"/>
    <mergeCell ref="A155:G155"/>
    <mergeCell ref="A165:F165"/>
    <mergeCell ref="A166:F166"/>
    <mergeCell ref="A101:F101"/>
    <mergeCell ref="A36:F36"/>
    <mergeCell ref="A40:F40"/>
    <mergeCell ref="A41:F41"/>
    <mergeCell ref="A42:G42"/>
    <mergeCell ref="A47:F47"/>
    <mergeCell ref="A48:F48"/>
    <mergeCell ref="A49:G49"/>
    <mergeCell ref="A76:F76"/>
    <mergeCell ref="A78:F78"/>
    <mergeCell ref="A90:F90"/>
    <mergeCell ref="A100:F100"/>
    <mergeCell ref="A34:F34"/>
    <mergeCell ref="A1:B1"/>
    <mergeCell ref="D1:G1"/>
    <mergeCell ref="A2:B2"/>
    <mergeCell ref="D2:G2"/>
    <mergeCell ref="D3:G3"/>
    <mergeCell ref="D4:G4"/>
    <mergeCell ref="A6:G6"/>
    <mergeCell ref="A17:F17"/>
    <mergeCell ref="A19:F19"/>
  </mergeCells>
  <pageMargins left="0.7" right="0.7" top="0.75" bottom="0.75" header="0.3" footer="0.3"/>
  <pageSetup scale="55" fitToHeight="0" orientation="landscape" r:id="rId1"/>
  <rowBreaks count="3" manualBreakCount="3">
    <brk id="57" max="16383" man="1"/>
    <brk id="110" max="16383" man="1"/>
    <brk id="161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875D-5B73-48FE-91A7-142F2DFC878C}">
  <dimension ref="A1:G189"/>
  <sheetViews>
    <sheetView zoomScale="84" zoomScaleNormal="84" workbookViewId="0">
      <pane ySplit="5" topLeftCell="A6" activePane="bottomLeft" state="frozen"/>
      <selection pane="bottomLeft" sqref="A1:B1"/>
    </sheetView>
  </sheetViews>
  <sheetFormatPr defaultRowHeight="15" x14ac:dyDescent="0.25"/>
  <cols>
    <col min="2" max="2" width="111.42578125" customWidth="1"/>
    <col min="3" max="3" width="47.5703125" bestFit="1" customWidth="1"/>
    <col min="4" max="4" width="11.5703125" bestFit="1" customWidth="1"/>
    <col min="5" max="5" width="6.42578125" bestFit="1" customWidth="1"/>
    <col min="6" max="6" width="14.28515625" bestFit="1" customWidth="1"/>
    <col min="7" max="7" width="18.28515625" bestFit="1" customWidth="1"/>
  </cols>
  <sheetData>
    <row r="1" spans="1:7" s="11" customFormat="1" ht="15.75" x14ac:dyDescent="0.3">
      <c r="A1" s="73" t="s">
        <v>102</v>
      </c>
      <c r="B1" s="74"/>
      <c r="C1" s="10" t="s">
        <v>0</v>
      </c>
      <c r="D1" s="75"/>
      <c r="E1" s="75"/>
      <c r="F1" s="75"/>
      <c r="G1" s="76"/>
    </row>
    <row r="2" spans="1:7" s="11" customFormat="1" ht="15.75" x14ac:dyDescent="0.3">
      <c r="A2" s="80" t="s">
        <v>2</v>
      </c>
      <c r="B2" s="81"/>
      <c r="C2" s="12" t="s">
        <v>1</v>
      </c>
      <c r="D2" s="77"/>
      <c r="E2" s="78"/>
      <c r="F2" s="78"/>
      <c r="G2" s="79"/>
    </row>
    <row r="3" spans="1:7" s="11" customFormat="1" ht="15.75" x14ac:dyDescent="0.3">
      <c r="A3" s="45"/>
      <c r="B3" s="46" t="s">
        <v>74</v>
      </c>
      <c r="C3" s="12" t="s">
        <v>3</v>
      </c>
      <c r="D3" s="78"/>
      <c r="E3" s="78"/>
      <c r="F3" s="78"/>
      <c r="G3" s="79"/>
    </row>
    <row r="4" spans="1:7" s="11" customFormat="1" ht="16.5" thickBot="1" x14ac:dyDescent="0.35">
      <c r="A4" s="49"/>
      <c r="B4" s="47" t="s">
        <v>107</v>
      </c>
      <c r="C4" s="14" t="s">
        <v>4</v>
      </c>
      <c r="D4" s="82"/>
      <c r="E4" s="82"/>
      <c r="F4" s="82"/>
      <c r="G4" s="83"/>
    </row>
    <row r="5" spans="1:7" s="13" customFormat="1" ht="15.75" x14ac:dyDescent="0.3">
      <c r="A5" s="15" t="s">
        <v>6</v>
      </c>
      <c r="B5" s="1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2" t="s">
        <v>12</v>
      </c>
    </row>
    <row r="6" spans="1:7" s="11" customFormat="1" ht="15.75" x14ac:dyDescent="0.3">
      <c r="A6" s="84" t="s">
        <v>5</v>
      </c>
      <c r="B6" s="85"/>
      <c r="C6" s="85"/>
      <c r="D6" s="85"/>
      <c r="E6" s="85"/>
      <c r="F6" s="85"/>
      <c r="G6" s="57"/>
    </row>
    <row r="7" spans="1:7" s="20" customFormat="1" x14ac:dyDescent="0.25">
      <c r="A7" s="3">
        <v>1</v>
      </c>
      <c r="B7" s="17" t="s">
        <v>75</v>
      </c>
      <c r="C7" s="17" t="s">
        <v>13</v>
      </c>
      <c r="D7" s="4">
        <v>1</v>
      </c>
      <c r="E7" s="18" t="s">
        <v>14</v>
      </c>
      <c r="F7" s="19"/>
      <c r="G7" s="27">
        <f>D7*F7</f>
        <v>0</v>
      </c>
    </row>
    <row r="8" spans="1:7" s="21" customFormat="1" ht="15.75" x14ac:dyDescent="0.3">
      <c r="A8" s="3">
        <v>2</v>
      </c>
      <c r="B8" s="17" t="s">
        <v>75</v>
      </c>
      <c r="C8" s="17" t="s">
        <v>15</v>
      </c>
      <c r="D8" s="4">
        <v>1</v>
      </c>
      <c r="E8" s="18" t="s">
        <v>14</v>
      </c>
      <c r="F8" s="19"/>
      <c r="G8" s="27">
        <f t="shared" ref="G8:G39" si="0">D8*F8</f>
        <v>0</v>
      </c>
    </row>
    <row r="9" spans="1:7" s="20" customFormat="1" x14ac:dyDescent="0.25">
      <c r="A9" s="3">
        <v>3</v>
      </c>
      <c r="B9" s="17" t="s">
        <v>75</v>
      </c>
      <c r="C9" s="17" t="s">
        <v>16</v>
      </c>
      <c r="D9" s="4">
        <v>1</v>
      </c>
      <c r="E9" s="18" t="s">
        <v>14</v>
      </c>
      <c r="F9" s="19"/>
      <c r="G9" s="27">
        <f t="shared" si="0"/>
        <v>0</v>
      </c>
    </row>
    <row r="10" spans="1:7" s="21" customFormat="1" ht="15.75" x14ac:dyDescent="0.3">
      <c r="A10" s="3">
        <v>4</v>
      </c>
      <c r="B10" s="17" t="s">
        <v>75</v>
      </c>
      <c r="C10" s="17" t="s">
        <v>17</v>
      </c>
      <c r="D10" s="4">
        <v>1</v>
      </c>
      <c r="E10" s="18" t="s">
        <v>14</v>
      </c>
      <c r="F10" s="19"/>
      <c r="G10" s="27">
        <f t="shared" si="0"/>
        <v>0</v>
      </c>
    </row>
    <row r="11" spans="1:7" s="20" customFormat="1" x14ac:dyDescent="0.25">
      <c r="A11" s="3">
        <v>5</v>
      </c>
      <c r="B11" s="17" t="s">
        <v>75</v>
      </c>
      <c r="C11" s="17" t="s">
        <v>18</v>
      </c>
      <c r="D11" s="4">
        <v>1</v>
      </c>
      <c r="E11" s="18" t="s">
        <v>14</v>
      </c>
      <c r="F11" s="19"/>
      <c r="G11" s="27">
        <f t="shared" si="0"/>
        <v>0</v>
      </c>
    </row>
    <row r="12" spans="1:7" s="20" customFormat="1" x14ac:dyDescent="0.25">
      <c r="A12" s="3">
        <v>6</v>
      </c>
      <c r="B12" s="17" t="s">
        <v>75</v>
      </c>
      <c r="C12" s="17" t="s">
        <v>19</v>
      </c>
      <c r="D12" s="4">
        <v>1</v>
      </c>
      <c r="E12" s="18" t="s">
        <v>14</v>
      </c>
      <c r="F12" s="19"/>
      <c r="G12" s="27">
        <f t="shared" si="0"/>
        <v>0</v>
      </c>
    </row>
    <row r="13" spans="1:7" s="20" customFormat="1" x14ac:dyDescent="0.25">
      <c r="A13" s="3">
        <v>7</v>
      </c>
      <c r="B13" s="17" t="s">
        <v>75</v>
      </c>
      <c r="C13" s="17" t="s">
        <v>20</v>
      </c>
      <c r="D13" s="4">
        <v>1</v>
      </c>
      <c r="E13" s="18" t="s">
        <v>14</v>
      </c>
      <c r="F13" s="19"/>
      <c r="G13" s="27">
        <f t="shared" si="0"/>
        <v>0</v>
      </c>
    </row>
    <row r="14" spans="1:7" s="20" customFormat="1" x14ac:dyDescent="0.25">
      <c r="A14" s="3">
        <v>8</v>
      </c>
      <c r="B14" s="17" t="s">
        <v>75</v>
      </c>
      <c r="C14" s="22" t="s">
        <v>21</v>
      </c>
      <c r="D14" s="23">
        <v>1</v>
      </c>
      <c r="E14" s="24" t="s">
        <v>14</v>
      </c>
      <c r="F14" s="19"/>
      <c r="G14" s="27">
        <f t="shared" si="0"/>
        <v>0</v>
      </c>
    </row>
    <row r="15" spans="1:7" s="20" customFormat="1" x14ac:dyDescent="0.25">
      <c r="A15" s="3">
        <v>9</v>
      </c>
      <c r="B15" s="17" t="s">
        <v>75</v>
      </c>
      <c r="C15" s="17" t="s">
        <v>22</v>
      </c>
      <c r="D15" s="4">
        <v>1</v>
      </c>
      <c r="E15" s="18" t="s">
        <v>14</v>
      </c>
      <c r="F15" s="19"/>
      <c r="G15" s="27">
        <f t="shared" si="0"/>
        <v>0</v>
      </c>
    </row>
    <row r="16" spans="1:7" s="20" customFormat="1" ht="15.75" thickBot="1" x14ac:dyDescent="0.3">
      <c r="A16" s="3">
        <v>10</v>
      </c>
      <c r="B16" s="17" t="s">
        <v>75</v>
      </c>
      <c r="C16" s="22" t="s">
        <v>23</v>
      </c>
      <c r="D16" s="23">
        <v>1</v>
      </c>
      <c r="E16" s="24" t="s">
        <v>14</v>
      </c>
      <c r="F16" s="19"/>
      <c r="G16" s="27">
        <f t="shared" si="0"/>
        <v>0</v>
      </c>
    </row>
    <row r="17" spans="1:7" s="11" customFormat="1" ht="17.25" thickTop="1" thickBot="1" x14ac:dyDescent="0.35">
      <c r="A17" s="86" t="s">
        <v>70</v>
      </c>
      <c r="B17" s="87"/>
      <c r="C17" s="87"/>
      <c r="D17" s="87"/>
      <c r="E17" s="87"/>
      <c r="F17" s="87"/>
      <c r="G17" s="9">
        <f>SUM(G7:G16)</f>
        <v>0</v>
      </c>
    </row>
    <row r="18" spans="1:7" s="20" customFormat="1" ht="16.5" thickTop="1" thickBot="1" x14ac:dyDescent="0.3">
      <c r="A18" s="3">
        <v>11</v>
      </c>
      <c r="B18" s="17" t="s">
        <v>76</v>
      </c>
      <c r="C18" s="17" t="s">
        <v>25</v>
      </c>
      <c r="D18" s="4">
        <v>1</v>
      </c>
      <c r="E18" s="18" t="s">
        <v>14</v>
      </c>
      <c r="F18" s="25"/>
      <c r="G18" s="27">
        <f t="shared" si="0"/>
        <v>0</v>
      </c>
    </row>
    <row r="19" spans="1:7" s="11" customFormat="1" ht="17.25" thickTop="1" thickBot="1" x14ac:dyDescent="0.35">
      <c r="A19" s="86" t="s">
        <v>68</v>
      </c>
      <c r="B19" s="87"/>
      <c r="C19" s="87"/>
      <c r="D19" s="87"/>
      <c r="E19" s="87"/>
      <c r="F19" s="87"/>
      <c r="G19" s="9">
        <f>SUM(G18)</f>
        <v>0</v>
      </c>
    </row>
    <row r="20" spans="1:7" s="20" customFormat="1" ht="15.75" thickTop="1" x14ac:dyDescent="0.25">
      <c r="A20" s="3">
        <v>12</v>
      </c>
      <c r="B20" s="26" t="s">
        <v>77</v>
      </c>
      <c r="C20" s="26" t="s">
        <v>27</v>
      </c>
      <c r="D20" s="4">
        <v>1</v>
      </c>
      <c r="E20" s="18" t="s">
        <v>14</v>
      </c>
      <c r="F20" s="19"/>
      <c r="G20" s="27">
        <f t="shared" si="0"/>
        <v>0</v>
      </c>
    </row>
    <row r="21" spans="1:7" s="21" customFormat="1" ht="15.75" x14ac:dyDescent="0.3">
      <c r="A21" s="3">
        <v>13</v>
      </c>
      <c r="B21" s="26" t="s">
        <v>77</v>
      </c>
      <c r="C21" s="17" t="s">
        <v>28</v>
      </c>
      <c r="D21" s="4">
        <v>1</v>
      </c>
      <c r="E21" s="18" t="s">
        <v>14</v>
      </c>
      <c r="F21" s="19"/>
      <c r="G21" s="27">
        <f t="shared" si="0"/>
        <v>0</v>
      </c>
    </row>
    <row r="22" spans="1:7" s="20" customFormat="1" ht="15.75" thickBot="1" x14ac:dyDescent="0.3">
      <c r="A22" s="3">
        <v>14</v>
      </c>
      <c r="B22" s="26" t="s">
        <v>77</v>
      </c>
      <c r="C22" s="26" t="s">
        <v>65</v>
      </c>
      <c r="D22" s="4">
        <v>1</v>
      </c>
      <c r="E22" s="18" t="s">
        <v>14</v>
      </c>
      <c r="F22" s="19"/>
      <c r="G22" s="27">
        <f t="shared" si="0"/>
        <v>0</v>
      </c>
    </row>
    <row r="23" spans="1:7" s="20" customFormat="1" ht="17.25" thickTop="1" thickBot="1" x14ac:dyDescent="0.35">
      <c r="A23" s="3"/>
      <c r="B23" s="26"/>
      <c r="C23" s="28" t="s">
        <v>69</v>
      </c>
      <c r="D23" s="4"/>
      <c r="E23" s="18"/>
      <c r="F23" s="29"/>
      <c r="G23" s="9">
        <f>SUM(G20:G22)</f>
        <v>0</v>
      </c>
    </row>
    <row r="24" spans="1:7" s="20" customFormat="1" ht="15.75" thickTop="1" x14ac:dyDescent="0.25">
      <c r="A24" s="3">
        <v>15</v>
      </c>
      <c r="B24" s="17" t="s">
        <v>78</v>
      </c>
      <c r="C24" s="17" t="s">
        <v>13</v>
      </c>
      <c r="D24" s="4">
        <v>6</v>
      </c>
      <c r="E24" s="18" t="s">
        <v>14</v>
      </c>
      <c r="F24" s="19"/>
      <c r="G24" s="27">
        <f t="shared" si="0"/>
        <v>0</v>
      </c>
    </row>
    <row r="25" spans="1:7" s="21" customFormat="1" ht="15.75" x14ac:dyDescent="0.3">
      <c r="A25" s="3">
        <v>16</v>
      </c>
      <c r="B25" s="17" t="s">
        <v>78</v>
      </c>
      <c r="C25" s="17" t="s">
        <v>15</v>
      </c>
      <c r="D25" s="4">
        <v>6</v>
      </c>
      <c r="E25" s="18" t="s">
        <v>14</v>
      </c>
      <c r="F25" s="19"/>
      <c r="G25" s="27">
        <f t="shared" si="0"/>
        <v>0</v>
      </c>
    </row>
    <row r="26" spans="1:7" s="20" customFormat="1" x14ac:dyDescent="0.25">
      <c r="A26" s="3">
        <v>17</v>
      </c>
      <c r="B26" s="17" t="s">
        <v>78</v>
      </c>
      <c r="C26" s="17" t="s">
        <v>16</v>
      </c>
      <c r="D26" s="4">
        <v>6</v>
      </c>
      <c r="E26" s="18" t="s">
        <v>14</v>
      </c>
      <c r="F26" s="19"/>
      <c r="G26" s="27">
        <f t="shared" si="0"/>
        <v>0</v>
      </c>
    </row>
    <row r="27" spans="1:7" s="21" customFormat="1" ht="15.75" x14ac:dyDescent="0.3">
      <c r="A27" s="3">
        <v>18</v>
      </c>
      <c r="B27" s="17" t="s">
        <v>78</v>
      </c>
      <c r="C27" s="17" t="s">
        <v>17</v>
      </c>
      <c r="D27" s="4">
        <v>6</v>
      </c>
      <c r="E27" s="18" t="s">
        <v>14</v>
      </c>
      <c r="F27" s="19"/>
      <c r="G27" s="27">
        <f t="shared" si="0"/>
        <v>0</v>
      </c>
    </row>
    <row r="28" spans="1:7" s="20" customFormat="1" x14ac:dyDescent="0.25">
      <c r="A28" s="3">
        <v>19</v>
      </c>
      <c r="B28" s="17" t="s">
        <v>78</v>
      </c>
      <c r="C28" s="17" t="s">
        <v>18</v>
      </c>
      <c r="D28" s="4">
        <v>6</v>
      </c>
      <c r="E28" s="18" t="s">
        <v>14</v>
      </c>
      <c r="F28" s="19"/>
      <c r="G28" s="27">
        <f t="shared" si="0"/>
        <v>0</v>
      </c>
    </row>
    <row r="29" spans="1:7" s="20" customFormat="1" x14ac:dyDescent="0.25">
      <c r="A29" s="3">
        <v>20</v>
      </c>
      <c r="B29" s="17" t="s">
        <v>78</v>
      </c>
      <c r="C29" s="17" t="s">
        <v>19</v>
      </c>
      <c r="D29" s="4">
        <v>6</v>
      </c>
      <c r="E29" s="18" t="s">
        <v>14</v>
      </c>
      <c r="F29" s="19"/>
      <c r="G29" s="27">
        <f t="shared" si="0"/>
        <v>0</v>
      </c>
    </row>
    <row r="30" spans="1:7" s="20" customFormat="1" x14ac:dyDescent="0.25">
      <c r="A30" s="3">
        <v>21</v>
      </c>
      <c r="B30" s="17" t="s">
        <v>78</v>
      </c>
      <c r="C30" s="17" t="s">
        <v>20</v>
      </c>
      <c r="D30" s="4">
        <v>6</v>
      </c>
      <c r="E30" s="18" t="s">
        <v>14</v>
      </c>
      <c r="F30" s="19"/>
      <c r="G30" s="27">
        <f t="shared" si="0"/>
        <v>0</v>
      </c>
    </row>
    <row r="31" spans="1:7" s="20" customFormat="1" x14ac:dyDescent="0.25">
      <c r="A31" s="3">
        <v>22</v>
      </c>
      <c r="B31" s="17" t="s">
        <v>78</v>
      </c>
      <c r="C31" s="22" t="s">
        <v>21</v>
      </c>
      <c r="D31" s="23">
        <v>6</v>
      </c>
      <c r="E31" s="24" t="s">
        <v>14</v>
      </c>
      <c r="F31" s="19"/>
      <c r="G31" s="27">
        <f t="shared" si="0"/>
        <v>0</v>
      </c>
    </row>
    <row r="32" spans="1:7" s="20" customFormat="1" x14ac:dyDescent="0.25">
      <c r="A32" s="3">
        <v>23</v>
      </c>
      <c r="B32" s="17" t="s">
        <v>78</v>
      </c>
      <c r="C32" s="17" t="s">
        <v>22</v>
      </c>
      <c r="D32" s="4">
        <v>6</v>
      </c>
      <c r="E32" s="18" t="s">
        <v>14</v>
      </c>
      <c r="F32" s="19"/>
      <c r="G32" s="27">
        <f t="shared" si="0"/>
        <v>0</v>
      </c>
    </row>
    <row r="33" spans="1:7" s="20" customFormat="1" ht="15.75" thickBot="1" x14ac:dyDescent="0.3">
      <c r="A33" s="3">
        <v>24</v>
      </c>
      <c r="B33" s="17" t="s">
        <v>78</v>
      </c>
      <c r="C33" s="22" t="s">
        <v>23</v>
      </c>
      <c r="D33" s="23">
        <v>6</v>
      </c>
      <c r="E33" s="24" t="s">
        <v>14</v>
      </c>
      <c r="F33" s="19"/>
      <c r="G33" s="27">
        <f t="shared" si="0"/>
        <v>0</v>
      </c>
    </row>
    <row r="34" spans="1:7" s="11" customFormat="1" ht="17.25" thickTop="1" thickBot="1" x14ac:dyDescent="0.35">
      <c r="A34" s="86" t="s">
        <v>24</v>
      </c>
      <c r="B34" s="87"/>
      <c r="C34" s="87"/>
      <c r="D34" s="87"/>
      <c r="E34" s="87"/>
      <c r="F34" s="87"/>
      <c r="G34" s="9">
        <f>SUM(G24:G33)</f>
        <v>0</v>
      </c>
    </row>
    <row r="35" spans="1:7" s="20" customFormat="1" ht="16.5" thickTop="1" thickBot="1" x14ac:dyDescent="0.3">
      <c r="A35" s="3">
        <v>25</v>
      </c>
      <c r="B35" s="17" t="s">
        <v>79</v>
      </c>
      <c r="C35" s="17" t="s">
        <v>25</v>
      </c>
      <c r="D35" s="4">
        <v>7</v>
      </c>
      <c r="E35" s="18" t="s">
        <v>14</v>
      </c>
      <c r="F35" s="25"/>
      <c r="G35" s="27">
        <f t="shared" si="0"/>
        <v>0</v>
      </c>
    </row>
    <row r="36" spans="1:7" s="11" customFormat="1" ht="17.25" thickTop="1" thickBot="1" x14ac:dyDescent="0.35">
      <c r="A36" s="86" t="s">
        <v>26</v>
      </c>
      <c r="B36" s="87"/>
      <c r="C36" s="87"/>
      <c r="D36" s="87"/>
      <c r="E36" s="87"/>
      <c r="F36" s="87"/>
      <c r="G36" s="9">
        <f>SUM(G35)</f>
        <v>0</v>
      </c>
    </row>
    <row r="37" spans="1:7" s="20" customFormat="1" ht="15.75" thickTop="1" x14ac:dyDescent="0.25">
      <c r="A37" s="3">
        <v>26</v>
      </c>
      <c r="B37" s="26" t="s">
        <v>80</v>
      </c>
      <c r="C37" s="26" t="s">
        <v>27</v>
      </c>
      <c r="D37" s="4">
        <v>6</v>
      </c>
      <c r="E37" s="18" t="s">
        <v>14</v>
      </c>
      <c r="F37" s="19"/>
      <c r="G37" s="27">
        <f t="shared" si="0"/>
        <v>0</v>
      </c>
    </row>
    <row r="38" spans="1:7" s="21" customFormat="1" ht="15.75" x14ac:dyDescent="0.3">
      <c r="A38" s="3">
        <v>27</v>
      </c>
      <c r="B38" s="26" t="s">
        <v>80</v>
      </c>
      <c r="C38" s="17" t="s">
        <v>28</v>
      </c>
      <c r="D38" s="4">
        <v>6</v>
      </c>
      <c r="E38" s="18" t="s">
        <v>14</v>
      </c>
      <c r="F38" s="19"/>
      <c r="G38" s="27">
        <f t="shared" si="0"/>
        <v>0</v>
      </c>
    </row>
    <row r="39" spans="1:7" s="20" customFormat="1" ht="15.75" thickBot="1" x14ac:dyDescent="0.3">
      <c r="A39" s="3">
        <v>28</v>
      </c>
      <c r="B39" s="26" t="s">
        <v>80</v>
      </c>
      <c r="C39" s="26" t="s">
        <v>65</v>
      </c>
      <c r="D39" s="4">
        <v>6</v>
      </c>
      <c r="E39" s="18" t="s">
        <v>14</v>
      </c>
      <c r="F39" s="19"/>
      <c r="G39" s="27">
        <f t="shared" si="0"/>
        <v>0</v>
      </c>
    </row>
    <row r="40" spans="1:7" s="11" customFormat="1" ht="17.25" thickTop="1" thickBot="1" x14ac:dyDescent="0.35">
      <c r="A40" s="86" t="s">
        <v>30</v>
      </c>
      <c r="B40" s="87"/>
      <c r="C40" s="87"/>
      <c r="D40" s="87"/>
      <c r="E40" s="87"/>
      <c r="F40" s="87"/>
      <c r="G40" s="9">
        <f>SUM(G37:G39)</f>
        <v>0</v>
      </c>
    </row>
    <row r="41" spans="1:7" s="11" customFormat="1" ht="17.25" thickTop="1" thickBot="1" x14ac:dyDescent="0.35">
      <c r="A41" s="71" t="s">
        <v>31</v>
      </c>
      <c r="B41" s="72"/>
      <c r="C41" s="72"/>
      <c r="D41" s="72"/>
      <c r="E41" s="72"/>
      <c r="F41" s="72"/>
      <c r="G41" s="9">
        <f>SUM(G17,G19,G23,G34,G36,G40)</f>
        <v>0</v>
      </c>
    </row>
    <row r="42" spans="1:7" s="11" customFormat="1" ht="16.5" thickTop="1" x14ac:dyDescent="0.3">
      <c r="A42" s="88" t="s">
        <v>32</v>
      </c>
      <c r="B42" s="89"/>
      <c r="C42" s="89"/>
      <c r="D42" s="89"/>
      <c r="E42" s="89"/>
      <c r="F42" s="89"/>
      <c r="G42" s="90"/>
    </row>
    <row r="43" spans="1:7" s="13" customFormat="1" ht="15.75" x14ac:dyDescent="0.3">
      <c r="A43" s="15" t="s">
        <v>6</v>
      </c>
      <c r="B43" s="1" t="s">
        <v>7</v>
      </c>
      <c r="C43" s="16" t="s">
        <v>8</v>
      </c>
      <c r="D43" s="16" t="s">
        <v>9</v>
      </c>
      <c r="E43" s="16" t="s">
        <v>10</v>
      </c>
      <c r="F43" s="16" t="s">
        <v>11</v>
      </c>
      <c r="G43" s="5" t="s">
        <v>12</v>
      </c>
    </row>
    <row r="44" spans="1:7" s="20" customFormat="1" x14ac:dyDescent="0.25">
      <c r="A44" s="3">
        <v>29</v>
      </c>
      <c r="B44" s="26" t="s">
        <v>81</v>
      </c>
      <c r="C44" s="17" t="s">
        <v>33</v>
      </c>
      <c r="D44" s="4">
        <v>1</v>
      </c>
      <c r="E44" s="18" t="s">
        <v>14</v>
      </c>
      <c r="F44" s="29"/>
      <c r="G44" s="27">
        <f t="shared" ref="G44:G46" si="1">D44*F44</f>
        <v>0</v>
      </c>
    </row>
    <row r="45" spans="1:7" s="20" customFormat="1" x14ac:dyDescent="0.25">
      <c r="A45" s="3">
        <v>30</v>
      </c>
      <c r="B45" s="26" t="s">
        <v>82</v>
      </c>
      <c r="C45" s="17" t="s">
        <v>33</v>
      </c>
      <c r="D45" s="4">
        <v>6</v>
      </c>
      <c r="E45" s="18" t="s">
        <v>14</v>
      </c>
      <c r="F45" s="29"/>
      <c r="G45" s="27">
        <f t="shared" si="1"/>
        <v>0</v>
      </c>
    </row>
    <row r="46" spans="1:7" s="20" customFormat="1" ht="15.75" thickBot="1" x14ac:dyDescent="0.3">
      <c r="A46" s="3">
        <v>31</v>
      </c>
      <c r="B46" s="26" t="s">
        <v>83</v>
      </c>
      <c r="C46" s="17" t="s">
        <v>33</v>
      </c>
      <c r="D46" s="4">
        <v>5</v>
      </c>
      <c r="E46" s="18" t="s">
        <v>14</v>
      </c>
      <c r="F46" s="29"/>
      <c r="G46" s="27">
        <f t="shared" si="1"/>
        <v>0</v>
      </c>
    </row>
    <row r="47" spans="1:7" s="11" customFormat="1" ht="17.25" thickTop="1" thickBot="1" x14ac:dyDescent="0.35">
      <c r="A47" s="86" t="s">
        <v>34</v>
      </c>
      <c r="B47" s="87"/>
      <c r="C47" s="87"/>
      <c r="D47" s="87"/>
      <c r="E47" s="87"/>
      <c r="F47" s="87"/>
      <c r="G47" s="9">
        <f>SUM(G44:G46)</f>
        <v>0</v>
      </c>
    </row>
    <row r="48" spans="1:7" s="11" customFormat="1" ht="17.25" thickTop="1" thickBot="1" x14ac:dyDescent="0.35">
      <c r="A48" s="71" t="s">
        <v>35</v>
      </c>
      <c r="B48" s="72"/>
      <c r="C48" s="72"/>
      <c r="D48" s="72"/>
      <c r="E48" s="72"/>
      <c r="F48" s="72"/>
      <c r="G48" s="9">
        <f>G47</f>
        <v>0</v>
      </c>
    </row>
    <row r="49" spans="1:7" s="11" customFormat="1" ht="16.5" thickTop="1" x14ac:dyDescent="0.3">
      <c r="A49" s="55" t="s">
        <v>36</v>
      </c>
      <c r="B49" s="56"/>
      <c r="C49" s="56"/>
      <c r="D49" s="56"/>
      <c r="E49" s="56"/>
      <c r="F49" s="56"/>
      <c r="G49" s="57"/>
    </row>
    <row r="50" spans="1:7" s="13" customFormat="1" ht="15.75" x14ac:dyDescent="0.3">
      <c r="A50" s="15" t="s">
        <v>6</v>
      </c>
      <c r="B50" s="1" t="s">
        <v>7</v>
      </c>
      <c r="C50" s="16" t="s">
        <v>8</v>
      </c>
      <c r="D50" s="16" t="s">
        <v>9</v>
      </c>
      <c r="E50" s="16" t="s">
        <v>10</v>
      </c>
      <c r="F50" s="16" t="s">
        <v>11</v>
      </c>
      <c r="G50" s="2" t="s">
        <v>12</v>
      </c>
    </row>
    <row r="51" spans="1:7" s="30" customFormat="1" x14ac:dyDescent="0.25">
      <c r="A51" s="3">
        <v>32</v>
      </c>
      <c r="B51" s="17" t="s">
        <v>84</v>
      </c>
      <c r="C51" s="17" t="s">
        <v>13</v>
      </c>
      <c r="D51" s="4">
        <v>1</v>
      </c>
      <c r="E51" s="18" t="s">
        <v>14</v>
      </c>
      <c r="F51" s="19"/>
      <c r="G51" s="27">
        <f t="shared" ref="G51:G61" si="2">D51*F51</f>
        <v>0</v>
      </c>
    </row>
    <row r="52" spans="1:7" s="30" customFormat="1" x14ac:dyDescent="0.25">
      <c r="A52" s="3">
        <v>33</v>
      </c>
      <c r="B52" s="17" t="s">
        <v>84</v>
      </c>
      <c r="C52" s="17" t="s">
        <v>17</v>
      </c>
      <c r="D52" s="4">
        <v>1</v>
      </c>
      <c r="E52" s="18" t="s">
        <v>14</v>
      </c>
      <c r="F52" s="19"/>
      <c r="G52" s="27">
        <f t="shared" si="2"/>
        <v>0</v>
      </c>
    </row>
    <row r="53" spans="1:7" s="30" customFormat="1" x14ac:dyDescent="0.25">
      <c r="A53" s="3">
        <v>34</v>
      </c>
      <c r="B53" s="17" t="s">
        <v>84</v>
      </c>
      <c r="C53" s="31" t="s">
        <v>37</v>
      </c>
      <c r="D53" s="4">
        <v>1</v>
      </c>
      <c r="E53" s="24" t="s">
        <v>14</v>
      </c>
      <c r="F53" s="19"/>
      <c r="G53" s="27">
        <f t="shared" si="2"/>
        <v>0</v>
      </c>
    </row>
    <row r="54" spans="1:7" s="30" customFormat="1" x14ac:dyDescent="0.25">
      <c r="A54" s="3">
        <v>35</v>
      </c>
      <c r="B54" s="17" t="s">
        <v>84</v>
      </c>
      <c r="C54" s="17" t="s">
        <v>15</v>
      </c>
      <c r="D54" s="4">
        <v>1</v>
      </c>
      <c r="E54" s="18" t="s">
        <v>14</v>
      </c>
      <c r="F54" s="19"/>
      <c r="G54" s="27">
        <f t="shared" si="2"/>
        <v>0</v>
      </c>
    </row>
    <row r="55" spans="1:7" s="30" customFormat="1" x14ac:dyDescent="0.25">
      <c r="A55" s="3">
        <v>36</v>
      </c>
      <c r="B55" s="17" t="s">
        <v>84</v>
      </c>
      <c r="C55" s="17" t="s">
        <v>22</v>
      </c>
      <c r="D55" s="4">
        <v>1</v>
      </c>
      <c r="E55" s="18" t="s">
        <v>14</v>
      </c>
      <c r="F55" s="19"/>
      <c r="G55" s="27">
        <f t="shared" si="2"/>
        <v>0</v>
      </c>
    </row>
    <row r="56" spans="1:7" s="30" customFormat="1" x14ac:dyDescent="0.25">
      <c r="A56" s="3">
        <v>37</v>
      </c>
      <c r="B56" s="17" t="s">
        <v>84</v>
      </c>
      <c r="C56" s="17" t="s">
        <v>18</v>
      </c>
      <c r="D56" s="4">
        <v>1</v>
      </c>
      <c r="E56" s="18" t="s">
        <v>14</v>
      </c>
      <c r="F56" s="19"/>
      <c r="G56" s="27">
        <f t="shared" si="2"/>
        <v>0</v>
      </c>
    </row>
    <row r="57" spans="1:7" s="30" customFormat="1" x14ac:dyDescent="0.25">
      <c r="A57" s="3">
        <v>38</v>
      </c>
      <c r="B57" s="17" t="s">
        <v>84</v>
      </c>
      <c r="C57" s="17" t="s">
        <v>16</v>
      </c>
      <c r="D57" s="4">
        <v>1</v>
      </c>
      <c r="E57" s="18" t="s">
        <v>14</v>
      </c>
      <c r="F57" s="19"/>
      <c r="G57" s="27">
        <f t="shared" si="2"/>
        <v>0</v>
      </c>
    </row>
    <row r="58" spans="1:7" s="30" customFormat="1" x14ac:dyDescent="0.25">
      <c r="A58" s="3">
        <v>39</v>
      </c>
      <c r="B58" s="17" t="s">
        <v>84</v>
      </c>
      <c r="C58" s="32" t="s">
        <v>21</v>
      </c>
      <c r="D58" s="4">
        <v>1</v>
      </c>
      <c r="E58" s="18" t="s">
        <v>14</v>
      </c>
      <c r="F58" s="19"/>
      <c r="G58" s="27">
        <f t="shared" si="2"/>
        <v>0</v>
      </c>
    </row>
    <row r="59" spans="1:7" s="30" customFormat="1" x14ac:dyDescent="0.25">
      <c r="A59" s="3">
        <v>40</v>
      </c>
      <c r="B59" s="17" t="s">
        <v>84</v>
      </c>
      <c r="C59" s="17" t="s">
        <v>20</v>
      </c>
      <c r="D59" s="4">
        <v>1</v>
      </c>
      <c r="E59" s="18" t="s">
        <v>14</v>
      </c>
      <c r="F59" s="19"/>
      <c r="G59" s="27">
        <f t="shared" si="2"/>
        <v>0</v>
      </c>
    </row>
    <row r="60" spans="1:7" s="20" customFormat="1" x14ac:dyDescent="0.25">
      <c r="A60" s="3">
        <v>41</v>
      </c>
      <c r="B60" s="17" t="s">
        <v>84</v>
      </c>
      <c r="C60" s="17" t="s">
        <v>23</v>
      </c>
      <c r="D60" s="4">
        <v>1</v>
      </c>
      <c r="E60" s="18" t="s">
        <v>14</v>
      </c>
      <c r="F60" s="19"/>
      <c r="G60" s="27">
        <f t="shared" si="2"/>
        <v>0</v>
      </c>
    </row>
    <row r="61" spans="1:7" s="30" customFormat="1" ht="15.75" thickBot="1" x14ac:dyDescent="0.3">
      <c r="A61" s="3">
        <v>42</v>
      </c>
      <c r="B61" s="17" t="s">
        <v>84</v>
      </c>
      <c r="C61" s="17" t="s">
        <v>19</v>
      </c>
      <c r="D61" s="4">
        <v>1</v>
      </c>
      <c r="E61" s="18" t="s">
        <v>14</v>
      </c>
      <c r="F61" s="19"/>
      <c r="G61" s="27">
        <f t="shared" si="2"/>
        <v>0</v>
      </c>
    </row>
    <row r="62" spans="1:7" s="13" customFormat="1" ht="17.25" thickTop="1" thickBot="1" x14ac:dyDescent="0.35">
      <c r="A62" s="15"/>
      <c r="B62" s="1"/>
      <c r="C62" s="16"/>
      <c r="D62" s="13" t="s">
        <v>71</v>
      </c>
      <c r="E62" s="16"/>
      <c r="F62" s="33"/>
      <c r="G62" s="9">
        <f>SUM(G51:G61)</f>
        <v>0</v>
      </c>
    </row>
    <row r="63" spans="1:7" s="20" customFormat="1" ht="16.5" thickTop="1" thickBot="1" x14ac:dyDescent="0.3">
      <c r="A63" s="3">
        <v>43</v>
      </c>
      <c r="B63" s="17" t="s">
        <v>84</v>
      </c>
      <c r="C63" s="17" t="s">
        <v>39</v>
      </c>
      <c r="D63" s="4">
        <v>1</v>
      </c>
      <c r="E63" s="18" t="s">
        <v>14</v>
      </c>
      <c r="F63" s="19"/>
      <c r="G63" s="27">
        <f t="shared" ref="G63" si="3">D63*F63</f>
        <v>0</v>
      </c>
    </row>
    <row r="64" spans="1:7" s="13" customFormat="1" ht="17.25" thickTop="1" thickBot="1" x14ac:dyDescent="0.35">
      <c r="A64" s="15"/>
      <c r="B64" s="1"/>
      <c r="C64" s="16"/>
      <c r="D64" s="16" t="s">
        <v>71</v>
      </c>
      <c r="E64" s="16"/>
      <c r="F64" s="33"/>
      <c r="G64" s="9">
        <f>SUM(G63)</f>
        <v>0</v>
      </c>
    </row>
    <row r="65" spans="1:7" s="30" customFormat="1" ht="15.75" thickTop="1" x14ac:dyDescent="0.25">
      <c r="A65" s="3">
        <v>44</v>
      </c>
      <c r="B65" s="17" t="s">
        <v>85</v>
      </c>
      <c r="C65" s="17" t="s">
        <v>13</v>
      </c>
      <c r="D65" s="4">
        <v>6</v>
      </c>
      <c r="E65" s="18" t="s">
        <v>14</v>
      </c>
      <c r="F65" s="19"/>
      <c r="G65" s="27">
        <f t="shared" ref="G65:G75" si="4">D65*F65</f>
        <v>0</v>
      </c>
    </row>
    <row r="66" spans="1:7" s="30" customFormat="1" x14ac:dyDescent="0.25">
      <c r="A66" s="3">
        <v>45</v>
      </c>
      <c r="B66" s="17" t="s">
        <v>85</v>
      </c>
      <c r="C66" s="17" t="s">
        <v>17</v>
      </c>
      <c r="D66" s="4">
        <v>6</v>
      </c>
      <c r="E66" s="18" t="s">
        <v>14</v>
      </c>
      <c r="F66" s="19"/>
      <c r="G66" s="27">
        <f t="shared" si="4"/>
        <v>0</v>
      </c>
    </row>
    <row r="67" spans="1:7" s="30" customFormat="1" x14ac:dyDescent="0.25">
      <c r="A67" s="3">
        <v>46</v>
      </c>
      <c r="B67" s="17" t="s">
        <v>85</v>
      </c>
      <c r="C67" s="31" t="s">
        <v>37</v>
      </c>
      <c r="D67" s="4">
        <v>6</v>
      </c>
      <c r="E67" s="24" t="s">
        <v>14</v>
      </c>
      <c r="F67" s="19"/>
      <c r="G67" s="27">
        <f t="shared" si="4"/>
        <v>0</v>
      </c>
    </row>
    <row r="68" spans="1:7" s="30" customFormat="1" x14ac:dyDescent="0.25">
      <c r="A68" s="3">
        <v>47</v>
      </c>
      <c r="B68" s="17" t="s">
        <v>85</v>
      </c>
      <c r="C68" s="17" t="s">
        <v>15</v>
      </c>
      <c r="D68" s="4">
        <v>6</v>
      </c>
      <c r="E68" s="18" t="s">
        <v>14</v>
      </c>
      <c r="F68" s="19"/>
      <c r="G68" s="27">
        <f t="shared" si="4"/>
        <v>0</v>
      </c>
    </row>
    <row r="69" spans="1:7" s="30" customFormat="1" x14ac:dyDescent="0.25">
      <c r="A69" s="3">
        <v>48</v>
      </c>
      <c r="B69" s="17" t="s">
        <v>85</v>
      </c>
      <c r="C69" s="17" t="s">
        <v>22</v>
      </c>
      <c r="D69" s="4">
        <v>6</v>
      </c>
      <c r="E69" s="18" t="s">
        <v>14</v>
      </c>
      <c r="F69" s="19"/>
      <c r="G69" s="27">
        <f t="shared" si="4"/>
        <v>0</v>
      </c>
    </row>
    <row r="70" spans="1:7" s="30" customFormat="1" x14ac:dyDescent="0.25">
      <c r="A70" s="3">
        <v>49</v>
      </c>
      <c r="B70" s="17" t="s">
        <v>85</v>
      </c>
      <c r="C70" s="17" t="s">
        <v>18</v>
      </c>
      <c r="D70" s="4">
        <v>6</v>
      </c>
      <c r="E70" s="18" t="s">
        <v>14</v>
      </c>
      <c r="F70" s="19"/>
      <c r="G70" s="27">
        <f t="shared" si="4"/>
        <v>0</v>
      </c>
    </row>
    <row r="71" spans="1:7" s="30" customFormat="1" x14ac:dyDescent="0.25">
      <c r="A71" s="3">
        <v>50</v>
      </c>
      <c r="B71" s="17" t="s">
        <v>85</v>
      </c>
      <c r="C71" s="17" t="s">
        <v>16</v>
      </c>
      <c r="D71" s="4">
        <v>6</v>
      </c>
      <c r="E71" s="18" t="s">
        <v>14</v>
      </c>
      <c r="F71" s="19"/>
      <c r="G71" s="27">
        <f t="shared" si="4"/>
        <v>0</v>
      </c>
    </row>
    <row r="72" spans="1:7" s="30" customFormat="1" x14ac:dyDescent="0.25">
      <c r="A72" s="3">
        <v>51</v>
      </c>
      <c r="B72" s="17" t="s">
        <v>85</v>
      </c>
      <c r="C72" s="32" t="s">
        <v>21</v>
      </c>
      <c r="D72" s="4">
        <v>6</v>
      </c>
      <c r="E72" s="18" t="s">
        <v>14</v>
      </c>
      <c r="F72" s="19"/>
      <c r="G72" s="27">
        <f>D72*F72</f>
        <v>0</v>
      </c>
    </row>
    <row r="73" spans="1:7" s="30" customFormat="1" x14ac:dyDescent="0.25">
      <c r="A73" s="3">
        <v>52</v>
      </c>
      <c r="B73" s="17" t="s">
        <v>85</v>
      </c>
      <c r="C73" s="17" t="s">
        <v>20</v>
      </c>
      <c r="D73" s="4">
        <v>6</v>
      </c>
      <c r="E73" s="18" t="s">
        <v>14</v>
      </c>
      <c r="F73" s="19"/>
      <c r="G73" s="27">
        <f t="shared" si="4"/>
        <v>0</v>
      </c>
    </row>
    <row r="74" spans="1:7" s="20" customFormat="1" x14ac:dyDescent="0.25">
      <c r="A74" s="3">
        <v>53</v>
      </c>
      <c r="B74" s="17" t="s">
        <v>85</v>
      </c>
      <c r="C74" s="17" t="s">
        <v>23</v>
      </c>
      <c r="D74" s="4">
        <v>6</v>
      </c>
      <c r="E74" s="18" t="s">
        <v>14</v>
      </c>
      <c r="F74" s="19"/>
      <c r="G74" s="27">
        <f t="shared" si="4"/>
        <v>0</v>
      </c>
    </row>
    <row r="75" spans="1:7" s="30" customFormat="1" ht="15.75" thickBot="1" x14ac:dyDescent="0.3">
      <c r="A75" s="3">
        <v>54</v>
      </c>
      <c r="B75" s="17" t="s">
        <v>85</v>
      </c>
      <c r="C75" s="17" t="s">
        <v>19</v>
      </c>
      <c r="D75" s="4">
        <v>6</v>
      </c>
      <c r="E75" s="18" t="s">
        <v>14</v>
      </c>
      <c r="F75" s="19"/>
      <c r="G75" s="27">
        <f t="shared" si="4"/>
        <v>0</v>
      </c>
    </row>
    <row r="76" spans="1:7" s="11" customFormat="1" ht="17.25" thickTop="1" thickBot="1" x14ac:dyDescent="0.35">
      <c r="A76" s="50" t="s">
        <v>38</v>
      </c>
      <c r="B76" s="51"/>
      <c r="C76" s="51"/>
      <c r="D76" s="51"/>
      <c r="E76" s="51"/>
      <c r="F76" s="51"/>
      <c r="G76" s="9">
        <f>SUM(G65:G75)</f>
        <v>0</v>
      </c>
    </row>
    <row r="77" spans="1:7" s="20" customFormat="1" ht="16.5" thickTop="1" thickBot="1" x14ac:dyDescent="0.3">
      <c r="A77" s="3">
        <v>55</v>
      </c>
      <c r="B77" s="17" t="s">
        <v>85</v>
      </c>
      <c r="C77" s="17" t="s">
        <v>39</v>
      </c>
      <c r="D77" s="4">
        <v>6</v>
      </c>
      <c r="E77" s="18" t="s">
        <v>14</v>
      </c>
      <c r="F77" s="19"/>
      <c r="G77" s="27">
        <f>D77*F77</f>
        <v>0</v>
      </c>
    </row>
    <row r="78" spans="1:7" s="11" customFormat="1" ht="17.25" thickTop="1" thickBot="1" x14ac:dyDescent="0.35">
      <c r="A78" s="50" t="s">
        <v>38</v>
      </c>
      <c r="B78" s="51"/>
      <c r="C78" s="51"/>
      <c r="D78" s="51"/>
      <c r="E78" s="51"/>
      <c r="F78" s="51"/>
      <c r="G78" s="9">
        <f>SUM(G77)</f>
        <v>0</v>
      </c>
    </row>
    <row r="79" spans="1:7" s="20" customFormat="1" ht="15.75" thickTop="1" x14ac:dyDescent="0.25">
      <c r="A79" s="3">
        <v>56</v>
      </c>
      <c r="B79" s="17" t="s">
        <v>86</v>
      </c>
      <c r="C79" s="17" t="s">
        <v>13</v>
      </c>
      <c r="D79" s="4">
        <v>1</v>
      </c>
      <c r="E79" s="18" t="s">
        <v>14</v>
      </c>
      <c r="F79" s="19"/>
      <c r="G79" s="27">
        <f t="shared" ref="G79:G89" si="5">D79*F79</f>
        <v>0</v>
      </c>
    </row>
    <row r="80" spans="1:7" s="20" customFormat="1" x14ac:dyDescent="0.25">
      <c r="A80" s="3">
        <v>57</v>
      </c>
      <c r="B80" s="17" t="s">
        <v>86</v>
      </c>
      <c r="C80" s="17" t="s">
        <v>17</v>
      </c>
      <c r="D80" s="4">
        <v>1</v>
      </c>
      <c r="E80" s="18" t="s">
        <v>14</v>
      </c>
      <c r="F80" s="19"/>
      <c r="G80" s="27">
        <f t="shared" si="5"/>
        <v>0</v>
      </c>
    </row>
    <row r="81" spans="1:7" s="20" customFormat="1" x14ac:dyDescent="0.25">
      <c r="A81" s="3">
        <v>58</v>
      </c>
      <c r="B81" s="17" t="s">
        <v>86</v>
      </c>
      <c r="C81" s="17" t="s">
        <v>37</v>
      </c>
      <c r="D81" s="4">
        <v>1</v>
      </c>
      <c r="E81" s="18" t="s">
        <v>14</v>
      </c>
      <c r="F81" s="19"/>
      <c r="G81" s="27">
        <f t="shared" si="5"/>
        <v>0</v>
      </c>
    </row>
    <row r="82" spans="1:7" s="20" customFormat="1" x14ac:dyDescent="0.25">
      <c r="A82" s="3">
        <v>59</v>
      </c>
      <c r="B82" s="17" t="s">
        <v>86</v>
      </c>
      <c r="C82" s="17" t="s">
        <v>18</v>
      </c>
      <c r="D82" s="4">
        <v>1</v>
      </c>
      <c r="E82" s="18" t="s">
        <v>14</v>
      </c>
      <c r="F82" s="19"/>
      <c r="G82" s="27">
        <f t="shared" si="5"/>
        <v>0</v>
      </c>
    </row>
    <row r="83" spans="1:7" s="20" customFormat="1" x14ac:dyDescent="0.25">
      <c r="A83" s="3">
        <v>60</v>
      </c>
      <c r="B83" s="17" t="s">
        <v>86</v>
      </c>
      <c r="C83" s="17" t="s">
        <v>15</v>
      </c>
      <c r="D83" s="4">
        <v>1</v>
      </c>
      <c r="E83" s="18" t="s">
        <v>14</v>
      </c>
      <c r="F83" s="19"/>
      <c r="G83" s="27">
        <f t="shared" si="5"/>
        <v>0</v>
      </c>
    </row>
    <row r="84" spans="1:7" s="20" customFormat="1" x14ac:dyDescent="0.25">
      <c r="A84" s="3">
        <v>61</v>
      </c>
      <c r="B84" s="17" t="s">
        <v>86</v>
      </c>
      <c r="C84" s="17" t="s">
        <v>21</v>
      </c>
      <c r="D84" s="4">
        <v>1</v>
      </c>
      <c r="E84" s="18" t="s">
        <v>14</v>
      </c>
      <c r="F84" s="19"/>
      <c r="G84" s="27">
        <f t="shared" si="5"/>
        <v>0</v>
      </c>
    </row>
    <row r="85" spans="1:7" s="20" customFormat="1" x14ac:dyDescent="0.25">
      <c r="A85" s="3">
        <v>62</v>
      </c>
      <c r="B85" s="17" t="s">
        <v>86</v>
      </c>
      <c r="C85" s="17" t="s">
        <v>19</v>
      </c>
      <c r="D85" s="4">
        <v>1</v>
      </c>
      <c r="E85" s="18" t="s">
        <v>14</v>
      </c>
      <c r="F85" s="19"/>
      <c r="G85" s="27">
        <f t="shared" si="5"/>
        <v>0</v>
      </c>
    </row>
    <row r="86" spans="1:7" s="20" customFormat="1" x14ac:dyDescent="0.25">
      <c r="A86" s="3">
        <v>63</v>
      </c>
      <c r="B86" s="17" t="s">
        <v>86</v>
      </c>
      <c r="C86" s="17" t="s">
        <v>22</v>
      </c>
      <c r="D86" s="4">
        <v>1</v>
      </c>
      <c r="E86" s="18" t="s">
        <v>14</v>
      </c>
      <c r="F86" s="19"/>
      <c r="G86" s="27">
        <f t="shared" si="5"/>
        <v>0</v>
      </c>
    </row>
    <row r="87" spans="1:7" s="20" customFormat="1" x14ac:dyDescent="0.25">
      <c r="A87" s="3">
        <v>64</v>
      </c>
      <c r="B87" s="17" t="s">
        <v>86</v>
      </c>
      <c r="C87" s="17" t="s">
        <v>16</v>
      </c>
      <c r="D87" s="4">
        <v>1</v>
      </c>
      <c r="E87" s="18" t="s">
        <v>14</v>
      </c>
      <c r="F87" s="19"/>
      <c r="G87" s="27">
        <f t="shared" si="5"/>
        <v>0</v>
      </c>
    </row>
    <row r="88" spans="1:7" s="20" customFormat="1" x14ac:dyDescent="0.25">
      <c r="A88" s="3">
        <v>65</v>
      </c>
      <c r="B88" s="17" t="s">
        <v>86</v>
      </c>
      <c r="C88" s="17" t="s">
        <v>23</v>
      </c>
      <c r="D88" s="4">
        <v>1</v>
      </c>
      <c r="E88" s="18" t="s">
        <v>14</v>
      </c>
      <c r="F88" s="19"/>
      <c r="G88" s="27">
        <f t="shared" si="5"/>
        <v>0</v>
      </c>
    </row>
    <row r="89" spans="1:7" s="20" customFormat="1" ht="15.75" thickBot="1" x14ac:dyDescent="0.3">
      <c r="A89" s="3">
        <v>66</v>
      </c>
      <c r="B89" s="17" t="s">
        <v>86</v>
      </c>
      <c r="C89" s="31" t="s">
        <v>20</v>
      </c>
      <c r="D89" s="23">
        <v>1</v>
      </c>
      <c r="E89" s="24" t="s">
        <v>14</v>
      </c>
      <c r="F89" s="19"/>
      <c r="G89" s="27">
        <f t="shared" si="5"/>
        <v>0</v>
      </c>
    </row>
    <row r="90" spans="1:7" s="11" customFormat="1" ht="17.25" thickTop="1" thickBot="1" x14ac:dyDescent="0.35">
      <c r="A90" s="50" t="s">
        <v>40</v>
      </c>
      <c r="B90" s="51"/>
      <c r="C90" s="51"/>
      <c r="D90" s="51"/>
      <c r="E90" s="51"/>
      <c r="F90" s="51"/>
      <c r="G90" s="9">
        <f>SUM(G79:G89)</f>
        <v>0</v>
      </c>
    </row>
    <row r="91" spans="1:7" s="20" customFormat="1" ht="15.75" thickTop="1" x14ac:dyDescent="0.25">
      <c r="A91" s="3">
        <v>67</v>
      </c>
      <c r="B91" s="17" t="s">
        <v>103</v>
      </c>
      <c r="C91" s="17" t="s">
        <v>13</v>
      </c>
      <c r="D91" s="4">
        <v>4</v>
      </c>
      <c r="E91" s="18" t="s">
        <v>14</v>
      </c>
      <c r="F91" s="19"/>
      <c r="G91" s="27">
        <f t="shared" ref="G91:G99" si="6">D91*F91</f>
        <v>0</v>
      </c>
    </row>
    <row r="92" spans="1:7" s="20" customFormat="1" x14ac:dyDescent="0.25">
      <c r="A92" s="3">
        <v>68</v>
      </c>
      <c r="B92" s="17" t="s">
        <v>103</v>
      </c>
      <c r="C92" s="17" t="s">
        <v>66</v>
      </c>
      <c r="D92" s="4">
        <v>4</v>
      </c>
      <c r="E92" s="18" t="s">
        <v>14</v>
      </c>
      <c r="F92" s="19"/>
      <c r="G92" s="27">
        <f t="shared" si="6"/>
        <v>0</v>
      </c>
    </row>
    <row r="93" spans="1:7" s="20" customFormat="1" x14ac:dyDescent="0.25">
      <c r="A93" s="3">
        <v>69</v>
      </c>
      <c r="B93" s="17" t="s">
        <v>103</v>
      </c>
      <c r="C93" s="17" t="s">
        <v>37</v>
      </c>
      <c r="D93" s="4">
        <v>4</v>
      </c>
      <c r="E93" s="18" t="s">
        <v>14</v>
      </c>
      <c r="F93" s="19"/>
      <c r="G93" s="27">
        <f t="shared" si="6"/>
        <v>0</v>
      </c>
    </row>
    <row r="94" spans="1:7" s="20" customFormat="1" x14ac:dyDescent="0.25">
      <c r="A94" s="3">
        <v>70</v>
      </c>
      <c r="B94" s="17" t="s">
        <v>103</v>
      </c>
      <c r="C94" s="17" t="s">
        <v>15</v>
      </c>
      <c r="D94" s="4">
        <v>4</v>
      </c>
      <c r="E94" s="18" t="s">
        <v>14</v>
      </c>
      <c r="F94" s="19"/>
      <c r="G94" s="27">
        <f t="shared" si="6"/>
        <v>0</v>
      </c>
    </row>
    <row r="95" spans="1:7" s="20" customFormat="1" x14ac:dyDescent="0.25">
      <c r="A95" s="3">
        <v>71</v>
      </c>
      <c r="B95" s="17" t="s">
        <v>103</v>
      </c>
      <c r="C95" s="17" t="s">
        <v>18</v>
      </c>
      <c r="D95" s="4">
        <v>4</v>
      </c>
      <c r="E95" s="18" t="s">
        <v>14</v>
      </c>
      <c r="F95" s="19"/>
      <c r="G95" s="27">
        <f t="shared" si="6"/>
        <v>0</v>
      </c>
    </row>
    <row r="96" spans="1:7" s="20" customFormat="1" x14ac:dyDescent="0.25">
      <c r="A96" s="3">
        <v>72</v>
      </c>
      <c r="B96" s="17" t="s">
        <v>103</v>
      </c>
      <c r="C96" s="17" t="s">
        <v>67</v>
      </c>
      <c r="D96" s="4">
        <v>4</v>
      </c>
      <c r="E96" s="18" t="s">
        <v>14</v>
      </c>
      <c r="F96" s="19"/>
      <c r="G96" s="27">
        <f t="shared" si="6"/>
        <v>0</v>
      </c>
    </row>
    <row r="97" spans="1:7" s="20" customFormat="1" x14ac:dyDescent="0.25">
      <c r="A97" s="3">
        <v>73</v>
      </c>
      <c r="B97" s="17" t="s">
        <v>103</v>
      </c>
      <c r="C97" s="17" t="s">
        <v>21</v>
      </c>
      <c r="D97" s="4">
        <v>4</v>
      </c>
      <c r="E97" s="18" t="s">
        <v>14</v>
      </c>
      <c r="F97" s="19"/>
      <c r="G97" s="27">
        <f t="shared" si="6"/>
        <v>0</v>
      </c>
    </row>
    <row r="98" spans="1:7" s="20" customFormat="1" x14ac:dyDescent="0.25">
      <c r="A98" s="3">
        <v>74</v>
      </c>
      <c r="B98" s="17" t="s">
        <v>103</v>
      </c>
      <c r="C98" s="17" t="s">
        <v>19</v>
      </c>
      <c r="D98" s="4">
        <v>4</v>
      </c>
      <c r="E98" s="18" t="s">
        <v>14</v>
      </c>
      <c r="F98" s="19"/>
      <c r="G98" s="27">
        <f t="shared" si="6"/>
        <v>0</v>
      </c>
    </row>
    <row r="99" spans="1:7" s="20" customFormat="1" ht="15.75" thickBot="1" x14ac:dyDescent="0.3">
      <c r="A99" s="3">
        <v>75</v>
      </c>
      <c r="B99" s="17" t="s">
        <v>103</v>
      </c>
      <c r="C99" s="17" t="s">
        <v>23</v>
      </c>
      <c r="D99" s="4">
        <v>4</v>
      </c>
      <c r="E99" s="18" t="s">
        <v>14</v>
      </c>
      <c r="F99" s="19"/>
      <c r="G99" s="27">
        <f t="shared" si="6"/>
        <v>0</v>
      </c>
    </row>
    <row r="100" spans="1:7" s="11" customFormat="1" ht="17.25" thickTop="1" thickBot="1" x14ac:dyDescent="0.35">
      <c r="A100" s="50" t="s">
        <v>41</v>
      </c>
      <c r="B100" s="51"/>
      <c r="C100" s="51"/>
      <c r="D100" s="51"/>
      <c r="E100" s="51"/>
      <c r="F100" s="51"/>
      <c r="G100" s="9">
        <f>SUM(G91:G99)</f>
        <v>0</v>
      </c>
    </row>
    <row r="101" spans="1:7" s="11" customFormat="1" ht="17.25" thickTop="1" thickBot="1" x14ac:dyDescent="0.35">
      <c r="A101" s="71" t="s">
        <v>42</v>
      </c>
      <c r="B101" s="72"/>
      <c r="C101" s="72"/>
      <c r="D101" s="72"/>
      <c r="E101" s="72"/>
      <c r="F101" s="72"/>
      <c r="G101" s="9">
        <f>SUM(G62,G64,G76,G78,G90,G100)</f>
        <v>0</v>
      </c>
    </row>
    <row r="102" spans="1:7" s="11" customFormat="1" ht="16.5" thickTop="1" x14ac:dyDescent="0.3">
      <c r="A102" s="55" t="s">
        <v>43</v>
      </c>
      <c r="B102" s="56"/>
      <c r="C102" s="56"/>
      <c r="D102" s="56"/>
      <c r="E102" s="56"/>
      <c r="F102" s="56"/>
      <c r="G102" s="57"/>
    </row>
    <row r="103" spans="1:7" s="13" customFormat="1" ht="15.75" x14ac:dyDescent="0.3">
      <c r="A103" s="15" t="s">
        <v>6</v>
      </c>
      <c r="B103" s="1" t="s">
        <v>7</v>
      </c>
      <c r="C103" s="16" t="s">
        <v>8</v>
      </c>
      <c r="D103" s="16" t="s">
        <v>9</v>
      </c>
      <c r="E103" s="16" t="s">
        <v>10</v>
      </c>
      <c r="F103" s="16" t="s">
        <v>11</v>
      </c>
      <c r="G103" s="2" t="s">
        <v>12</v>
      </c>
    </row>
    <row r="104" spans="1:7" s="20" customFormat="1" x14ac:dyDescent="0.25">
      <c r="A104" s="3">
        <v>76</v>
      </c>
      <c r="B104" s="17" t="s">
        <v>88</v>
      </c>
      <c r="C104" s="17" t="s">
        <v>13</v>
      </c>
      <c r="D104" s="4">
        <v>1</v>
      </c>
      <c r="E104" s="18" t="s">
        <v>14</v>
      </c>
      <c r="F104" s="19"/>
      <c r="G104" s="27">
        <f t="shared" ref="G104:G114" si="7">D104*F104</f>
        <v>0</v>
      </c>
    </row>
    <row r="105" spans="1:7" s="30" customFormat="1" x14ac:dyDescent="0.25">
      <c r="A105" s="3">
        <v>77</v>
      </c>
      <c r="B105" s="17" t="s">
        <v>88</v>
      </c>
      <c r="C105" s="17" t="s">
        <v>17</v>
      </c>
      <c r="D105" s="4">
        <v>1</v>
      </c>
      <c r="E105" s="18" t="s">
        <v>14</v>
      </c>
      <c r="F105" s="19"/>
      <c r="G105" s="27">
        <f t="shared" si="7"/>
        <v>0</v>
      </c>
    </row>
    <row r="106" spans="1:7" s="30" customFormat="1" x14ac:dyDescent="0.25">
      <c r="A106" s="3">
        <v>78</v>
      </c>
      <c r="B106" s="17" t="s">
        <v>88</v>
      </c>
      <c r="C106" s="31" t="s">
        <v>37</v>
      </c>
      <c r="D106" s="23">
        <v>1</v>
      </c>
      <c r="E106" s="24" t="s">
        <v>14</v>
      </c>
      <c r="F106" s="19"/>
      <c r="G106" s="27">
        <f t="shared" si="7"/>
        <v>0</v>
      </c>
    </row>
    <row r="107" spans="1:7" s="30" customFormat="1" x14ac:dyDescent="0.25">
      <c r="A107" s="3">
        <v>79</v>
      </c>
      <c r="B107" s="17" t="s">
        <v>88</v>
      </c>
      <c r="C107" s="34" t="s">
        <v>15</v>
      </c>
      <c r="D107" s="4">
        <v>1</v>
      </c>
      <c r="E107" s="18" t="s">
        <v>14</v>
      </c>
      <c r="F107" s="19"/>
      <c r="G107" s="27">
        <f t="shared" si="7"/>
        <v>0</v>
      </c>
    </row>
    <row r="108" spans="1:7" s="30" customFormat="1" x14ac:dyDescent="0.25">
      <c r="A108" s="3">
        <v>80</v>
      </c>
      <c r="B108" s="17" t="s">
        <v>88</v>
      </c>
      <c r="C108" s="34" t="s">
        <v>22</v>
      </c>
      <c r="D108" s="4">
        <v>1</v>
      </c>
      <c r="E108" s="18" t="s">
        <v>14</v>
      </c>
      <c r="F108" s="19"/>
      <c r="G108" s="27">
        <f t="shared" si="7"/>
        <v>0</v>
      </c>
    </row>
    <row r="109" spans="1:7" s="30" customFormat="1" x14ac:dyDescent="0.25">
      <c r="A109" s="3">
        <v>81</v>
      </c>
      <c r="B109" s="17" t="s">
        <v>88</v>
      </c>
      <c r="C109" s="34" t="s">
        <v>18</v>
      </c>
      <c r="D109" s="4">
        <v>1</v>
      </c>
      <c r="E109" s="18" t="s">
        <v>14</v>
      </c>
      <c r="F109" s="19"/>
      <c r="G109" s="27">
        <f t="shared" si="7"/>
        <v>0</v>
      </c>
    </row>
    <row r="110" spans="1:7" s="30" customFormat="1" x14ac:dyDescent="0.25">
      <c r="A110" s="3">
        <v>82</v>
      </c>
      <c r="B110" s="17" t="s">
        <v>88</v>
      </c>
      <c r="C110" s="34" t="s">
        <v>16</v>
      </c>
      <c r="D110" s="4">
        <v>1</v>
      </c>
      <c r="E110" s="18" t="s">
        <v>14</v>
      </c>
      <c r="F110" s="19"/>
      <c r="G110" s="27">
        <f t="shared" si="7"/>
        <v>0</v>
      </c>
    </row>
    <row r="111" spans="1:7" s="30" customFormat="1" x14ac:dyDescent="0.25">
      <c r="A111" s="3">
        <v>83</v>
      </c>
      <c r="B111" s="17" t="s">
        <v>88</v>
      </c>
      <c r="C111" s="34" t="s">
        <v>19</v>
      </c>
      <c r="D111" s="4">
        <v>1</v>
      </c>
      <c r="E111" s="18" t="s">
        <v>14</v>
      </c>
      <c r="F111" s="19"/>
      <c r="G111" s="27">
        <f t="shared" si="7"/>
        <v>0</v>
      </c>
    </row>
    <row r="112" spans="1:7" s="30" customFormat="1" x14ac:dyDescent="0.25">
      <c r="A112" s="3">
        <v>84</v>
      </c>
      <c r="B112" s="17" t="s">
        <v>88</v>
      </c>
      <c r="C112" s="35" t="s">
        <v>21</v>
      </c>
      <c r="D112" s="4">
        <v>1</v>
      </c>
      <c r="E112" s="18" t="s">
        <v>14</v>
      </c>
      <c r="F112" s="19"/>
      <c r="G112" s="27">
        <f t="shared" si="7"/>
        <v>0</v>
      </c>
    </row>
    <row r="113" spans="1:7" s="36" customFormat="1" ht="15.75" x14ac:dyDescent="0.3">
      <c r="A113" s="3">
        <v>85</v>
      </c>
      <c r="B113" s="17" t="s">
        <v>88</v>
      </c>
      <c r="C113" s="32" t="s">
        <v>23</v>
      </c>
      <c r="D113" s="4">
        <v>1</v>
      </c>
      <c r="E113" s="18" t="s">
        <v>14</v>
      </c>
      <c r="F113" s="19"/>
      <c r="G113" s="27">
        <f t="shared" si="7"/>
        <v>0</v>
      </c>
    </row>
    <row r="114" spans="1:7" s="30" customFormat="1" ht="15.75" thickBot="1" x14ac:dyDescent="0.3">
      <c r="A114" s="3">
        <v>86</v>
      </c>
      <c r="B114" s="17" t="s">
        <v>88</v>
      </c>
      <c r="C114" s="34" t="s">
        <v>20</v>
      </c>
      <c r="D114" s="4">
        <v>1</v>
      </c>
      <c r="E114" s="18" t="s">
        <v>14</v>
      </c>
      <c r="F114" s="19"/>
      <c r="G114" s="27">
        <f t="shared" si="7"/>
        <v>0</v>
      </c>
    </row>
    <row r="115" spans="1:7" s="13" customFormat="1" ht="17.25" thickTop="1" thickBot="1" x14ac:dyDescent="0.35">
      <c r="A115" s="37"/>
      <c r="B115" s="93" t="s">
        <v>72</v>
      </c>
      <c r="C115" s="51"/>
      <c r="D115" s="51"/>
      <c r="E115" s="51"/>
      <c r="F115" s="94"/>
      <c r="G115" s="9">
        <f>SUM(G104:G114)</f>
        <v>0</v>
      </c>
    </row>
    <row r="116" spans="1:7" s="20" customFormat="1" ht="15.75" thickTop="1" x14ac:dyDescent="0.25">
      <c r="A116" s="3">
        <v>87</v>
      </c>
      <c r="B116" s="17" t="s">
        <v>89</v>
      </c>
      <c r="C116" s="17" t="s">
        <v>13</v>
      </c>
      <c r="D116" s="4">
        <v>6</v>
      </c>
      <c r="E116" s="18" t="s">
        <v>14</v>
      </c>
      <c r="F116" s="19"/>
      <c r="G116" s="27">
        <f t="shared" ref="G116:G126" si="8">D116*F116</f>
        <v>0</v>
      </c>
    </row>
    <row r="117" spans="1:7" s="30" customFormat="1" x14ac:dyDescent="0.25">
      <c r="A117" s="3">
        <v>88</v>
      </c>
      <c r="B117" s="17" t="s">
        <v>89</v>
      </c>
      <c r="C117" s="17" t="s">
        <v>17</v>
      </c>
      <c r="D117" s="4">
        <v>6</v>
      </c>
      <c r="E117" s="18" t="s">
        <v>14</v>
      </c>
      <c r="F117" s="19"/>
      <c r="G117" s="27">
        <f t="shared" si="8"/>
        <v>0</v>
      </c>
    </row>
    <row r="118" spans="1:7" s="30" customFormat="1" x14ac:dyDescent="0.25">
      <c r="A118" s="3">
        <v>89</v>
      </c>
      <c r="B118" s="17" t="s">
        <v>89</v>
      </c>
      <c r="C118" s="31" t="s">
        <v>37</v>
      </c>
      <c r="D118" s="23">
        <v>6</v>
      </c>
      <c r="E118" s="24" t="s">
        <v>14</v>
      </c>
      <c r="F118" s="19"/>
      <c r="G118" s="27">
        <f t="shared" si="8"/>
        <v>0</v>
      </c>
    </row>
    <row r="119" spans="1:7" s="30" customFormat="1" x14ac:dyDescent="0.25">
      <c r="A119" s="3">
        <v>90</v>
      </c>
      <c r="B119" s="17" t="s">
        <v>89</v>
      </c>
      <c r="C119" s="34" t="s">
        <v>15</v>
      </c>
      <c r="D119" s="4">
        <v>6</v>
      </c>
      <c r="E119" s="18" t="s">
        <v>14</v>
      </c>
      <c r="F119" s="19"/>
      <c r="G119" s="27">
        <f t="shared" si="8"/>
        <v>0</v>
      </c>
    </row>
    <row r="120" spans="1:7" s="30" customFormat="1" x14ac:dyDescent="0.25">
      <c r="A120" s="3">
        <v>91</v>
      </c>
      <c r="B120" s="17" t="s">
        <v>89</v>
      </c>
      <c r="C120" s="34" t="s">
        <v>22</v>
      </c>
      <c r="D120" s="4">
        <v>6</v>
      </c>
      <c r="E120" s="18" t="s">
        <v>14</v>
      </c>
      <c r="F120" s="19"/>
      <c r="G120" s="27">
        <f t="shared" si="8"/>
        <v>0</v>
      </c>
    </row>
    <row r="121" spans="1:7" s="30" customFormat="1" x14ac:dyDescent="0.25">
      <c r="A121" s="3">
        <v>92</v>
      </c>
      <c r="B121" s="17" t="s">
        <v>101</v>
      </c>
      <c r="C121" s="34" t="s">
        <v>18</v>
      </c>
      <c r="D121" s="4">
        <v>6</v>
      </c>
      <c r="E121" s="18" t="s">
        <v>14</v>
      </c>
      <c r="F121" s="19"/>
      <c r="G121" s="27">
        <f t="shared" si="8"/>
        <v>0</v>
      </c>
    </row>
    <row r="122" spans="1:7" s="30" customFormat="1" x14ac:dyDescent="0.25">
      <c r="A122" s="3">
        <v>93</v>
      </c>
      <c r="B122" s="17" t="s">
        <v>101</v>
      </c>
      <c r="C122" s="34" t="s">
        <v>16</v>
      </c>
      <c r="D122" s="4">
        <v>6</v>
      </c>
      <c r="E122" s="18" t="s">
        <v>14</v>
      </c>
      <c r="F122" s="19"/>
      <c r="G122" s="27">
        <f t="shared" si="8"/>
        <v>0</v>
      </c>
    </row>
    <row r="123" spans="1:7" s="30" customFormat="1" x14ac:dyDescent="0.25">
      <c r="A123" s="3">
        <v>94</v>
      </c>
      <c r="B123" s="17" t="s">
        <v>101</v>
      </c>
      <c r="C123" s="34" t="s">
        <v>19</v>
      </c>
      <c r="D123" s="4">
        <v>6</v>
      </c>
      <c r="E123" s="18" t="s">
        <v>14</v>
      </c>
      <c r="F123" s="19"/>
      <c r="G123" s="27">
        <f t="shared" si="8"/>
        <v>0</v>
      </c>
    </row>
    <row r="124" spans="1:7" s="30" customFormat="1" x14ac:dyDescent="0.25">
      <c r="A124" s="3">
        <v>95</v>
      </c>
      <c r="B124" s="17" t="s">
        <v>101</v>
      </c>
      <c r="C124" s="35" t="s">
        <v>21</v>
      </c>
      <c r="D124" s="4">
        <v>6</v>
      </c>
      <c r="E124" s="18" t="s">
        <v>14</v>
      </c>
      <c r="F124" s="19"/>
      <c r="G124" s="27">
        <f t="shared" si="8"/>
        <v>0</v>
      </c>
    </row>
    <row r="125" spans="1:7" s="36" customFormat="1" ht="15.75" x14ac:dyDescent="0.3">
      <c r="A125" s="3">
        <v>96</v>
      </c>
      <c r="B125" s="17" t="s">
        <v>101</v>
      </c>
      <c r="C125" s="32" t="s">
        <v>23</v>
      </c>
      <c r="D125" s="4">
        <v>6</v>
      </c>
      <c r="E125" s="18" t="s">
        <v>14</v>
      </c>
      <c r="F125" s="19"/>
      <c r="G125" s="27">
        <f t="shared" si="8"/>
        <v>0</v>
      </c>
    </row>
    <row r="126" spans="1:7" s="30" customFormat="1" ht="15.75" thickBot="1" x14ac:dyDescent="0.3">
      <c r="A126" s="3">
        <v>97</v>
      </c>
      <c r="B126" s="17" t="s">
        <v>101</v>
      </c>
      <c r="C126" s="34" t="s">
        <v>20</v>
      </c>
      <c r="D126" s="4">
        <v>6</v>
      </c>
      <c r="E126" s="18" t="s">
        <v>14</v>
      </c>
      <c r="F126" s="19"/>
      <c r="G126" s="27">
        <f t="shared" si="8"/>
        <v>0</v>
      </c>
    </row>
    <row r="127" spans="1:7" s="38" customFormat="1" ht="17.25" thickTop="1" thickBot="1" x14ac:dyDescent="0.35">
      <c r="A127" s="50" t="s">
        <v>44</v>
      </c>
      <c r="B127" s="51"/>
      <c r="C127" s="51"/>
      <c r="D127" s="51"/>
      <c r="E127" s="51"/>
      <c r="F127" s="51"/>
      <c r="G127" s="9">
        <f>SUM(G116:G126)</f>
        <v>0</v>
      </c>
    </row>
    <row r="128" spans="1:7" s="30" customFormat="1" ht="15.75" thickTop="1" x14ac:dyDescent="0.25">
      <c r="A128" s="3">
        <v>98</v>
      </c>
      <c r="B128" s="34" t="s">
        <v>90</v>
      </c>
      <c r="C128" s="17" t="s">
        <v>45</v>
      </c>
      <c r="D128" s="4">
        <v>6</v>
      </c>
      <c r="E128" s="18" t="s">
        <v>29</v>
      </c>
      <c r="F128" s="19"/>
      <c r="G128" s="27">
        <f t="shared" ref="G128:G152" si="9">D128*F128</f>
        <v>0</v>
      </c>
    </row>
    <row r="129" spans="1:7" s="30" customFormat="1" ht="15.75" thickBot="1" x14ac:dyDescent="0.3">
      <c r="A129" s="3">
        <v>99</v>
      </c>
      <c r="B129" s="34" t="s">
        <v>91</v>
      </c>
      <c r="C129" s="17" t="s">
        <v>39</v>
      </c>
      <c r="D129" s="4">
        <v>12</v>
      </c>
      <c r="E129" s="18" t="s">
        <v>14</v>
      </c>
      <c r="F129" s="19"/>
      <c r="G129" s="27">
        <f t="shared" si="9"/>
        <v>0</v>
      </c>
    </row>
    <row r="130" spans="1:7" s="11" customFormat="1" ht="17.25" thickTop="1" thickBot="1" x14ac:dyDescent="0.35">
      <c r="A130" s="50" t="s">
        <v>46</v>
      </c>
      <c r="B130" s="51"/>
      <c r="C130" s="51"/>
      <c r="D130" s="51"/>
      <c r="E130" s="51"/>
      <c r="F130" s="51"/>
      <c r="G130" s="9">
        <f>SUM(G128:G129)</f>
        <v>0</v>
      </c>
    </row>
    <row r="131" spans="1:7" s="30" customFormat="1" ht="15.75" thickTop="1" x14ac:dyDescent="0.25">
      <c r="A131" s="3">
        <v>100</v>
      </c>
      <c r="B131" s="17" t="s">
        <v>92</v>
      </c>
      <c r="C131" s="17" t="s">
        <v>13</v>
      </c>
      <c r="D131" s="4">
        <v>1</v>
      </c>
      <c r="E131" s="18" t="s">
        <v>14</v>
      </c>
      <c r="F131" s="19"/>
      <c r="G131" s="27">
        <f t="shared" si="9"/>
        <v>0</v>
      </c>
    </row>
    <row r="132" spans="1:7" s="30" customFormat="1" x14ac:dyDescent="0.25">
      <c r="A132" s="3">
        <v>101</v>
      </c>
      <c r="B132" s="17" t="s">
        <v>92</v>
      </c>
      <c r="C132" s="17" t="s">
        <v>17</v>
      </c>
      <c r="D132" s="4">
        <v>1</v>
      </c>
      <c r="E132" s="18" t="s">
        <v>14</v>
      </c>
      <c r="F132" s="19"/>
      <c r="G132" s="27">
        <f t="shared" si="9"/>
        <v>0</v>
      </c>
    </row>
    <row r="133" spans="1:7" s="30" customFormat="1" x14ac:dyDescent="0.25">
      <c r="A133" s="3">
        <v>102</v>
      </c>
      <c r="B133" s="17" t="s">
        <v>92</v>
      </c>
      <c r="C133" s="31" t="s">
        <v>37</v>
      </c>
      <c r="D133" s="4">
        <v>1</v>
      </c>
      <c r="E133" s="18" t="s">
        <v>14</v>
      </c>
      <c r="F133" s="19"/>
      <c r="G133" s="27">
        <f t="shared" si="9"/>
        <v>0</v>
      </c>
    </row>
    <row r="134" spans="1:7" s="30" customFormat="1" x14ac:dyDescent="0.25">
      <c r="A134" s="3">
        <v>103</v>
      </c>
      <c r="B134" s="17" t="s">
        <v>92</v>
      </c>
      <c r="C134" s="34" t="s">
        <v>18</v>
      </c>
      <c r="D134" s="4">
        <v>1</v>
      </c>
      <c r="E134" s="18" t="s">
        <v>14</v>
      </c>
      <c r="F134" s="19"/>
      <c r="G134" s="27">
        <f t="shared" si="9"/>
        <v>0</v>
      </c>
    </row>
    <row r="135" spans="1:7" s="30" customFormat="1" x14ac:dyDescent="0.25">
      <c r="A135" s="3">
        <v>104</v>
      </c>
      <c r="B135" s="17" t="s">
        <v>92</v>
      </c>
      <c r="C135" s="34" t="s">
        <v>15</v>
      </c>
      <c r="D135" s="4">
        <v>1</v>
      </c>
      <c r="E135" s="18" t="s">
        <v>14</v>
      </c>
      <c r="F135" s="19"/>
      <c r="G135" s="27">
        <f t="shared" si="9"/>
        <v>0</v>
      </c>
    </row>
    <row r="136" spans="1:7" s="30" customFormat="1" x14ac:dyDescent="0.25">
      <c r="A136" s="3">
        <v>105</v>
      </c>
      <c r="B136" s="17" t="s">
        <v>92</v>
      </c>
      <c r="C136" s="34" t="s">
        <v>16</v>
      </c>
      <c r="D136" s="4">
        <v>1</v>
      </c>
      <c r="E136" s="18" t="s">
        <v>14</v>
      </c>
      <c r="F136" s="19"/>
      <c r="G136" s="27">
        <f t="shared" si="9"/>
        <v>0</v>
      </c>
    </row>
    <row r="137" spans="1:7" s="30" customFormat="1" x14ac:dyDescent="0.25">
      <c r="A137" s="3">
        <v>106</v>
      </c>
      <c r="B137" s="17" t="s">
        <v>92</v>
      </c>
      <c r="C137" s="34" t="s">
        <v>19</v>
      </c>
      <c r="D137" s="4">
        <v>1</v>
      </c>
      <c r="E137" s="18" t="s">
        <v>14</v>
      </c>
      <c r="F137" s="19"/>
      <c r="G137" s="27">
        <f t="shared" si="9"/>
        <v>0</v>
      </c>
    </row>
    <row r="138" spans="1:7" s="30" customFormat="1" x14ac:dyDescent="0.25">
      <c r="A138" s="3">
        <v>107</v>
      </c>
      <c r="B138" s="17" t="s">
        <v>92</v>
      </c>
      <c r="C138" s="35" t="s">
        <v>21</v>
      </c>
      <c r="D138" s="4">
        <v>1</v>
      </c>
      <c r="E138" s="18" t="s">
        <v>14</v>
      </c>
      <c r="F138" s="19"/>
      <c r="G138" s="27">
        <f t="shared" si="9"/>
        <v>0</v>
      </c>
    </row>
    <row r="139" spans="1:7" s="30" customFormat="1" x14ac:dyDescent="0.25">
      <c r="A139" s="3">
        <v>108</v>
      </c>
      <c r="B139" s="17" t="s">
        <v>92</v>
      </c>
      <c r="C139" s="32" t="s">
        <v>23</v>
      </c>
      <c r="D139" s="4">
        <v>1</v>
      </c>
      <c r="E139" s="18" t="s">
        <v>14</v>
      </c>
      <c r="F139" s="19"/>
      <c r="G139" s="27">
        <f t="shared" si="9"/>
        <v>0</v>
      </c>
    </row>
    <row r="140" spans="1:7" s="36" customFormat="1" ht="15.75" x14ac:dyDescent="0.3">
      <c r="A140" s="3">
        <v>109</v>
      </c>
      <c r="B140" s="17" t="s">
        <v>92</v>
      </c>
      <c r="C140" s="34" t="s">
        <v>22</v>
      </c>
      <c r="D140" s="4">
        <v>1</v>
      </c>
      <c r="E140" s="18" t="s">
        <v>14</v>
      </c>
      <c r="F140" s="19"/>
      <c r="G140" s="27">
        <f t="shared" si="9"/>
        <v>0</v>
      </c>
    </row>
    <row r="141" spans="1:7" s="30" customFormat="1" ht="15.75" thickBot="1" x14ac:dyDescent="0.3">
      <c r="A141" s="3">
        <v>110</v>
      </c>
      <c r="B141" s="17" t="s">
        <v>92</v>
      </c>
      <c r="C141" s="34" t="s">
        <v>20</v>
      </c>
      <c r="D141" s="4">
        <v>1</v>
      </c>
      <c r="E141" s="18" t="s">
        <v>14</v>
      </c>
      <c r="F141" s="19"/>
      <c r="G141" s="27">
        <f t="shared" si="9"/>
        <v>0</v>
      </c>
    </row>
    <row r="142" spans="1:7" s="39" customFormat="1" ht="17.25" thickTop="1" thickBot="1" x14ac:dyDescent="0.35">
      <c r="A142" s="50" t="s">
        <v>47</v>
      </c>
      <c r="B142" s="51"/>
      <c r="C142" s="51"/>
      <c r="D142" s="51"/>
      <c r="E142" s="51"/>
      <c r="F142" s="51"/>
      <c r="G142" s="9">
        <f>SUM(G131:G141)</f>
        <v>0</v>
      </c>
    </row>
    <row r="143" spans="1:7" s="36" customFormat="1" ht="16.5" thickTop="1" x14ac:dyDescent="0.3">
      <c r="A143" s="3">
        <v>111</v>
      </c>
      <c r="B143" s="17" t="s">
        <v>93</v>
      </c>
      <c r="C143" s="17" t="s">
        <v>13</v>
      </c>
      <c r="D143" s="4">
        <v>4</v>
      </c>
      <c r="E143" s="18" t="s">
        <v>14</v>
      </c>
      <c r="F143" s="19"/>
      <c r="G143" s="27">
        <f t="shared" si="9"/>
        <v>0</v>
      </c>
    </row>
    <row r="144" spans="1:7" s="36" customFormat="1" ht="15.75" x14ac:dyDescent="0.3">
      <c r="A144" s="3">
        <v>112</v>
      </c>
      <c r="B144" s="17" t="s">
        <v>93</v>
      </c>
      <c r="C144" s="17" t="s">
        <v>17</v>
      </c>
      <c r="D144" s="4">
        <v>4</v>
      </c>
      <c r="E144" s="18" t="s">
        <v>14</v>
      </c>
      <c r="F144" s="19"/>
      <c r="G144" s="27">
        <f t="shared" si="9"/>
        <v>0</v>
      </c>
    </row>
    <row r="145" spans="1:7" s="36" customFormat="1" ht="15.75" x14ac:dyDescent="0.3">
      <c r="A145" s="3">
        <v>113</v>
      </c>
      <c r="B145" s="17" t="s">
        <v>93</v>
      </c>
      <c r="C145" s="31" t="s">
        <v>37</v>
      </c>
      <c r="D145" s="4">
        <v>4</v>
      </c>
      <c r="E145" s="18" t="s">
        <v>14</v>
      </c>
      <c r="F145" s="19"/>
      <c r="G145" s="27">
        <f t="shared" si="9"/>
        <v>0</v>
      </c>
    </row>
    <row r="146" spans="1:7" s="36" customFormat="1" ht="15.75" x14ac:dyDescent="0.3">
      <c r="A146" s="3">
        <v>114</v>
      </c>
      <c r="B146" s="17" t="s">
        <v>93</v>
      </c>
      <c r="C146" s="34" t="s">
        <v>18</v>
      </c>
      <c r="D146" s="4">
        <v>4</v>
      </c>
      <c r="E146" s="18" t="s">
        <v>14</v>
      </c>
      <c r="F146" s="19"/>
      <c r="G146" s="27">
        <f t="shared" si="9"/>
        <v>0</v>
      </c>
    </row>
    <row r="147" spans="1:7" s="36" customFormat="1" ht="15.75" x14ac:dyDescent="0.3">
      <c r="A147" s="3">
        <v>115</v>
      </c>
      <c r="B147" s="17" t="s">
        <v>93</v>
      </c>
      <c r="C147" s="34" t="s">
        <v>15</v>
      </c>
      <c r="D147" s="4">
        <v>4</v>
      </c>
      <c r="E147" s="18" t="s">
        <v>14</v>
      </c>
      <c r="F147" s="19"/>
      <c r="G147" s="27">
        <f t="shared" si="9"/>
        <v>0</v>
      </c>
    </row>
    <row r="148" spans="1:7" s="36" customFormat="1" ht="15.75" x14ac:dyDescent="0.3">
      <c r="A148" s="3">
        <v>116</v>
      </c>
      <c r="B148" s="17" t="s">
        <v>93</v>
      </c>
      <c r="C148" s="34" t="s">
        <v>19</v>
      </c>
      <c r="D148" s="4">
        <v>4</v>
      </c>
      <c r="E148" s="18" t="s">
        <v>14</v>
      </c>
      <c r="F148" s="19"/>
      <c r="G148" s="27">
        <f t="shared" si="9"/>
        <v>0</v>
      </c>
    </row>
    <row r="149" spans="1:7" s="30" customFormat="1" x14ac:dyDescent="0.25">
      <c r="A149" s="3">
        <v>117</v>
      </c>
      <c r="B149" s="17" t="s">
        <v>93</v>
      </c>
      <c r="C149" s="35" t="s">
        <v>21</v>
      </c>
      <c r="D149" s="4">
        <v>4</v>
      </c>
      <c r="E149" s="18" t="s">
        <v>14</v>
      </c>
      <c r="F149" s="19"/>
      <c r="G149" s="27">
        <f t="shared" si="9"/>
        <v>0</v>
      </c>
    </row>
    <row r="150" spans="1:7" s="36" customFormat="1" ht="15.75" x14ac:dyDescent="0.3">
      <c r="A150" s="3">
        <v>118</v>
      </c>
      <c r="B150" s="17" t="s">
        <v>93</v>
      </c>
      <c r="C150" s="32" t="s">
        <v>23</v>
      </c>
      <c r="D150" s="4">
        <v>4</v>
      </c>
      <c r="E150" s="18" t="s">
        <v>14</v>
      </c>
      <c r="F150" s="19"/>
      <c r="G150" s="27">
        <f t="shared" si="9"/>
        <v>0</v>
      </c>
    </row>
    <row r="151" spans="1:7" s="36" customFormat="1" ht="15.75" x14ac:dyDescent="0.3">
      <c r="A151" s="3">
        <v>119</v>
      </c>
      <c r="B151" s="17" t="s">
        <v>93</v>
      </c>
      <c r="C151" s="34" t="s">
        <v>22</v>
      </c>
      <c r="D151" s="4">
        <v>4</v>
      </c>
      <c r="E151" s="18" t="s">
        <v>14</v>
      </c>
      <c r="F151" s="19"/>
      <c r="G151" s="27">
        <f t="shared" si="9"/>
        <v>0</v>
      </c>
    </row>
    <row r="152" spans="1:7" s="30" customFormat="1" ht="15.75" thickBot="1" x14ac:dyDescent="0.3">
      <c r="A152" s="3">
        <v>120</v>
      </c>
      <c r="B152" s="17" t="s">
        <v>93</v>
      </c>
      <c r="C152" s="34" t="s">
        <v>20</v>
      </c>
      <c r="D152" s="4">
        <v>4</v>
      </c>
      <c r="E152" s="18" t="s">
        <v>14</v>
      </c>
      <c r="F152" s="19"/>
      <c r="G152" s="27">
        <f t="shared" si="9"/>
        <v>0</v>
      </c>
    </row>
    <row r="153" spans="1:7" s="11" customFormat="1" ht="17.25" thickTop="1" thickBot="1" x14ac:dyDescent="0.35">
      <c r="A153" s="50" t="s">
        <v>48</v>
      </c>
      <c r="B153" s="51"/>
      <c r="C153" s="51"/>
      <c r="D153" s="51"/>
      <c r="E153" s="51"/>
      <c r="F153" s="51"/>
      <c r="G153" s="9">
        <f>SUM(G143:G152)</f>
        <v>0</v>
      </c>
    </row>
    <row r="154" spans="1:7" s="11" customFormat="1" ht="17.25" thickTop="1" thickBot="1" x14ac:dyDescent="0.35">
      <c r="A154" s="52" t="s">
        <v>49</v>
      </c>
      <c r="B154" s="53"/>
      <c r="C154" s="53"/>
      <c r="D154" s="53"/>
      <c r="E154" s="53"/>
      <c r="F154" s="54"/>
      <c r="G154" s="9">
        <f>SUM(G115,G127,G130,G142,G153)</f>
        <v>0</v>
      </c>
    </row>
    <row r="155" spans="1:7" s="11" customFormat="1" ht="16.5" thickTop="1" x14ac:dyDescent="0.3">
      <c r="A155" s="55" t="s">
        <v>50</v>
      </c>
      <c r="B155" s="56"/>
      <c r="C155" s="56"/>
      <c r="D155" s="56"/>
      <c r="E155" s="56"/>
      <c r="F155" s="56"/>
      <c r="G155" s="57"/>
    </row>
    <row r="156" spans="1:7" s="13" customFormat="1" ht="15.75" x14ac:dyDescent="0.3">
      <c r="A156" s="15" t="s">
        <v>6</v>
      </c>
      <c r="B156" s="1" t="s">
        <v>7</v>
      </c>
      <c r="C156" s="16" t="s">
        <v>8</v>
      </c>
      <c r="D156" s="16" t="s">
        <v>9</v>
      </c>
      <c r="E156" s="16" t="s">
        <v>10</v>
      </c>
      <c r="F156" s="16" t="s">
        <v>11</v>
      </c>
      <c r="G156" s="2" t="s">
        <v>12</v>
      </c>
    </row>
    <row r="157" spans="1:7" s="30" customFormat="1" x14ac:dyDescent="0.25">
      <c r="A157" s="3">
        <v>121</v>
      </c>
      <c r="B157" s="17" t="s">
        <v>94</v>
      </c>
      <c r="C157" s="17" t="s">
        <v>13</v>
      </c>
      <c r="D157" s="4">
        <v>12</v>
      </c>
      <c r="E157" s="18" t="s">
        <v>14</v>
      </c>
      <c r="F157" s="19"/>
      <c r="G157" s="27">
        <f t="shared" ref="G157:G164" si="10">D157*F157</f>
        <v>0</v>
      </c>
    </row>
    <row r="158" spans="1:7" s="40" customFormat="1" x14ac:dyDescent="0.25">
      <c r="A158" s="3">
        <v>122</v>
      </c>
      <c r="B158" s="17" t="s">
        <v>94</v>
      </c>
      <c r="C158" s="17" t="s">
        <v>17</v>
      </c>
      <c r="D158" s="4">
        <v>12</v>
      </c>
      <c r="E158" s="18" t="s">
        <v>14</v>
      </c>
      <c r="F158" s="19"/>
      <c r="G158" s="27">
        <f t="shared" si="10"/>
        <v>0</v>
      </c>
    </row>
    <row r="159" spans="1:7" s="30" customFormat="1" x14ac:dyDescent="0.25">
      <c r="A159" s="3">
        <v>123</v>
      </c>
      <c r="B159" s="17" t="s">
        <v>94</v>
      </c>
      <c r="C159" s="17" t="s">
        <v>37</v>
      </c>
      <c r="D159" s="4">
        <v>12</v>
      </c>
      <c r="E159" s="18" t="s">
        <v>14</v>
      </c>
      <c r="F159" s="19"/>
      <c r="G159" s="27">
        <f t="shared" si="10"/>
        <v>0</v>
      </c>
    </row>
    <row r="160" spans="1:7" s="30" customFormat="1" x14ac:dyDescent="0.25">
      <c r="A160" s="3">
        <v>124</v>
      </c>
      <c r="B160" s="17" t="s">
        <v>94</v>
      </c>
      <c r="C160" s="17" t="s">
        <v>18</v>
      </c>
      <c r="D160" s="4">
        <v>12</v>
      </c>
      <c r="E160" s="18" t="s">
        <v>14</v>
      </c>
      <c r="F160" s="19"/>
      <c r="G160" s="27">
        <f t="shared" si="10"/>
        <v>0</v>
      </c>
    </row>
    <row r="161" spans="1:7" s="30" customFormat="1" x14ac:dyDescent="0.25">
      <c r="A161" s="3">
        <v>125</v>
      </c>
      <c r="B161" s="17" t="s">
        <v>94</v>
      </c>
      <c r="C161" s="17" t="s">
        <v>15</v>
      </c>
      <c r="D161" s="4">
        <v>12</v>
      </c>
      <c r="E161" s="18" t="s">
        <v>14</v>
      </c>
      <c r="F161" s="19"/>
      <c r="G161" s="27">
        <f t="shared" si="10"/>
        <v>0</v>
      </c>
    </row>
    <row r="162" spans="1:7" s="30" customFormat="1" x14ac:dyDescent="0.25">
      <c r="A162" s="3">
        <v>126</v>
      </c>
      <c r="B162" s="17" t="s">
        <v>94</v>
      </c>
      <c r="C162" s="17" t="s">
        <v>21</v>
      </c>
      <c r="D162" s="4">
        <v>12</v>
      </c>
      <c r="E162" s="18" t="s">
        <v>14</v>
      </c>
      <c r="F162" s="19"/>
      <c r="G162" s="27">
        <f t="shared" si="10"/>
        <v>0</v>
      </c>
    </row>
    <row r="163" spans="1:7" s="30" customFormat="1" x14ac:dyDescent="0.25">
      <c r="A163" s="3">
        <v>127</v>
      </c>
      <c r="B163" s="17" t="s">
        <v>94</v>
      </c>
      <c r="C163" s="17" t="s">
        <v>19</v>
      </c>
      <c r="D163" s="4">
        <v>12</v>
      </c>
      <c r="E163" s="18" t="s">
        <v>14</v>
      </c>
      <c r="F163" s="19"/>
      <c r="G163" s="27">
        <f t="shared" si="10"/>
        <v>0</v>
      </c>
    </row>
    <row r="164" spans="1:7" s="30" customFormat="1" ht="15.75" thickBot="1" x14ac:dyDescent="0.3">
      <c r="A164" s="3">
        <v>128</v>
      </c>
      <c r="B164" s="17" t="s">
        <v>94</v>
      </c>
      <c r="C164" s="17" t="s">
        <v>22</v>
      </c>
      <c r="D164" s="4">
        <v>12</v>
      </c>
      <c r="E164" s="18" t="s">
        <v>14</v>
      </c>
      <c r="F164" s="19"/>
      <c r="G164" s="27">
        <f t="shared" si="10"/>
        <v>0</v>
      </c>
    </row>
    <row r="165" spans="1:7" s="11" customFormat="1" ht="17.25" thickTop="1" thickBot="1" x14ac:dyDescent="0.35">
      <c r="A165" s="50" t="s">
        <v>51</v>
      </c>
      <c r="B165" s="51"/>
      <c r="C165" s="51"/>
      <c r="D165" s="51"/>
      <c r="E165" s="51"/>
      <c r="F165" s="51"/>
      <c r="G165" s="9">
        <f>SUM(G157:G164)</f>
        <v>0</v>
      </c>
    </row>
    <row r="166" spans="1:7" s="11" customFormat="1" ht="17.25" thickTop="1" thickBot="1" x14ac:dyDescent="0.35">
      <c r="A166" s="52" t="s">
        <v>52</v>
      </c>
      <c r="B166" s="53"/>
      <c r="C166" s="53"/>
      <c r="D166" s="53"/>
      <c r="E166" s="53"/>
      <c r="F166" s="54"/>
      <c r="G166" s="9">
        <f>G165</f>
        <v>0</v>
      </c>
    </row>
    <row r="167" spans="1:7" s="11" customFormat="1" ht="16.5" thickTop="1" x14ac:dyDescent="0.3">
      <c r="A167" s="62" t="s">
        <v>53</v>
      </c>
      <c r="B167" s="63"/>
      <c r="C167" s="63"/>
      <c r="D167" s="63"/>
      <c r="E167" s="63"/>
      <c r="F167" s="63"/>
      <c r="G167" s="64"/>
    </row>
    <row r="168" spans="1:7" s="20" customFormat="1" ht="15.75" x14ac:dyDescent="0.3">
      <c r="A168" s="15" t="s">
        <v>6</v>
      </c>
      <c r="B168" s="6" t="s">
        <v>7</v>
      </c>
      <c r="C168" s="18" t="s">
        <v>8</v>
      </c>
      <c r="D168" s="18" t="s">
        <v>9</v>
      </c>
      <c r="E168" s="18" t="s">
        <v>10</v>
      </c>
      <c r="F168" s="18" t="s">
        <v>11</v>
      </c>
      <c r="G168" s="7" t="s">
        <v>12</v>
      </c>
    </row>
    <row r="169" spans="1:7" s="20" customFormat="1" x14ac:dyDescent="0.25">
      <c r="A169" s="3">
        <v>129</v>
      </c>
      <c r="B169" s="41" t="s">
        <v>95</v>
      </c>
      <c r="C169" s="42" t="s">
        <v>54</v>
      </c>
      <c r="D169" s="4">
        <v>7</v>
      </c>
      <c r="E169" s="6" t="s">
        <v>14</v>
      </c>
      <c r="F169" s="19"/>
      <c r="G169" s="27">
        <f t="shared" ref="G169:G177" si="11">D169*F169</f>
        <v>0</v>
      </c>
    </row>
    <row r="170" spans="1:7" s="20" customFormat="1" x14ac:dyDescent="0.25">
      <c r="A170" s="3">
        <v>130</v>
      </c>
      <c r="B170" s="41" t="s">
        <v>95</v>
      </c>
      <c r="C170" s="42" t="s">
        <v>17</v>
      </c>
      <c r="D170" s="4">
        <v>7</v>
      </c>
      <c r="E170" s="6" t="s">
        <v>14</v>
      </c>
      <c r="F170" s="19"/>
      <c r="G170" s="27">
        <f t="shared" si="11"/>
        <v>0</v>
      </c>
    </row>
    <row r="171" spans="1:7" s="20" customFormat="1" x14ac:dyDescent="0.25">
      <c r="A171" s="3">
        <v>131</v>
      </c>
      <c r="B171" s="41" t="s">
        <v>95</v>
      </c>
      <c r="C171" s="42" t="s">
        <v>37</v>
      </c>
      <c r="D171" s="4">
        <v>7</v>
      </c>
      <c r="E171" s="6" t="s">
        <v>14</v>
      </c>
      <c r="F171" s="19"/>
      <c r="G171" s="27">
        <f t="shared" si="11"/>
        <v>0</v>
      </c>
    </row>
    <row r="172" spans="1:7" s="20" customFormat="1" x14ac:dyDescent="0.25">
      <c r="A172" s="3">
        <v>132</v>
      </c>
      <c r="B172" s="41" t="s">
        <v>95</v>
      </c>
      <c r="C172" s="42" t="s">
        <v>55</v>
      </c>
      <c r="D172" s="4">
        <v>7</v>
      </c>
      <c r="E172" s="6" t="s">
        <v>14</v>
      </c>
      <c r="F172" s="19"/>
      <c r="G172" s="27">
        <f t="shared" si="11"/>
        <v>0</v>
      </c>
    </row>
    <row r="173" spans="1:7" s="20" customFormat="1" x14ac:dyDescent="0.25">
      <c r="A173" s="3">
        <v>133</v>
      </c>
      <c r="B173" s="41" t="s">
        <v>95</v>
      </c>
      <c r="C173" s="42" t="s">
        <v>56</v>
      </c>
      <c r="D173" s="4">
        <v>7</v>
      </c>
      <c r="E173" s="6" t="s">
        <v>14</v>
      </c>
      <c r="F173" s="19"/>
      <c r="G173" s="27">
        <f t="shared" si="11"/>
        <v>0</v>
      </c>
    </row>
    <row r="174" spans="1:7" s="20" customFormat="1" x14ac:dyDescent="0.25">
      <c r="A174" s="3">
        <v>134</v>
      </c>
      <c r="B174" s="41" t="s">
        <v>95</v>
      </c>
      <c r="C174" s="43" t="s">
        <v>57</v>
      </c>
      <c r="D174" s="4">
        <v>7</v>
      </c>
      <c r="E174" s="6" t="s">
        <v>14</v>
      </c>
      <c r="F174" s="19"/>
      <c r="G174" s="27">
        <f t="shared" si="11"/>
        <v>0</v>
      </c>
    </row>
    <row r="175" spans="1:7" s="20" customFormat="1" x14ac:dyDescent="0.25">
      <c r="A175" s="3">
        <v>135</v>
      </c>
      <c r="B175" s="41" t="s">
        <v>96</v>
      </c>
      <c r="C175" s="42" t="s">
        <v>58</v>
      </c>
      <c r="D175" s="4">
        <v>7</v>
      </c>
      <c r="E175" s="6" t="s">
        <v>14</v>
      </c>
      <c r="F175" s="19"/>
      <c r="G175" s="27">
        <f t="shared" si="11"/>
        <v>0</v>
      </c>
    </row>
    <row r="176" spans="1:7" s="20" customFormat="1" x14ac:dyDescent="0.25">
      <c r="A176" s="3">
        <v>136</v>
      </c>
      <c r="B176" s="41" t="s">
        <v>97</v>
      </c>
      <c r="C176" s="42" t="s">
        <v>59</v>
      </c>
      <c r="D176" s="4">
        <v>1</v>
      </c>
      <c r="E176" s="6" t="s">
        <v>29</v>
      </c>
      <c r="F176" s="19"/>
      <c r="G176" s="27">
        <f t="shared" si="11"/>
        <v>0</v>
      </c>
    </row>
    <row r="177" spans="1:7" s="20" customFormat="1" ht="15.75" thickBot="1" x14ac:dyDescent="0.3">
      <c r="A177" s="3">
        <v>137</v>
      </c>
      <c r="B177" s="41" t="s">
        <v>98</v>
      </c>
      <c r="C177" s="42" t="s">
        <v>59</v>
      </c>
      <c r="D177" s="4">
        <v>1</v>
      </c>
      <c r="E177" s="6" t="s">
        <v>29</v>
      </c>
      <c r="F177" s="19"/>
      <c r="G177" s="27">
        <f t="shared" si="11"/>
        <v>0</v>
      </c>
    </row>
    <row r="178" spans="1:7" s="11" customFormat="1" ht="17.25" thickTop="1" thickBot="1" x14ac:dyDescent="0.35">
      <c r="A178" s="50" t="s">
        <v>60</v>
      </c>
      <c r="B178" s="51"/>
      <c r="C178" s="51"/>
      <c r="D178" s="51"/>
      <c r="E178" s="51"/>
      <c r="F178" s="51"/>
      <c r="G178" s="9">
        <f>SUM(G169:G177)</f>
        <v>0</v>
      </c>
    </row>
    <row r="179" spans="1:7" s="11" customFormat="1" ht="17.25" thickTop="1" thickBot="1" x14ac:dyDescent="0.35">
      <c r="A179" s="65" t="s">
        <v>61</v>
      </c>
      <c r="B179" s="66"/>
      <c r="C179" s="66"/>
      <c r="D179" s="66"/>
      <c r="E179" s="66"/>
      <c r="F179" s="66"/>
      <c r="G179" s="9">
        <f>G178</f>
        <v>0</v>
      </c>
    </row>
    <row r="180" spans="1:7" s="11" customFormat="1" ht="16.5" thickBot="1" x14ac:dyDescent="0.35">
      <c r="A180" s="67"/>
      <c r="B180" s="67"/>
      <c r="C180" s="67"/>
      <c r="D180" s="67"/>
      <c r="E180" s="67"/>
      <c r="F180" s="67"/>
      <c r="G180" s="68"/>
    </row>
    <row r="181" spans="1:7" s="11" customFormat="1" ht="17.25" thickTop="1" thickBot="1" x14ac:dyDescent="0.35">
      <c r="A181" s="69" t="s">
        <v>62</v>
      </c>
      <c r="B181" s="70"/>
      <c r="C181" s="70"/>
      <c r="D181" s="70"/>
      <c r="E181" s="70"/>
      <c r="F181" s="70"/>
      <c r="G181" s="9">
        <f>SUM(G41,G48,G101,G154,G166,G179)</f>
        <v>0</v>
      </c>
    </row>
    <row r="182" spans="1:7" s="11" customFormat="1" ht="16.5" thickTop="1" x14ac:dyDescent="0.3">
      <c r="A182" s="58"/>
      <c r="B182" s="58"/>
      <c r="C182" s="58"/>
      <c r="D182" s="58"/>
      <c r="E182" s="58"/>
      <c r="F182" s="58"/>
      <c r="G182" s="59"/>
    </row>
    <row r="183" spans="1:7" s="11" customFormat="1" ht="15.75" x14ac:dyDescent="0.3">
      <c r="A183" s="60" t="s">
        <v>63</v>
      </c>
      <c r="B183" s="60"/>
      <c r="C183" s="60"/>
      <c r="D183" s="60"/>
      <c r="E183" s="60"/>
      <c r="F183" s="60"/>
      <c r="G183" s="60"/>
    </row>
    <row r="184" spans="1:7" s="11" customFormat="1" ht="15.75" x14ac:dyDescent="0.3">
      <c r="G184" s="8"/>
    </row>
    <row r="185" spans="1:7" s="11" customFormat="1" ht="15.75" x14ac:dyDescent="0.3">
      <c r="A185" s="61" t="s">
        <v>64</v>
      </c>
      <c r="B185" s="61"/>
      <c r="C185" s="61"/>
      <c r="D185" s="61"/>
      <c r="E185" s="61"/>
      <c r="F185" s="61"/>
      <c r="G185" s="61"/>
    </row>
    <row r="186" spans="1:7" ht="15.75" x14ac:dyDescent="0.3">
      <c r="F186" s="11"/>
      <c r="G186" s="44"/>
    </row>
    <row r="187" spans="1:7" ht="15.75" x14ac:dyDescent="0.3">
      <c r="F187" s="11"/>
      <c r="G187" s="8"/>
    </row>
    <row r="188" spans="1:7" ht="15.75" x14ac:dyDescent="0.3">
      <c r="F188" s="11"/>
      <c r="G188" s="8"/>
    </row>
    <row r="189" spans="1:7" ht="15.75" x14ac:dyDescent="0.3">
      <c r="F189" s="11"/>
      <c r="G189" s="8"/>
    </row>
  </sheetData>
  <mergeCells count="40">
    <mergeCell ref="A185:G185"/>
    <mergeCell ref="A178:F178"/>
    <mergeCell ref="A179:F179"/>
    <mergeCell ref="A180:G180"/>
    <mergeCell ref="A181:F181"/>
    <mergeCell ref="A182:G182"/>
    <mergeCell ref="A183:G183"/>
    <mergeCell ref="A167:G167"/>
    <mergeCell ref="A102:G102"/>
    <mergeCell ref="B115:F115"/>
    <mergeCell ref="A127:F127"/>
    <mergeCell ref="A130:F130"/>
    <mergeCell ref="A142:F142"/>
    <mergeCell ref="A153:F153"/>
    <mergeCell ref="A154:F154"/>
    <mergeCell ref="A155:G155"/>
    <mergeCell ref="A165:F165"/>
    <mergeCell ref="A166:F166"/>
    <mergeCell ref="A101:F101"/>
    <mergeCell ref="A36:F36"/>
    <mergeCell ref="A40:F40"/>
    <mergeCell ref="A41:F41"/>
    <mergeCell ref="A42:G42"/>
    <mergeCell ref="A47:F47"/>
    <mergeCell ref="A48:F48"/>
    <mergeCell ref="A49:G49"/>
    <mergeCell ref="A76:F76"/>
    <mergeCell ref="A78:F78"/>
    <mergeCell ref="A90:F90"/>
    <mergeCell ref="A100:F100"/>
    <mergeCell ref="A34:F34"/>
    <mergeCell ref="A1:B1"/>
    <mergeCell ref="D1:G1"/>
    <mergeCell ref="A2:B2"/>
    <mergeCell ref="D2:G2"/>
    <mergeCell ref="D3:G3"/>
    <mergeCell ref="D4:G4"/>
    <mergeCell ref="A6:G6"/>
    <mergeCell ref="A17:F17"/>
    <mergeCell ref="A19:F19"/>
  </mergeCells>
  <pageMargins left="0.7" right="0.7" top="0.75" bottom="0.75" header="0.3" footer="0.3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620C-144B-47C6-AA62-6665A36B0BFB}">
  <dimension ref="A1:G189"/>
  <sheetViews>
    <sheetView zoomScale="84" zoomScaleNormal="84" workbookViewId="0">
      <pane ySplit="5" topLeftCell="A6" activePane="bottomLeft" state="frozen"/>
      <selection pane="bottomLeft" sqref="A1:B1"/>
    </sheetView>
  </sheetViews>
  <sheetFormatPr defaultRowHeight="15" x14ac:dyDescent="0.25"/>
  <cols>
    <col min="2" max="2" width="111.28515625" customWidth="1"/>
    <col min="3" max="3" width="47.5703125" bestFit="1" customWidth="1"/>
    <col min="4" max="4" width="11.5703125" bestFit="1" customWidth="1"/>
    <col min="5" max="5" width="6.42578125" bestFit="1" customWidth="1"/>
    <col min="6" max="6" width="14.28515625" bestFit="1" customWidth="1"/>
    <col min="7" max="7" width="18.28515625" bestFit="1" customWidth="1"/>
  </cols>
  <sheetData>
    <row r="1" spans="1:7" s="11" customFormat="1" ht="15.75" x14ac:dyDescent="0.3">
      <c r="A1" s="73" t="s">
        <v>104</v>
      </c>
      <c r="B1" s="74"/>
      <c r="C1" s="10" t="s">
        <v>0</v>
      </c>
      <c r="D1" s="75"/>
      <c r="E1" s="75"/>
      <c r="F1" s="75"/>
      <c r="G1" s="76"/>
    </row>
    <row r="2" spans="1:7" s="11" customFormat="1" ht="15.75" x14ac:dyDescent="0.3">
      <c r="A2" s="80" t="s">
        <v>2</v>
      </c>
      <c r="B2" s="81"/>
      <c r="C2" s="12" t="s">
        <v>1</v>
      </c>
      <c r="D2" s="77"/>
      <c r="E2" s="78"/>
      <c r="F2" s="78"/>
      <c r="G2" s="79"/>
    </row>
    <row r="3" spans="1:7" s="11" customFormat="1" ht="15.75" x14ac:dyDescent="0.3">
      <c r="A3" s="45"/>
      <c r="B3" s="46" t="s">
        <v>74</v>
      </c>
      <c r="C3" s="12" t="s">
        <v>3</v>
      </c>
      <c r="D3" s="78"/>
      <c r="E3" s="78"/>
      <c r="F3" s="78"/>
      <c r="G3" s="79"/>
    </row>
    <row r="4" spans="1:7" s="11" customFormat="1" ht="16.5" thickBot="1" x14ac:dyDescent="0.35">
      <c r="A4" s="49"/>
      <c r="B4" s="47" t="s">
        <v>108</v>
      </c>
      <c r="C4" s="14" t="s">
        <v>4</v>
      </c>
      <c r="D4" s="82"/>
      <c r="E4" s="82"/>
      <c r="F4" s="82"/>
      <c r="G4" s="83"/>
    </row>
    <row r="5" spans="1:7" s="13" customFormat="1" ht="15.75" x14ac:dyDescent="0.3">
      <c r="A5" s="15" t="s">
        <v>6</v>
      </c>
      <c r="B5" s="1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2" t="s">
        <v>12</v>
      </c>
    </row>
    <row r="6" spans="1:7" s="11" customFormat="1" ht="15.75" x14ac:dyDescent="0.3">
      <c r="A6" s="84" t="s">
        <v>5</v>
      </c>
      <c r="B6" s="85"/>
      <c r="C6" s="85"/>
      <c r="D6" s="85"/>
      <c r="E6" s="85"/>
      <c r="F6" s="85"/>
      <c r="G6" s="57"/>
    </row>
    <row r="7" spans="1:7" s="20" customFormat="1" x14ac:dyDescent="0.25">
      <c r="A7" s="3">
        <v>1</v>
      </c>
      <c r="B7" s="17" t="s">
        <v>75</v>
      </c>
      <c r="C7" s="17" t="s">
        <v>13</v>
      </c>
      <c r="D7" s="4">
        <v>1</v>
      </c>
      <c r="E7" s="18" t="s">
        <v>14</v>
      </c>
      <c r="F7" s="19"/>
      <c r="G7" s="27">
        <f>D7*F7</f>
        <v>0</v>
      </c>
    </row>
    <row r="8" spans="1:7" s="21" customFormat="1" ht="15.75" x14ac:dyDescent="0.3">
      <c r="A8" s="3">
        <v>2</v>
      </c>
      <c r="B8" s="17" t="s">
        <v>75</v>
      </c>
      <c r="C8" s="17" t="s">
        <v>15</v>
      </c>
      <c r="D8" s="4">
        <v>1</v>
      </c>
      <c r="E8" s="18" t="s">
        <v>14</v>
      </c>
      <c r="F8" s="19"/>
      <c r="G8" s="27">
        <f t="shared" ref="G8:G39" si="0">D8*F8</f>
        <v>0</v>
      </c>
    </row>
    <row r="9" spans="1:7" s="20" customFormat="1" x14ac:dyDescent="0.25">
      <c r="A9" s="3">
        <v>3</v>
      </c>
      <c r="B9" s="17" t="s">
        <v>75</v>
      </c>
      <c r="C9" s="17" t="s">
        <v>16</v>
      </c>
      <c r="D9" s="4">
        <v>1</v>
      </c>
      <c r="E9" s="18" t="s">
        <v>14</v>
      </c>
      <c r="F9" s="19"/>
      <c r="G9" s="27">
        <f t="shared" si="0"/>
        <v>0</v>
      </c>
    </row>
    <row r="10" spans="1:7" s="21" customFormat="1" ht="15.75" x14ac:dyDescent="0.3">
      <c r="A10" s="3">
        <v>4</v>
      </c>
      <c r="B10" s="17" t="s">
        <v>75</v>
      </c>
      <c r="C10" s="17" t="s">
        <v>17</v>
      </c>
      <c r="D10" s="4">
        <v>1</v>
      </c>
      <c r="E10" s="18" t="s">
        <v>14</v>
      </c>
      <c r="F10" s="19"/>
      <c r="G10" s="27">
        <f t="shared" si="0"/>
        <v>0</v>
      </c>
    </row>
    <row r="11" spans="1:7" s="20" customFormat="1" x14ac:dyDescent="0.25">
      <c r="A11" s="3">
        <v>5</v>
      </c>
      <c r="B11" s="17" t="s">
        <v>75</v>
      </c>
      <c r="C11" s="17" t="s">
        <v>18</v>
      </c>
      <c r="D11" s="4">
        <v>1</v>
      </c>
      <c r="E11" s="18" t="s">
        <v>14</v>
      </c>
      <c r="F11" s="19"/>
      <c r="G11" s="27">
        <f t="shared" si="0"/>
        <v>0</v>
      </c>
    </row>
    <row r="12" spans="1:7" s="20" customFormat="1" x14ac:dyDescent="0.25">
      <c r="A12" s="3">
        <v>6</v>
      </c>
      <c r="B12" s="17" t="s">
        <v>75</v>
      </c>
      <c r="C12" s="17" t="s">
        <v>19</v>
      </c>
      <c r="D12" s="4">
        <v>1</v>
      </c>
      <c r="E12" s="18" t="s">
        <v>14</v>
      </c>
      <c r="F12" s="19"/>
      <c r="G12" s="27">
        <f t="shared" si="0"/>
        <v>0</v>
      </c>
    </row>
    <row r="13" spans="1:7" s="20" customFormat="1" x14ac:dyDescent="0.25">
      <c r="A13" s="3">
        <v>7</v>
      </c>
      <c r="B13" s="17" t="s">
        <v>75</v>
      </c>
      <c r="C13" s="17" t="s">
        <v>20</v>
      </c>
      <c r="D13" s="4">
        <v>1</v>
      </c>
      <c r="E13" s="18" t="s">
        <v>14</v>
      </c>
      <c r="F13" s="19"/>
      <c r="G13" s="27">
        <f t="shared" si="0"/>
        <v>0</v>
      </c>
    </row>
    <row r="14" spans="1:7" s="20" customFormat="1" x14ac:dyDescent="0.25">
      <c r="A14" s="3">
        <v>8</v>
      </c>
      <c r="B14" s="17" t="s">
        <v>75</v>
      </c>
      <c r="C14" s="22" t="s">
        <v>21</v>
      </c>
      <c r="D14" s="23">
        <v>1</v>
      </c>
      <c r="E14" s="24" t="s">
        <v>14</v>
      </c>
      <c r="F14" s="19"/>
      <c r="G14" s="27">
        <f t="shared" si="0"/>
        <v>0</v>
      </c>
    </row>
    <row r="15" spans="1:7" s="20" customFormat="1" x14ac:dyDescent="0.25">
      <c r="A15" s="3">
        <v>9</v>
      </c>
      <c r="B15" s="17" t="s">
        <v>75</v>
      </c>
      <c r="C15" s="17" t="s">
        <v>22</v>
      </c>
      <c r="D15" s="4">
        <v>1</v>
      </c>
      <c r="E15" s="18" t="s">
        <v>14</v>
      </c>
      <c r="F15" s="19"/>
      <c r="G15" s="27">
        <f t="shared" si="0"/>
        <v>0</v>
      </c>
    </row>
    <row r="16" spans="1:7" s="20" customFormat="1" ht="15.75" thickBot="1" x14ac:dyDescent="0.3">
      <c r="A16" s="3">
        <v>10</v>
      </c>
      <c r="B16" s="17" t="s">
        <v>75</v>
      </c>
      <c r="C16" s="22" t="s">
        <v>23</v>
      </c>
      <c r="D16" s="23">
        <v>1</v>
      </c>
      <c r="E16" s="24" t="s">
        <v>14</v>
      </c>
      <c r="F16" s="19"/>
      <c r="G16" s="27">
        <f t="shared" si="0"/>
        <v>0</v>
      </c>
    </row>
    <row r="17" spans="1:7" s="11" customFormat="1" ht="17.25" thickTop="1" thickBot="1" x14ac:dyDescent="0.35">
      <c r="A17" s="86" t="s">
        <v>70</v>
      </c>
      <c r="B17" s="87"/>
      <c r="C17" s="87"/>
      <c r="D17" s="87"/>
      <c r="E17" s="87"/>
      <c r="F17" s="87"/>
      <c r="G17" s="9">
        <f>SUM(G7:G16)</f>
        <v>0</v>
      </c>
    </row>
    <row r="18" spans="1:7" s="20" customFormat="1" ht="16.5" thickTop="1" thickBot="1" x14ac:dyDescent="0.3">
      <c r="A18" s="3">
        <v>11</v>
      </c>
      <c r="B18" s="17" t="s">
        <v>76</v>
      </c>
      <c r="C18" s="17" t="s">
        <v>25</v>
      </c>
      <c r="D18" s="4">
        <v>1</v>
      </c>
      <c r="E18" s="18" t="s">
        <v>14</v>
      </c>
      <c r="F18" s="25"/>
      <c r="G18" s="27">
        <f t="shared" si="0"/>
        <v>0</v>
      </c>
    </row>
    <row r="19" spans="1:7" s="11" customFormat="1" ht="17.25" thickTop="1" thickBot="1" x14ac:dyDescent="0.35">
      <c r="A19" s="86" t="s">
        <v>68</v>
      </c>
      <c r="B19" s="87"/>
      <c r="C19" s="87"/>
      <c r="D19" s="87"/>
      <c r="E19" s="87"/>
      <c r="F19" s="87"/>
      <c r="G19" s="9">
        <f>SUM(G18)</f>
        <v>0</v>
      </c>
    </row>
    <row r="20" spans="1:7" s="20" customFormat="1" ht="15.75" thickTop="1" x14ac:dyDescent="0.25">
      <c r="A20" s="3">
        <v>12</v>
      </c>
      <c r="B20" s="26" t="s">
        <v>77</v>
      </c>
      <c r="C20" s="26" t="s">
        <v>27</v>
      </c>
      <c r="D20" s="4">
        <v>1</v>
      </c>
      <c r="E20" s="18" t="s">
        <v>14</v>
      </c>
      <c r="F20" s="19"/>
      <c r="G20" s="27">
        <f t="shared" si="0"/>
        <v>0</v>
      </c>
    </row>
    <row r="21" spans="1:7" s="21" customFormat="1" ht="15.75" x14ac:dyDescent="0.3">
      <c r="A21" s="3">
        <v>13</v>
      </c>
      <c r="B21" s="26" t="s">
        <v>77</v>
      </c>
      <c r="C21" s="17" t="s">
        <v>28</v>
      </c>
      <c r="D21" s="4">
        <v>1</v>
      </c>
      <c r="E21" s="18" t="s">
        <v>14</v>
      </c>
      <c r="F21" s="19"/>
      <c r="G21" s="27">
        <f t="shared" si="0"/>
        <v>0</v>
      </c>
    </row>
    <row r="22" spans="1:7" s="20" customFormat="1" ht="15.75" thickBot="1" x14ac:dyDescent="0.3">
      <c r="A22" s="3">
        <v>14</v>
      </c>
      <c r="B22" s="26" t="s">
        <v>77</v>
      </c>
      <c r="C22" s="26" t="s">
        <v>65</v>
      </c>
      <c r="D22" s="4">
        <v>1</v>
      </c>
      <c r="E22" s="18" t="s">
        <v>14</v>
      </c>
      <c r="F22" s="19"/>
      <c r="G22" s="27">
        <f t="shared" si="0"/>
        <v>0</v>
      </c>
    </row>
    <row r="23" spans="1:7" s="20" customFormat="1" ht="17.25" thickTop="1" thickBot="1" x14ac:dyDescent="0.35">
      <c r="A23" s="3"/>
      <c r="B23" s="26"/>
      <c r="C23" s="28" t="s">
        <v>69</v>
      </c>
      <c r="D23" s="4"/>
      <c r="E23" s="18"/>
      <c r="F23" s="29"/>
      <c r="G23" s="9">
        <f>SUM(G20:G22)</f>
        <v>0</v>
      </c>
    </row>
    <row r="24" spans="1:7" s="20" customFormat="1" ht="15.75" thickTop="1" x14ac:dyDescent="0.25">
      <c r="A24" s="3">
        <v>15</v>
      </c>
      <c r="B24" s="17" t="s">
        <v>78</v>
      </c>
      <c r="C24" s="17" t="s">
        <v>13</v>
      </c>
      <c r="D24" s="4">
        <v>6</v>
      </c>
      <c r="E24" s="18" t="s">
        <v>14</v>
      </c>
      <c r="F24" s="19"/>
      <c r="G24" s="27">
        <f t="shared" si="0"/>
        <v>0</v>
      </c>
    </row>
    <row r="25" spans="1:7" s="21" customFormat="1" ht="15.75" x14ac:dyDescent="0.3">
      <c r="A25" s="3">
        <v>16</v>
      </c>
      <c r="B25" s="17" t="s">
        <v>78</v>
      </c>
      <c r="C25" s="17" t="s">
        <v>15</v>
      </c>
      <c r="D25" s="4">
        <v>6</v>
      </c>
      <c r="E25" s="18" t="s">
        <v>14</v>
      </c>
      <c r="F25" s="19"/>
      <c r="G25" s="27">
        <f t="shared" si="0"/>
        <v>0</v>
      </c>
    </row>
    <row r="26" spans="1:7" s="20" customFormat="1" x14ac:dyDescent="0.25">
      <c r="A26" s="3">
        <v>17</v>
      </c>
      <c r="B26" s="17" t="s">
        <v>78</v>
      </c>
      <c r="C26" s="17" t="s">
        <v>16</v>
      </c>
      <c r="D26" s="4">
        <v>6</v>
      </c>
      <c r="E26" s="18" t="s">
        <v>14</v>
      </c>
      <c r="F26" s="19"/>
      <c r="G26" s="27">
        <f t="shared" si="0"/>
        <v>0</v>
      </c>
    </row>
    <row r="27" spans="1:7" s="21" customFormat="1" ht="15.75" x14ac:dyDescent="0.3">
      <c r="A27" s="3">
        <v>18</v>
      </c>
      <c r="B27" s="17" t="s">
        <v>78</v>
      </c>
      <c r="C27" s="17" t="s">
        <v>17</v>
      </c>
      <c r="D27" s="4">
        <v>6</v>
      </c>
      <c r="E27" s="18" t="s">
        <v>14</v>
      </c>
      <c r="F27" s="19"/>
      <c r="G27" s="27">
        <f t="shared" si="0"/>
        <v>0</v>
      </c>
    </row>
    <row r="28" spans="1:7" s="20" customFormat="1" x14ac:dyDescent="0.25">
      <c r="A28" s="3">
        <v>19</v>
      </c>
      <c r="B28" s="17" t="s">
        <v>78</v>
      </c>
      <c r="C28" s="17" t="s">
        <v>18</v>
      </c>
      <c r="D28" s="4">
        <v>6</v>
      </c>
      <c r="E28" s="18" t="s">
        <v>14</v>
      </c>
      <c r="F28" s="19"/>
      <c r="G28" s="27">
        <f t="shared" si="0"/>
        <v>0</v>
      </c>
    </row>
    <row r="29" spans="1:7" s="20" customFormat="1" x14ac:dyDescent="0.25">
      <c r="A29" s="3">
        <v>20</v>
      </c>
      <c r="B29" s="17" t="s">
        <v>78</v>
      </c>
      <c r="C29" s="17" t="s">
        <v>19</v>
      </c>
      <c r="D29" s="4">
        <v>6</v>
      </c>
      <c r="E29" s="18" t="s">
        <v>14</v>
      </c>
      <c r="F29" s="19"/>
      <c r="G29" s="27">
        <f t="shared" si="0"/>
        <v>0</v>
      </c>
    </row>
    <row r="30" spans="1:7" s="20" customFormat="1" x14ac:dyDescent="0.25">
      <c r="A30" s="3">
        <v>21</v>
      </c>
      <c r="B30" s="17" t="s">
        <v>78</v>
      </c>
      <c r="C30" s="17" t="s">
        <v>20</v>
      </c>
      <c r="D30" s="4">
        <v>6</v>
      </c>
      <c r="E30" s="18" t="s">
        <v>14</v>
      </c>
      <c r="F30" s="19"/>
      <c r="G30" s="27">
        <f t="shared" si="0"/>
        <v>0</v>
      </c>
    </row>
    <row r="31" spans="1:7" s="20" customFormat="1" x14ac:dyDescent="0.25">
      <c r="A31" s="3">
        <v>22</v>
      </c>
      <c r="B31" s="17" t="s">
        <v>78</v>
      </c>
      <c r="C31" s="22" t="s">
        <v>21</v>
      </c>
      <c r="D31" s="23">
        <v>6</v>
      </c>
      <c r="E31" s="24" t="s">
        <v>14</v>
      </c>
      <c r="F31" s="19"/>
      <c r="G31" s="27">
        <f t="shared" si="0"/>
        <v>0</v>
      </c>
    </row>
    <row r="32" spans="1:7" s="20" customFormat="1" x14ac:dyDescent="0.25">
      <c r="A32" s="3">
        <v>23</v>
      </c>
      <c r="B32" s="17" t="s">
        <v>78</v>
      </c>
      <c r="C32" s="17" t="s">
        <v>22</v>
      </c>
      <c r="D32" s="4">
        <v>6</v>
      </c>
      <c r="E32" s="18" t="s">
        <v>14</v>
      </c>
      <c r="F32" s="19"/>
      <c r="G32" s="27">
        <f t="shared" si="0"/>
        <v>0</v>
      </c>
    </row>
    <row r="33" spans="1:7" s="20" customFormat="1" ht="15.75" thickBot="1" x14ac:dyDescent="0.3">
      <c r="A33" s="3">
        <v>24</v>
      </c>
      <c r="B33" s="17" t="s">
        <v>78</v>
      </c>
      <c r="C33" s="22" t="s">
        <v>23</v>
      </c>
      <c r="D33" s="23">
        <v>6</v>
      </c>
      <c r="E33" s="24" t="s">
        <v>14</v>
      </c>
      <c r="F33" s="19"/>
      <c r="G33" s="27">
        <f t="shared" si="0"/>
        <v>0</v>
      </c>
    </row>
    <row r="34" spans="1:7" s="11" customFormat="1" ht="17.25" thickTop="1" thickBot="1" x14ac:dyDescent="0.35">
      <c r="A34" s="86" t="s">
        <v>24</v>
      </c>
      <c r="B34" s="87"/>
      <c r="C34" s="87"/>
      <c r="D34" s="87"/>
      <c r="E34" s="87"/>
      <c r="F34" s="87"/>
      <c r="G34" s="9">
        <f>SUM(G24:G33)</f>
        <v>0</v>
      </c>
    </row>
    <row r="35" spans="1:7" s="20" customFormat="1" ht="16.5" thickTop="1" thickBot="1" x14ac:dyDescent="0.3">
      <c r="A35" s="3">
        <v>25</v>
      </c>
      <c r="B35" s="17" t="s">
        <v>79</v>
      </c>
      <c r="C35" s="17" t="s">
        <v>25</v>
      </c>
      <c r="D35" s="4">
        <v>7</v>
      </c>
      <c r="E35" s="18" t="s">
        <v>14</v>
      </c>
      <c r="F35" s="25"/>
      <c r="G35" s="27">
        <f t="shared" si="0"/>
        <v>0</v>
      </c>
    </row>
    <row r="36" spans="1:7" s="11" customFormat="1" ht="17.25" thickTop="1" thickBot="1" x14ac:dyDescent="0.35">
      <c r="A36" s="86" t="s">
        <v>26</v>
      </c>
      <c r="B36" s="87"/>
      <c r="C36" s="87"/>
      <c r="D36" s="87"/>
      <c r="E36" s="87"/>
      <c r="F36" s="87"/>
      <c r="G36" s="9">
        <f>SUM(G35)</f>
        <v>0</v>
      </c>
    </row>
    <row r="37" spans="1:7" s="20" customFormat="1" ht="15.75" thickTop="1" x14ac:dyDescent="0.25">
      <c r="A37" s="3">
        <v>26</v>
      </c>
      <c r="B37" s="26" t="s">
        <v>80</v>
      </c>
      <c r="C37" s="26" t="s">
        <v>27</v>
      </c>
      <c r="D37" s="4">
        <v>6</v>
      </c>
      <c r="E37" s="18" t="s">
        <v>14</v>
      </c>
      <c r="F37" s="19"/>
      <c r="G37" s="27">
        <f t="shared" si="0"/>
        <v>0</v>
      </c>
    </row>
    <row r="38" spans="1:7" s="21" customFormat="1" ht="15.75" x14ac:dyDescent="0.3">
      <c r="A38" s="3">
        <v>27</v>
      </c>
      <c r="B38" s="26" t="s">
        <v>80</v>
      </c>
      <c r="C38" s="17" t="s">
        <v>28</v>
      </c>
      <c r="D38" s="4">
        <v>6</v>
      </c>
      <c r="E38" s="18" t="s">
        <v>14</v>
      </c>
      <c r="F38" s="19"/>
      <c r="G38" s="27">
        <f t="shared" si="0"/>
        <v>0</v>
      </c>
    </row>
    <row r="39" spans="1:7" s="20" customFormat="1" ht="15.75" thickBot="1" x14ac:dyDescent="0.3">
      <c r="A39" s="3">
        <v>28</v>
      </c>
      <c r="B39" s="26" t="s">
        <v>80</v>
      </c>
      <c r="C39" s="26" t="s">
        <v>65</v>
      </c>
      <c r="D39" s="4">
        <v>6</v>
      </c>
      <c r="E39" s="18" t="s">
        <v>14</v>
      </c>
      <c r="F39" s="19"/>
      <c r="G39" s="27">
        <f t="shared" si="0"/>
        <v>0</v>
      </c>
    </row>
    <row r="40" spans="1:7" s="11" customFormat="1" ht="17.25" thickTop="1" thickBot="1" x14ac:dyDescent="0.35">
      <c r="A40" s="86" t="s">
        <v>30</v>
      </c>
      <c r="B40" s="87"/>
      <c r="C40" s="87"/>
      <c r="D40" s="87"/>
      <c r="E40" s="87"/>
      <c r="F40" s="87"/>
      <c r="G40" s="9">
        <f>SUM(G37:G39)</f>
        <v>0</v>
      </c>
    </row>
    <row r="41" spans="1:7" s="11" customFormat="1" ht="17.25" thickTop="1" thickBot="1" x14ac:dyDescent="0.35">
      <c r="A41" s="71" t="s">
        <v>31</v>
      </c>
      <c r="B41" s="72"/>
      <c r="C41" s="72"/>
      <c r="D41" s="72"/>
      <c r="E41" s="72"/>
      <c r="F41" s="72"/>
      <c r="G41" s="9">
        <f>SUM(G17,G19,G23,G34,G36,G40)</f>
        <v>0</v>
      </c>
    </row>
    <row r="42" spans="1:7" s="11" customFormat="1" ht="16.5" thickTop="1" x14ac:dyDescent="0.3">
      <c r="A42" s="88" t="s">
        <v>32</v>
      </c>
      <c r="B42" s="89"/>
      <c r="C42" s="89"/>
      <c r="D42" s="89"/>
      <c r="E42" s="89"/>
      <c r="F42" s="89"/>
      <c r="G42" s="90"/>
    </row>
    <row r="43" spans="1:7" s="13" customFormat="1" ht="15.75" x14ac:dyDescent="0.3">
      <c r="A43" s="15" t="s">
        <v>6</v>
      </c>
      <c r="B43" s="1" t="s">
        <v>7</v>
      </c>
      <c r="C43" s="16" t="s">
        <v>8</v>
      </c>
      <c r="D43" s="16" t="s">
        <v>9</v>
      </c>
      <c r="E43" s="16" t="s">
        <v>10</v>
      </c>
      <c r="F43" s="16" t="s">
        <v>11</v>
      </c>
      <c r="G43" s="5" t="s">
        <v>12</v>
      </c>
    </row>
    <row r="44" spans="1:7" s="20" customFormat="1" x14ac:dyDescent="0.25">
      <c r="A44" s="3">
        <v>29</v>
      </c>
      <c r="B44" s="26" t="s">
        <v>81</v>
      </c>
      <c r="C44" s="17" t="s">
        <v>33</v>
      </c>
      <c r="D44" s="4">
        <v>1</v>
      </c>
      <c r="E44" s="18" t="s">
        <v>14</v>
      </c>
      <c r="F44" s="29"/>
      <c r="G44" s="27">
        <f t="shared" ref="G44:G46" si="1">D44*F44</f>
        <v>0</v>
      </c>
    </row>
    <row r="45" spans="1:7" s="20" customFormat="1" x14ac:dyDescent="0.25">
      <c r="A45" s="3">
        <v>30</v>
      </c>
      <c r="B45" s="26" t="s">
        <v>82</v>
      </c>
      <c r="C45" s="17" t="s">
        <v>33</v>
      </c>
      <c r="D45" s="4">
        <v>6</v>
      </c>
      <c r="E45" s="18" t="s">
        <v>14</v>
      </c>
      <c r="F45" s="29"/>
      <c r="G45" s="27">
        <f t="shared" si="1"/>
        <v>0</v>
      </c>
    </row>
    <row r="46" spans="1:7" s="20" customFormat="1" ht="15.75" thickBot="1" x14ac:dyDescent="0.3">
      <c r="A46" s="3">
        <v>31</v>
      </c>
      <c r="B46" s="26" t="s">
        <v>83</v>
      </c>
      <c r="C46" s="17" t="s">
        <v>33</v>
      </c>
      <c r="D46" s="4">
        <v>5</v>
      </c>
      <c r="E46" s="18" t="s">
        <v>14</v>
      </c>
      <c r="F46" s="29"/>
      <c r="G46" s="27">
        <f t="shared" si="1"/>
        <v>0</v>
      </c>
    </row>
    <row r="47" spans="1:7" s="11" customFormat="1" ht="17.25" thickTop="1" thickBot="1" x14ac:dyDescent="0.35">
      <c r="A47" s="86" t="s">
        <v>34</v>
      </c>
      <c r="B47" s="87"/>
      <c r="C47" s="87"/>
      <c r="D47" s="87"/>
      <c r="E47" s="87"/>
      <c r="F47" s="87"/>
      <c r="G47" s="9">
        <f>SUM(G44:G46)</f>
        <v>0</v>
      </c>
    </row>
    <row r="48" spans="1:7" s="11" customFormat="1" ht="17.25" thickTop="1" thickBot="1" x14ac:dyDescent="0.35">
      <c r="A48" s="71" t="s">
        <v>35</v>
      </c>
      <c r="B48" s="72"/>
      <c r="C48" s="72"/>
      <c r="D48" s="72"/>
      <c r="E48" s="72"/>
      <c r="F48" s="72"/>
      <c r="G48" s="9">
        <f>G47</f>
        <v>0</v>
      </c>
    </row>
    <row r="49" spans="1:7" s="11" customFormat="1" ht="16.5" thickTop="1" x14ac:dyDescent="0.3">
      <c r="A49" s="55" t="s">
        <v>36</v>
      </c>
      <c r="B49" s="56"/>
      <c r="C49" s="56"/>
      <c r="D49" s="56"/>
      <c r="E49" s="56"/>
      <c r="F49" s="56"/>
      <c r="G49" s="57"/>
    </row>
    <row r="50" spans="1:7" s="13" customFormat="1" ht="15.75" x14ac:dyDescent="0.3">
      <c r="A50" s="15" t="s">
        <v>6</v>
      </c>
      <c r="B50" s="1" t="s">
        <v>7</v>
      </c>
      <c r="C50" s="16" t="s">
        <v>8</v>
      </c>
      <c r="D50" s="16" t="s">
        <v>9</v>
      </c>
      <c r="E50" s="16" t="s">
        <v>10</v>
      </c>
      <c r="F50" s="16" t="s">
        <v>11</v>
      </c>
      <c r="G50" s="2" t="s">
        <v>12</v>
      </c>
    </row>
    <row r="51" spans="1:7" s="30" customFormat="1" x14ac:dyDescent="0.25">
      <c r="A51" s="3">
        <v>32</v>
      </c>
      <c r="B51" s="17" t="s">
        <v>84</v>
      </c>
      <c r="C51" s="17" t="s">
        <v>13</v>
      </c>
      <c r="D51" s="4">
        <v>1</v>
      </c>
      <c r="E51" s="18" t="s">
        <v>14</v>
      </c>
      <c r="F51" s="19"/>
      <c r="G51" s="27">
        <f t="shared" ref="G51:G61" si="2">D51*F51</f>
        <v>0</v>
      </c>
    </row>
    <row r="52" spans="1:7" s="30" customFormat="1" x14ac:dyDescent="0.25">
      <c r="A52" s="3">
        <v>33</v>
      </c>
      <c r="B52" s="17" t="s">
        <v>84</v>
      </c>
      <c r="C52" s="17" t="s">
        <v>17</v>
      </c>
      <c r="D52" s="4">
        <v>1</v>
      </c>
      <c r="E52" s="18" t="s">
        <v>14</v>
      </c>
      <c r="F52" s="19"/>
      <c r="G52" s="27">
        <f t="shared" si="2"/>
        <v>0</v>
      </c>
    </row>
    <row r="53" spans="1:7" s="30" customFormat="1" x14ac:dyDescent="0.25">
      <c r="A53" s="3">
        <v>34</v>
      </c>
      <c r="B53" s="17" t="s">
        <v>84</v>
      </c>
      <c r="C53" s="31" t="s">
        <v>37</v>
      </c>
      <c r="D53" s="4">
        <v>1</v>
      </c>
      <c r="E53" s="24" t="s">
        <v>14</v>
      </c>
      <c r="F53" s="19"/>
      <c r="G53" s="27">
        <f t="shared" si="2"/>
        <v>0</v>
      </c>
    </row>
    <row r="54" spans="1:7" s="30" customFormat="1" x14ac:dyDescent="0.25">
      <c r="A54" s="3">
        <v>35</v>
      </c>
      <c r="B54" s="17" t="s">
        <v>84</v>
      </c>
      <c r="C54" s="17" t="s">
        <v>15</v>
      </c>
      <c r="D54" s="4">
        <v>1</v>
      </c>
      <c r="E54" s="18" t="s">
        <v>14</v>
      </c>
      <c r="F54" s="19"/>
      <c r="G54" s="27">
        <f t="shared" si="2"/>
        <v>0</v>
      </c>
    </row>
    <row r="55" spans="1:7" s="30" customFormat="1" x14ac:dyDescent="0.25">
      <c r="A55" s="3">
        <v>36</v>
      </c>
      <c r="B55" s="17" t="s">
        <v>84</v>
      </c>
      <c r="C55" s="17" t="s">
        <v>22</v>
      </c>
      <c r="D55" s="4">
        <v>1</v>
      </c>
      <c r="E55" s="18" t="s">
        <v>14</v>
      </c>
      <c r="F55" s="19"/>
      <c r="G55" s="27">
        <f t="shared" si="2"/>
        <v>0</v>
      </c>
    </row>
    <row r="56" spans="1:7" s="30" customFormat="1" x14ac:dyDescent="0.25">
      <c r="A56" s="3">
        <v>37</v>
      </c>
      <c r="B56" s="17" t="s">
        <v>84</v>
      </c>
      <c r="C56" s="17" t="s">
        <v>18</v>
      </c>
      <c r="D56" s="4">
        <v>1</v>
      </c>
      <c r="E56" s="18" t="s">
        <v>14</v>
      </c>
      <c r="F56" s="19"/>
      <c r="G56" s="27">
        <f t="shared" si="2"/>
        <v>0</v>
      </c>
    </row>
    <row r="57" spans="1:7" s="30" customFormat="1" x14ac:dyDescent="0.25">
      <c r="A57" s="3">
        <v>38</v>
      </c>
      <c r="B57" s="17" t="s">
        <v>84</v>
      </c>
      <c r="C57" s="17" t="s">
        <v>16</v>
      </c>
      <c r="D57" s="4">
        <v>1</v>
      </c>
      <c r="E57" s="18" t="s">
        <v>14</v>
      </c>
      <c r="F57" s="19"/>
      <c r="G57" s="27">
        <f t="shared" si="2"/>
        <v>0</v>
      </c>
    </row>
    <row r="58" spans="1:7" s="30" customFormat="1" x14ac:dyDescent="0.25">
      <c r="A58" s="3">
        <v>39</v>
      </c>
      <c r="B58" s="17" t="s">
        <v>84</v>
      </c>
      <c r="C58" s="32" t="s">
        <v>21</v>
      </c>
      <c r="D58" s="4">
        <v>1</v>
      </c>
      <c r="E58" s="18" t="s">
        <v>14</v>
      </c>
      <c r="F58" s="19"/>
      <c r="G58" s="27">
        <f t="shared" si="2"/>
        <v>0</v>
      </c>
    </row>
    <row r="59" spans="1:7" s="30" customFormat="1" x14ac:dyDescent="0.25">
      <c r="A59" s="3">
        <v>40</v>
      </c>
      <c r="B59" s="17" t="s">
        <v>84</v>
      </c>
      <c r="C59" s="17" t="s">
        <v>20</v>
      </c>
      <c r="D59" s="4">
        <v>1</v>
      </c>
      <c r="E59" s="18" t="s">
        <v>14</v>
      </c>
      <c r="F59" s="19"/>
      <c r="G59" s="27">
        <f t="shared" si="2"/>
        <v>0</v>
      </c>
    </row>
    <row r="60" spans="1:7" s="20" customFormat="1" x14ac:dyDescent="0.25">
      <c r="A60" s="3">
        <v>41</v>
      </c>
      <c r="B60" s="17" t="s">
        <v>84</v>
      </c>
      <c r="C60" s="17" t="s">
        <v>23</v>
      </c>
      <c r="D60" s="4">
        <v>1</v>
      </c>
      <c r="E60" s="18" t="s">
        <v>14</v>
      </c>
      <c r="F60" s="19"/>
      <c r="G60" s="27">
        <f t="shared" si="2"/>
        <v>0</v>
      </c>
    </row>
    <row r="61" spans="1:7" s="30" customFormat="1" ht="15.75" thickBot="1" x14ac:dyDescent="0.3">
      <c r="A61" s="3">
        <v>42</v>
      </c>
      <c r="B61" s="17" t="s">
        <v>84</v>
      </c>
      <c r="C61" s="17" t="s">
        <v>19</v>
      </c>
      <c r="D61" s="4">
        <v>1</v>
      </c>
      <c r="E61" s="18" t="s">
        <v>14</v>
      </c>
      <c r="F61" s="19"/>
      <c r="G61" s="27">
        <f t="shared" si="2"/>
        <v>0</v>
      </c>
    </row>
    <row r="62" spans="1:7" s="13" customFormat="1" ht="17.25" thickTop="1" thickBot="1" x14ac:dyDescent="0.35">
      <c r="A62" s="15"/>
      <c r="B62" s="1"/>
      <c r="C62" s="16"/>
      <c r="D62" s="13" t="s">
        <v>71</v>
      </c>
      <c r="E62" s="16"/>
      <c r="F62" s="33"/>
      <c r="G62" s="9">
        <f>SUM(G51:G61)</f>
        <v>0</v>
      </c>
    </row>
    <row r="63" spans="1:7" s="20" customFormat="1" ht="16.5" thickTop="1" thickBot="1" x14ac:dyDescent="0.3">
      <c r="A63" s="3">
        <v>43</v>
      </c>
      <c r="B63" s="17" t="s">
        <v>84</v>
      </c>
      <c r="C63" s="17" t="s">
        <v>39</v>
      </c>
      <c r="D63" s="4">
        <v>1</v>
      </c>
      <c r="E63" s="18" t="s">
        <v>14</v>
      </c>
      <c r="F63" s="19"/>
      <c r="G63" s="27">
        <f t="shared" ref="G63" si="3">D63*F63</f>
        <v>0</v>
      </c>
    </row>
    <row r="64" spans="1:7" s="13" customFormat="1" ht="17.25" thickTop="1" thickBot="1" x14ac:dyDescent="0.35">
      <c r="A64" s="15"/>
      <c r="B64" s="1"/>
      <c r="C64" s="16"/>
      <c r="D64" s="16" t="s">
        <v>71</v>
      </c>
      <c r="E64" s="16"/>
      <c r="F64" s="33"/>
      <c r="G64" s="9">
        <f>SUM(G63)</f>
        <v>0</v>
      </c>
    </row>
    <row r="65" spans="1:7" s="30" customFormat="1" ht="15.75" thickTop="1" x14ac:dyDescent="0.25">
      <c r="A65" s="3">
        <v>44</v>
      </c>
      <c r="B65" s="17" t="s">
        <v>85</v>
      </c>
      <c r="C65" s="17" t="s">
        <v>13</v>
      </c>
      <c r="D65" s="4">
        <v>6</v>
      </c>
      <c r="E65" s="18" t="s">
        <v>14</v>
      </c>
      <c r="F65" s="19"/>
      <c r="G65" s="27">
        <f t="shared" ref="G65:G75" si="4">D65*F65</f>
        <v>0</v>
      </c>
    </row>
    <row r="66" spans="1:7" s="30" customFormat="1" x14ac:dyDescent="0.25">
      <c r="A66" s="3">
        <v>45</v>
      </c>
      <c r="B66" s="17" t="s">
        <v>85</v>
      </c>
      <c r="C66" s="17" t="s">
        <v>17</v>
      </c>
      <c r="D66" s="4">
        <v>6</v>
      </c>
      <c r="E66" s="18" t="s">
        <v>14</v>
      </c>
      <c r="F66" s="19"/>
      <c r="G66" s="27">
        <f t="shared" si="4"/>
        <v>0</v>
      </c>
    </row>
    <row r="67" spans="1:7" s="30" customFormat="1" x14ac:dyDescent="0.25">
      <c r="A67" s="3">
        <v>46</v>
      </c>
      <c r="B67" s="17" t="s">
        <v>85</v>
      </c>
      <c r="C67" s="31" t="s">
        <v>37</v>
      </c>
      <c r="D67" s="4">
        <v>6</v>
      </c>
      <c r="E67" s="24" t="s">
        <v>14</v>
      </c>
      <c r="F67" s="19"/>
      <c r="G67" s="27">
        <f t="shared" si="4"/>
        <v>0</v>
      </c>
    </row>
    <row r="68" spans="1:7" s="30" customFormat="1" x14ac:dyDescent="0.25">
      <c r="A68" s="3">
        <v>47</v>
      </c>
      <c r="B68" s="17" t="s">
        <v>85</v>
      </c>
      <c r="C68" s="17" t="s">
        <v>15</v>
      </c>
      <c r="D68" s="4">
        <v>6</v>
      </c>
      <c r="E68" s="18" t="s">
        <v>14</v>
      </c>
      <c r="F68" s="19"/>
      <c r="G68" s="27">
        <f t="shared" si="4"/>
        <v>0</v>
      </c>
    </row>
    <row r="69" spans="1:7" s="30" customFormat="1" x14ac:dyDescent="0.25">
      <c r="A69" s="3">
        <v>48</v>
      </c>
      <c r="B69" s="17" t="s">
        <v>85</v>
      </c>
      <c r="C69" s="17" t="s">
        <v>22</v>
      </c>
      <c r="D69" s="4">
        <v>6</v>
      </c>
      <c r="E69" s="18" t="s">
        <v>14</v>
      </c>
      <c r="F69" s="19"/>
      <c r="G69" s="27">
        <f t="shared" si="4"/>
        <v>0</v>
      </c>
    </row>
    <row r="70" spans="1:7" s="30" customFormat="1" x14ac:dyDescent="0.25">
      <c r="A70" s="3">
        <v>49</v>
      </c>
      <c r="B70" s="17" t="s">
        <v>85</v>
      </c>
      <c r="C70" s="17" t="s">
        <v>18</v>
      </c>
      <c r="D70" s="4">
        <v>6</v>
      </c>
      <c r="E70" s="18" t="s">
        <v>14</v>
      </c>
      <c r="F70" s="19"/>
      <c r="G70" s="27">
        <f t="shared" si="4"/>
        <v>0</v>
      </c>
    </row>
    <row r="71" spans="1:7" s="30" customFormat="1" x14ac:dyDescent="0.25">
      <c r="A71" s="3">
        <v>50</v>
      </c>
      <c r="B71" s="17" t="s">
        <v>85</v>
      </c>
      <c r="C71" s="17" t="s">
        <v>16</v>
      </c>
      <c r="D71" s="4">
        <v>6</v>
      </c>
      <c r="E71" s="18" t="s">
        <v>14</v>
      </c>
      <c r="F71" s="19"/>
      <c r="G71" s="27">
        <f t="shared" si="4"/>
        <v>0</v>
      </c>
    </row>
    <row r="72" spans="1:7" s="30" customFormat="1" x14ac:dyDescent="0.25">
      <c r="A72" s="3">
        <v>51</v>
      </c>
      <c r="B72" s="17" t="s">
        <v>85</v>
      </c>
      <c r="C72" s="32" t="s">
        <v>21</v>
      </c>
      <c r="D72" s="4">
        <v>6</v>
      </c>
      <c r="E72" s="18" t="s">
        <v>14</v>
      </c>
      <c r="F72" s="19"/>
      <c r="G72" s="27">
        <f>D72*F72</f>
        <v>0</v>
      </c>
    </row>
    <row r="73" spans="1:7" s="30" customFormat="1" x14ac:dyDescent="0.25">
      <c r="A73" s="3">
        <v>52</v>
      </c>
      <c r="B73" s="17" t="s">
        <v>85</v>
      </c>
      <c r="C73" s="17" t="s">
        <v>20</v>
      </c>
      <c r="D73" s="4">
        <v>6</v>
      </c>
      <c r="E73" s="18" t="s">
        <v>14</v>
      </c>
      <c r="F73" s="19"/>
      <c r="G73" s="27">
        <f t="shared" si="4"/>
        <v>0</v>
      </c>
    </row>
    <row r="74" spans="1:7" s="20" customFormat="1" x14ac:dyDescent="0.25">
      <c r="A74" s="3">
        <v>53</v>
      </c>
      <c r="B74" s="17" t="s">
        <v>85</v>
      </c>
      <c r="C74" s="17" t="s">
        <v>23</v>
      </c>
      <c r="D74" s="4">
        <v>6</v>
      </c>
      <c r="E74" s="18" t="s">
        <v>14</v>
      </c>
      <c r="F74" s="19"/>
      <c r="G74" s="27">
        <f t="shared" si="4"/>
        <v>0</v>
      </c>
    </row>
    <row r="75" spans="1:7" s="30" customFormat="1" ht="15.75" thickBot="1" x14ac:dyDescent="0.3">
      <c r="A75" s="3">
        <v>54</v>
      </c>
      <c r="B75" s="17" t="s">
        <v>85</v>
      </c>
      <c r="C75" s="17" t="s">
        <v>19</v>
      </c>
      <c r="D75" s="4">
        <v>6</v>
      </c>
      <c r="E75" s="18" t="s">
        <v>14</v>
      </c>
      <c r="F75" s="19"/>
      <c r="G75" s="27">
        <f t="shared" si="4"/>
        <v>0</v>
      </c>
    </row>
    <row r="76" spans="1:7" s="11" customFormat="1" ht="17.25" thickTop="1" thickBot="1" x14ac:dyDescent="0.35">
      <c r="A76" s="50" t="s">
        <v>38</v>
      </c>
      <c r="B76" s="51"/>
      <c r="C76" s="51"/>
      <c r="D76" s="51"/>
      <c r="E76" s="51"/>
      <c r="F76" s="51"/>
      <c r="G76" s="9">
        <f>SUM(G65:G75)</f>
        <v>0</v>
      </c>
    </row>
    <row r="77" spans="1:7" s="20" customFormat="1" ht="16.5" thickTop="1" thickBot="1" x14ac:dyDescent="0.3">
      <c r="A77" s="3">
        <v>55</v>
      </c>
      <c r="B77" s="17" t="s">
        <v>85</v>
      </c>
      <c r="C77" s="17" t="s">
        <v>39</v>
      </c>
      <c r="D77" s="4">
        <v>6</v>
      </c>
      <c r="E77" s="18" t="s">
        <v>14</v>
      </c>
      <c r="F77" s="19"/>
      <c r="G77" s="27">
        <f>D77*F77</f>
        <v>0</v>
      </c>
    </row>
    <row r="78" spans="1:7" s="11" customFormat="1" ht="17.25" thickTop="1" thickBot="1" x14ac:dyDescent="0.35">
      <c r="A78" s="50" t="s">
        <v>38</v>
      </c>
      <c r="B78" s="51"/>
      <c r="C78" s="51"/>
      <c r="D78" s="51"/>
      <c r="E78" s="51"/>
      <c r="F78" s="51"/>
      <c r="G78" s="9">
        <f>SUM(G77)</f>
        <v>0</v>
      </c>
    </row>
    <row r="79" spans="1:7" s="20" customFormat="1" ht="15.75" thickTop="1" x14ac:dyDescent="0.25">
      <c r="A79" s="3">
        <v>56</v>
      </c>
      <c r="B79" s="17" t="s">
        <v>86</v>
      </c>
      <c r="C79" s="17" t="s">
        <v>13</v>
      </c>
      <c r="D79" s="4">
        <v>1</v>
      </c>
      <c r="E79" s="18" t="s">
        <v>14</v>
      </c>
      <c r="F79" s="19"/>
      <c r="G79" s="27">
        <f t="shared" ref="G79:G89" si="5">D79*F79</f>
        <v>0</v>
      </c>
    </row>
    <row r="80" spans="1:7" s="20" customFormat="1" x14ac:dyDescent="0.25">
      <c r="A80" s="3">
        <v>57</v>
      </c>
      <c r="B80" s="17" t="s">
        <v>86</v>
      </c>
      <c r="C80" s="17" t="s">
        <v>17</v>
      </c>
      <c r="D80" s="4">
        <v>1</v>
      </c>
      <c r="E80" s="18" t="s">
        <v>14</v>
      </c>
      <c r="F80" s="19"/>
      <c r="G80" s="27">
        <f t="shared" si="5"/>
        <v>0</v>
      </c>
    </row>
    <row r="81" spans="1:7" s="20" customFormat="1" x14ac:dyDescent="0.25">
      <c r="A81" s="3">
        <v>58</v>
      </c>
      <c r="B81" s="17" t="s">
        <v>86</v>
      </c>
      <c r="C81" s="17" t="s">
        <v>37</v>
      </c>
      <c r="D81" s="4">
        <v>1</v>
      </c>
      <c r="E81" s="18" t="s">
        <v>14</v>
      </c>
      <c r="F81" s="19"/>
      <c r="G81" s="27">
        <f t="shared" si="5"/>
        <v>0</v>
      </c>
    </row>
    <row r="82" spans="1:7" s="20" customFormat="1" x14ac:dyDescent="0.25">
      <c r="A82" s="3">
        <v>59</v>
      </c>
      <c r="B82" s="17" t="s">
        <v>86</v>
      </c>
      <c r="C82" s="17" t="s">
        <v>18</v>
      </c>
      <c r="D82" s="4">
        <v>1</v>
      </c>
      <c r="E82" s="18" t="s">
        <v>14</v>
      </c>
      <c r="F82" s="19"/>
      <c r="G82" s="27">
        <f t="shared" si="5"/>
        <v>0</v>
      </c>
    </row>
    <row r="83" spans="1:7" s="20" customFormat="1" x14ac:dyDescent="0.25">
      <c r="A83" s="3">
        <v>60</v>
      </c>
      <c r="B83" s="17" t="s">
        <v>86</v>
      </c>
      <c r="C83" s="17" t="s">
        <v>15</v>
      </c>
      <c r="D83" s="4">
        <v>1</v>
      </c>
      <c r="E83" s="18" t="s">
        <v>14</v>
      </c>
      <c r="F83" s="19"/>
      <c r="G83" s="27">
        <f t="shared" si="5"/>
        <v>0</v>
      </c>
    </row>
    <row r="84" spans="1:7" s="20" customFormat="1" x14ac:dyDescent="0.25">
      <c r="A84" s="3">
        <v>61</v>
      </c>
      <c r="B84" s="17" t="s">
        <v>86</v>
      </c>
      <c r="C84" s="17" t="s">
        <v>21</v>
      </c>
      <c r="D84" s="4">
        <v>1</v>
      </c>
      <c r="E84" s="18" t="s">
        <v>14</v>
      </c>
      <c r="F84" s="19"/>
      <c r="G84" s="27">
        <f t="shared" si="5"/>
        <v>0</v>
      </c>
    </row>
    <row r="85" spans="1:7" s="20" customFormat="1" x14ac:dyDescent="0.25">
      <c r="A85" s="3">
        <v>62</v>
      </c>
      <c r="B85" s="17" t="s">
        <v>86</v>
      </c>
      <c r="C85" s="17" t="s">
        <v>19</v>
      </c>
      <c r="D85" s="4">
        <v>1</v>
      </c>
      <c r="E85" s="18" t="s">
        <v>14</v>
      </c>
      <c r="F85" s="19"/>
      <c r="G85" s="27">
        <f t="shared" si="5"/>
        <v>0</v>
      </c>
    </row>
    <row r="86" spans="1:7" s="20" customFormat="1" x14ac:dyDescent="0.25">
      <c r="A86" s="3">
        <v>63</v>
      </c>
      <c r="B86" s="17" t="s">
        <v>86</v>
      </c>
      <c r="C86" s="17" t="s">
        <v>22</v>
      </c>
      <c r="D86" s="4">
        <v>1</v>
      </c>
      <c r="E86" s="18" t="s">
        <v>14</v>
      </c>
      <c r="F86" s="19"/>
      <c r="G86" s="27">
        <f t="shared" si="5"/>
        <v>0</v>
      </c>
    </row>
    <row r="87" spans="1:7" s="20" customFormat="1" x14ac:dyDescent="0.25">
      <c r="A87" s="3">
        <v>64</v>
      </c>
      <c r="B87" s="17" t="s">
        <v>86</v>
      </c>
      <c r="C87" s="17" t="s">
        <v>16</v>
      </c>
      <c r="D87" s="4">
        <v>1</v>
      </c>
      <c r="E87" s="18" t="s">
        <v>14</v>
      </c>
      <c r="F87" s="19"/>
      <c r="G87" s="27">
        <f t="shared" si="5"/>
        <v>0</v>
      </c>
    </row>
    <row r="88" spans="1:7" s="20" customFormat="1" x14ac:dyDescent="0.25">
      <c r="A88" s="3">
        <v>65</v>
      </c>
      <c r="B88" s="17" t="s">
        <v>86</v>
      </c>
      <c r="C88" s="17" t="s">
        <v>23</v>
      </c>
      <c r="D88" s="4">
        <v>1</v>
      </c>
      <c r="E88" s="18" t="s">
        <v>14</v>
      </c>
      <c r="F88" s="19"/>
      <c r="G88" s="27">
        <f t="shared" si="5"/>
        <v>0</v>
      </c>
    </row>
    <row r="89" spans="1:7" s="20" customFormat="1" ht="15.75" thickBot="1" x14ac:dyDescent="0.3">
      <c r="A89" s="3">
        <v>66</v>
      </c>
      <c r="B89" s="17" t="s">
        <v>86</v>
      </c>
      <c r="C89" s="31" t="s">
        <v>20</v>
      </c>
      <c r="D89" s="23">
        <v>1</v>
      </c>
      <c r="E89" s="24" t="s">
        <v>14</v>
      </c>
      <c r="F89" s="19"/>
      <c r="G89" s="27">
        <f t="shared" si="5"/>
        <v>0</v>
      </c>
    </row>
    <row r="90" spans="1:7" s="11" customFormat="1" ht="17.25" thickTop="1" thickBot="1" x14ac:dyDescent="0.35">
      <c r="A90" s="50" t="s">
        <v>40</v>
      </c>
      <c r="B90" s="51"/>
      <c r="C90" s="51"/>
      <c r="D90" s="51"/>
      <c r="E90" s="51"/>
      <c r="F90" s="51"/>
      <c r="G90" s="9">
        <f>SUM(G79:G89)</f>
        <v>0</v>
      </c>
    </row>
    <row r="91" spans="1:7" s="20" customFormat="1" ht="15.75" thickTop="1" x14ac:dyDescent="0.25">
      <c r="A91" s="3">
        <v>67</v>
      </c>
      <c r="B91" s="17" t="s">
        <v>103</v>
      </c>
      <c r="C91" s="17" t="s">
        <v>13</v>
      </c>
      <c r="D91" s="4">
        <v>4</v>
      </c>
      <c r="E91" s="18" t="s">
        <v>14</v>
      </c>
      <c r="F91" s="19"/>
      <c r="G91" s="27">
        <f t="shared" ref="G91:G99" si="6">D91*F91</f>
        <v>0</v>
      </c>
    </row>
    <row r="92" spans="1:7" s="20" customFormat="1" x14ac:dyDescent="0.25">
      <c r="A92" s="3">
        <v>68</v>
      </c>
      <c r="B92" s="17" t="s">
        <v>103</v>
      </c>
      <c r="C92" s="17" t="s">
        <v>66</v>
      </c>
      <c r="D92" s="4">
        <v>4</v>
      </c>
      <c r="E92" s="18" t="s">
        <v>14</v>
      </c>
      <c r="F92" s="19"/>
      <c r="G92" s="27">
        <f t="shared" si="6"/>
        <v>0</v>
      </c>
    </row>
    <row r="93" spans="1:7" s="20" customFormat="1" x14ac:dyDescent="0.25">
      <c r="A93" s="3">
        <v>69</v>
      </c>
      <c r="B93" s="17" t="s">
        <v>103</v>
      </c>
      <c r="C93" s="17" t="s">
        <v>37</v>
      </c>
      <c r="D93" s="4">
        <v>4</v>
      </c>
      <c r="E93" s="18" t="s">
        <v>14</v>
      </c>
      <c r="F93" s="19"/>
      <c r="G93" s="27">
        <f t="shared" si="6"/>
        <v>0</v>
      </c>
    </row>
    <row r="94" spans="1:7" s="20" customFormat="1" x14ac:dyDescent="0.25">
      <c r="A94" s="3">
        <v>70</v>
      </c>
      <c r="B94" s="17" t="s">
        <v>103</v>
      </c>
      <c r="C94" s="17" t="s">
        <v>15</v>
      </c>
      <c r="D94" s="4">
        <v>4</v>
      </c>
      <c r="E94" s="18" t="s">
        <v>14</v>
      </c>
      <c r="F94" s="19"/>
      <c r="G94" s="27">
        <f t="shared" si="6"/>
        <v>0</v>
      </c>
    </row>
    <row r="95" spans="1:7" s="20" customFormat="1" x14ac:dyDescent="0.25">
      <c r="A95" s="3">
        <v>71</v>
      </c>
      <c r="B95" s="17" t="s">
        <v>103</v>
      </c>
      <c r="C95" s="17" t="s">
        <v>18</v>
      </c>
      <c r="D95" s="4">
        <v>4</v>
      </c>
      <c r="E95" s="18" t="s">
        <v>14</v>
      </c>
      <c r="F95" s="19"/>
      <c r="G95" s="27">
        <f t="shared" si="6"/>
        <v>0</v>
      </c>
    </row>
    <row r="96" spans="1:7" s="20" customFormat="1" x14ac:dyDescent="0.25">
      <c r="A96" s="3">
        <v>72</v>
      </c>
      <c r="B96" s="17" t="s">
        <v>103</v>
      </c>
      <c r="C96" s="17" t="s">
        <v>67</v>
      </c>
      <c r="D96" s="4">
        <v>4</v>
      </c>
      <c r="E96" s="18" t="s">
        <v>14</v>
      </c>
      <c r="F96" s="19"/>
      <c r="G96" s="27">
        <f t="shared" si="6"/>
        <v>0</v>
      </c>
    </row>
    <row r="97" spans="1:7" s="20" customFormat="1" x14ac:dyDescent="0.25">
      <c r="A97" s="3">
        <v>73</v>
      </c>
      <c r="B97" s="17" t="s">
        <v>103</v>
      </c>
      <c r="C97" s="17" t="s">
        <v>21</v>
      </c>
      <c r="D97" s="4">
        <v>4</v>
      </c>
      <c r="E97" s="18" t="s">
        <v>14</v>
      </c>
      <c r="F97" s="19"/>
      <c r="G97" s="27">
        <f t="shared" si="6"/>
        <v>0</v>
      </c>
    </row>
    <row r="98" spans="1:7" s="20" customFormat="1" x14ac:dyDescent="0.25">
      <c r="A98" s="3">
        <v>74</v>
      </c>
      <c r="B98" s="17" t="s">
        <v>103</v>
      </c>
      <c r="C98" s="17" t="s">
        <v>19</v>
      </c>
      <c r="D98" s="4">
        <v>4</v>
      </c>
      <c r="E98" s="18" t="s">
        <v>14</v>
      </c>
      <c r="F98" s="19"/>
      <c r="G98" s="27">
        <f t="shared" si="6"/>
        <v>0</v>
      </c>
    </row>
    <row r="99" spans="1:7" s="20" customFormat="1" ht="15.75" thickBot="1" x14ac:dyDescent="0.3">
      <c r="A99" s="3">
        <v>75</v>
      </c>
      <c r="B99" s="17" t="s">
        <v>103</v>
      </c>
      <c r="C99" s="17" t="s">
        <v>23</v>
      </c>
      <c r="D99" s="4">
        <v>4</v>
      </c>
      <c r="E99" s="18" t="s">
        <v>14</v>
      </c>
      <c r="F99" s="19"/>
      <c r="G99" s="27">
        <f t="shared" si="6"/>
        <v>0</v>
      </c>
    </row>
    <row r="100" spans="1:7" s="11" customFormat="1" ht="17.25" thickTop="1" thickBot="1" x14ac:dyDescent="0.35">
      <c r="A100" s="50" t="s">
        <v>41</v>
      </c>
      <c r="B100" s="51"/>
      <c r="C100" s="51"/>
      <c r="D100" s="51"/>
      <c r="E100" s="51"/>
      <c r="F100" s="51"/>
      <c r="G100" s="9">
        <f>SUM(G91:G99)</f>
        <v>0</v>
      </c>
    </row>
    <row r="101" spans="1:7" s="11" customFormat="1" ht="17.25" thickTop="1" thickBot="1" x14ac:dyDescent="0.35">
      <c r="A101" s="71" t="s">
        <v>42</v>
      </c>
      <c r="B101" s="72"/>
      <c r="C101" s="72"/>
      <c r="D101" s="72"/>
      <c r="E101" s="72"/>
      <c r="F101" s="72"/>
      <c r="G101" s="9">
        <f>SUM(G62,G64,G76,G78,G90,G100)</f>
        <v>0</v>
      </c>
    </row>
    <row r="102" spans="1:7" s="11" customFormat="1" ht="16.5" thickTop="1" x14ac:dyDescent="0.3">
      <c r="A102" s="55" t="s">
        <v>43</v>
      </c>
      <c r="B102" s="56"/>
      <c r="C102" s="56"/>
      <c r="D102" s="56"/>
      <c r="E102" s="56"/>
      <c r="F102" s="56"/>
      <c r="G102" s="57"/>
    </row>
    <row r="103" spans="1:7" s="13" customFormat="1" ht="15.75" x14ac:dyDescent="0.3">
      <c r="A103" s="15" t="s">
        <v>6</v>
      </c>
      <c r="B103" s="1" t="s">
        <v>7</v>
      </c>
      <c r="C103" s="16" t="s">
        <v>8</v>
      </c>
      <c r="D103" s="16" t="s">
        <v>9</v>
      </c>
      <c r="E103" s="16" t="s">
        <v>10</v>
      </c>
      <c r="F103" s="16" t="s">
        <v>11</v>
      </c>
      <c r="G103" s="2" t="s">
        <v>12</v>
      </c>
    </row>
    <row r="104" spans="1:7" s="20" customFormat="1" x14ac:dyDescent="0.25">
      <c r="A104" s="3">
        <v>76</v>
      </c>
      <c r="B104" s="17" t="s">
        <v>88</v>
      </c>
      <c r="C104" s="17" t="s">
        <v>13</v>
      </c>
      <c r="D104" s="4">
        <v>1</v>
      </c>
      <c r="E104" s="18" t="s">
        <v>14</v>
      </c>
      <c r="F104" s="19"/>
      <c r="G104" s="27">
        <f t="shared" ref="G104:G114" si="7">D104*F104</f>
        <v>0</v>
      </c>
    </row>
    <row r="105" spans="1:7" s="30" customFormat="1" x14ac:dyDescent="0.25">
      <c r="A105" s="3">
        <v>77</v>
      </c>
      <c r="B105" s="17" t="s">
        <v>88</v>
      </c>
      <c r="C105" s="17" t="s">
        <v>17</v>
      </c>
      <c r="D105" s="4">
        <v>1</v>
      </c>
      <c r="E105" s="18" t="s">
        <v>14</v>
      </c>
      <c r="F105" s="19"/>
      <c r="G105" s="27">
        <f t="shared" si="7"/>
        <v>0</v>
      </c>
    </row>
    <row r="106" spans="1:7" s="30" customFormat="1" x14ac:dyDescent="0.25">
      <c r="A106" s="3">
        <v>78</v>
      </c>
      <c r="B106" s="17" t="s">
        <v>88</v>
      </c>
      <c r="C106" s="31" t="s">
        <v>37</v>
      </c>
      <c r="D106" s="23">
        <v>1</v>
      </c>
      <c r="E106" s="24" t="s">
        <v>14</v>
      </c>
      <c r="F106" s="19"/>
      <c r="G106" s="27">
        <f t="shared" si="7"/>
        <v>0</v>
      </c>
    </row>
    <row r="107" spans="1:7" s="30" customFormat="1" x14ac:dyDescent="0.25">
      <c r="A107" s="3">
        <v>79</v>
      </c>
      <c r="B107" s="17" t="s">
        <v>88</v>
      </c>
      <c r="C107" s="34" t="s">
        <v>15</v>
      </c>
      <c r="D107" s="4">
        <v>1</v>
      </c>
      <c r="E107" s="18" t="s">
        <v>14</v>
      </c>
      <c r="F107" s="19"/>
      <c r="G107" s="27">
        <f t="shared" si="7"/>
        <v>0</v>
      </c>
    </row>
    <row r="108" spans="1:7" s="30" customFormat="1" x14ac:dyDescent="0.25">
      <c r="A108" s="3">
        <v>80</v>
      </c>
      <c r="B108" s="17" t="s">
        <v>88</v>
      </c>
      <c r="C108" s="34" t="s">
        <v>22</v>
      </c>
      <c r="D108" s="4">
        <v>1</v>
      </c>
      <c r="E108" s="18" t="s">
        <v>14</v>
      </c>
      <c r="F108" s="19"/>
      <c r="G108" s="27">
        <f t="shared" si="7"/>
        <v>0</v>
      </c>
    </row>
    <row r="109" spans="1:7" s="30" customFormat="1" x14ac:dyDescent="0.25">
      <c r="A109" s="3">
        <v>81</v>
      </c>
      <c r="B109" s="17" t="s">
        <v>88</v>
      </c>
      <c r="C109" s="34" t="s">
        <v>18</v>
      </c>
      <c r="D109" s="4">
        <v>1</v>
      </c>
      <c r="E109" s="18" t="s">
        <v>14</v>
      </c>
      <c r="F109" s="19"/>
      <c r="G109" s="27">
        <f t="shared" si="7"/>
        <v>0</v>
      </c>
    </row>
    <row r="110" spans="1:7" s="30" customFormat="1" x14ac:dyDescent="0.25">
      <c r="A110" s="3">
        <v>82</v>
      </c>
      <c r="B110" s="17" t="s">
        <v>88</v>
      </c>
      <c r="C110" s="34" t="s">
        <v>16</v>
      </c>
      <c r="D110" s="4">
        <v>1</v>
      </c>
      <c r="E110" s="18" t="s">
        <v>14</v>
      </c>
      <c r="F110" s="19"/>
      <c r="G110" s="27">
        <f t="shared" si="7"/>
        <v>0</v>
      </c>
    </row>
    <row r="111" spans="1:7" s="30" customFormat="1" x14ac:dyDescent="0.25">
      <c r="A111" s="3">
        <v>83</v>
      </c>
      <c r="B111" s="17" t="s">
        <v>88</v>
      </c>
      <c r="C111" s="34" t="s">
        <v>19</v>
      </c>
      <c r="D111" s="4">
        <v>1</v>
      </c>
      <c r="E111" s="18" t="s">
        <v>14</v>
      </c>
      <c r="F111" s="19"/>
      <c r="G111" s="27">
        <f t="shared" si="7"/>
        <v>0</v>
      </c>
    </row>
    <row r="112" spans="1:7" s="30" customFormat="1" x14ac:dyDescent="0.25">
      <c r="A112" s="3">
        <v>84</v>
      </c>
      <c r="B112" s="17" t="s">
        <v>88</v>
      </c>
      <c r="C112" s="35" t="s">
        <v>21</v>
      </c>
      <c r="D112" s="4">
        <v>1</v>
      </c>
      <c r="E112" s="18" t="s">
        <v>14</v>
      </c>
      <c r="F112" s="19"/>
      <c r="G112" s="27">
        <f t="shared" si="7"/>
        <v>0</v>
      </c>
    </row>
    <row r="113" spans="1:7" s="36" customFormat="1" ht="15.75" x14ac:dyDescent="0.3">
      <c r="A113" s="3">
        <v>85</v>
      </c>
      <c r="B113" s="17" t="s">
        <v>88</v>
      </c>
      <c r="C113" s="32" t="s">
        <v>23</v>
      </c>
      <c r="D113" s="4">
        <v>1</v>
      </c>
      <c r="E113" s="18" t="s">
        <v>14</v>
      </c>
      <c r="F113" s="19"/>
      <c r="G113" s="27">
        <f t="shared" si="7"/>
        <v>0</v>
      </c>
    </row>
    <row r="114" spans="1:7" s="30" customFormat="1" ht="15.75" thickBot="1" x14ac:dyDescent="0.3">
      <c r="A114" s="3">
        <v>86</v>
      </c>
      <c r="B114" s="17" t="s">
        <v>88</v>
      </c>
      <c r="C114" s="34" t="s">
        <v>20</v>
      </c>
      <c r="D114" s="4">
        <v>1</v>
      </c>
      <c r="E114" s="18" t="s">
        <v>14</v>
      </c>
      <c r="F114" s="19"/>
      <c r="G114" s="27">
        <f t="shared" si="7"/>
        <v>0</v>
      </c>
    </row>
    <row r="115" spans="1:7" s="13" customFormat="1" ht="17.25" thickTop="1" thickBot="1" x14ac:dyDescent="0.35">
      <c r="A115" s="37"/>
      <c r="B115" s="93" t="s">
        <v>72</v>
      </c>
      <c r="C115" s="51"/>
      <c r="D115" s="51"/>
      <c r="E115" s="51"/>
      <c r="F115" s="94"/>
      <c r="G115" s="9">
        <f>SUM(G104:G114)</f>
        <v>0</v>
      </c>
    </row>
    <row r="116" spans="1:7" s="20" customFormat="1" ht="15.75" thickTop="1" x14ac:dyDescent="0.25">
      <c r="A116" s="3">
        <v>87</v>
      </c>
      <c r="B116" s="17" t="s">
        <v>89</v>
      </c>
      <c r="C116" s="17" t="s">
        <v>13</v>
      </c>
      <c r="D116" s="4">
        <v>6</v>
      </c>
      <c r="E116" s="18" t="s">
        <v>14</v>
      </c>
      <c r="F116" s="19"/>
      <c r="G116" s="27">
        <f t="shared" ref="G116:G126" si="8">D116*F116</f>
        <v>0</v>
      </c>
    </row>
    <row r="117" spans="1:7" s="30" customFormat="1" x14ac:dyDescent="0.25">
      <c r="A117" s="3">
        <v>88</v>
      </c>
      <c r="B117" s="17" t="s">
        <v>89</v>
      </c>
      <c r="C117" s="17" t="s">
        <v>17</v>
      </c>
      <c r="D117" s="4">
        <v>6</v>
      </c>
      <c r="E117" s="18" t="s">
        <v>14</v>
      </c>
      <c r="F117" s="19"/>
      <c r="G117" s="27">
        <f t="shared" si="8"/>
        <v>0</v>
      </c>
    </row>
    <row r="118" spans="1:7" s="30" customFormat="1" x14ac:dyDescent="0.25">
      <c r="A118" s="3">
        <v>89</v>
      </c>
      <c r="B118" s="17" t="s">
        <v>89</v>
      </c>
      <c r="C118" s="31" t="s">
        <v>37</v>
      </c>
      <c r="D118" s="23">
        <v>6</v>
      </c>
      <c r="E118" s="24" t="s">
        <v>14</v>
      </c>
      <c r="F118" s="19"/>
      <c r="G118" s="27">
        <f t="shared" si="8"/>
        <v>0</v>
      </c>
    </row>
    <row r="119" spans="1:7" s="30" customFormat="1" x14ac:dyDescent="0.25">
      <c r="A119" s="3">
        <v>90</v>
      </c>
      <c r="B119" s="17" t="s">
        <v>89</v>
      </c>
      <c r="C119" s="34" t="s">
        <v>15</v>
      </c>
      <c r="D119" s="4">
        <v>6</v>
      </c>
      <c r="E119" s="18" t="s">
        <v>14</v>
      </c>
      <c r="F119" s="19"/>
      <c r="G119" s="27">
        <f t="shared" si="8"/>
        <v>0</v>
      </c>
    </row>
    <row r="120" spans="1:7" s="30" customFormat="1" x14ac:dyDescent="0.25">
      <c r="A120" s="3">
        <v>91</v>
      </c>
      <c r="B120" s="17" t="s">
        <v>89</v>
      </c>
      <c r="C120" s="34" t="s">
        <v>22</v>
      </c>
      <c r="D120" s="4">
        <v>6</v>
      </c>
      <c r="E120" s="18" t="s">
        <v>14</v>
      </c>
      <c r="F120" s="19"/>
      <c r="G120" s="27">
        <f t="shared" si="8"/>
        <v>0</v>
      </c>
    </row>
    <row r="121" spans="1:7" s="30" customFormat="1" x14ac:dyDescent="0.25">
      <c r="A121" s="3">
        <v>92</v>
      </c>
      <c r="B121" s="17" t="s">
        <v>101</v>
      </c>
      <c r="C121" s="34" t="s">
        <v>18</v>
      </c>
      <c r="D121" s="4">
        <v>6</v>
      </c>
      <c r="E121" s="18" t="s">
        <v>14</v>
      </c>
      <c r="F121" s="19"/>
      <c r="G121" s="27">
        <f t="shared" si="8"/>
        <v>0</v>
      </c>
    </row>
    <row r="122" spans="1:7" s="30" customFormat="1" x14ac:dyDescent="0.25">
      <c r="A122" s="3">
        <v>93</v>
      </c>
      <c r="B122" s="17" t="s">
        <v>101</v>
      </c>
      <c r="C122" s="34" t="s">
        <v>16</v>
      </c>
      <c r="D122" s="4">
        <v>6</v>
      </c>
      <c r="E122" s="18" t="s">
        <v>14</v>
      </c>
      <c r="F122" s="19"/>
      <c r="G122" s="27">
        <f t="shared" si="8"/>
        <v>0</v>
      </c>
    </row>
    <row r="123" spans="1:7" s="30" customFormat="1" x14ac:dyDescent="0.25">
      <c r="A123" s="3">
        <v>94</v>
      </c>
      <c r="B123" s="17" t="s">
        <v>101</v>
      </c>
      <c r="C123" s="34" t="s">
        <v>19</v>
      </c>
      <c r="D123" s="4">
        <v>6</v>
      </c>
      <c r="E123" s="18" t="s">
        <v>14</v>
      </c>
      <c r="F123" s="19"/>
      <c r="G123" s="27">
        <f t="shared" si="8"/>
        <v>0</v>
      </c>
    </row>
    <row r="124" spans="1:7" s="30" customFormat="1" x14ac:dyDescent="0.25">
      <c r="A124" s="3">
        <v>95</v>
      </c>
      <c r="B124" s="17" t="s">
        <v>101</v>
      </c>
      <c r="C124" s="35" t="s">
        <v>21</v>
      </c>
      <c r="D124" s="4">
        <v>6</v>
      </c>
      <c r="E124" s="18" t="s">
        <v>14</v>
      </c>
      <c r="F124" s="19"/>
      <c r="G124" s="27">
        <f t="shared" si="8"/>
        <v>0</v>
      </c>
    </row>
    <row r="125" spans="1:7" s="36" customFormat="1" ht="15.75" x14ac:dyDescent="0.3">
      <c r="A125" s="3">
        <v>96</v>
      </c>
      <c r="B125" s="17" t="s">
        <v>101</v>
      </c>
      <c r="C125" s="32" t="s">
        <v>23</v>
      </c>
      <c r="D125" s="4">
        <v>6</v>
      </c>
      <c r="E125" s="18" t="s">
        <v>14</v>
      </c>
      <c r="F125" s="19"/>
      <c r="G125" s="27">
        <f t="shared" si="8"/>
        <v>0</v>
      </c>
    </row>
    <row r="126" spans="1:7" s="30" customFormat="1" ht="15.75" thickBot="1" x14ac:dyDescent="0.3">
      <c r="A126" s="3">
        <v>97</v>
      </c>
      <c r="B126" s="17" t="s">
        <v>101</v>
      </c>
      <c r="C126" s="34" t="s">
        <v>20</v>
      </c>
      <c r="D126" s="4">
        <v>6</v>
      </c>
      <c r="E126" s="18" t="s">
        <v>14</v>
      </c>
      <c r="F126" s="19"/>
      <c r="G126" s="27">
        <f t="shared" si="8"/>
        <v>0</v>
      </c>
    </row>
    <row r="127" spans="1:7" s="38" customFormat="1" ht="17.25" thickTop="1" thickBot="1" x14ac:dyDescent="0.35">
      <c r="A127" s="50" t="s">
        <v>44</v>
      </c>
      <c r="B127" s="51"/>
      <c r="C127" s="51"/>
      <c r="D127" s="51"/>
      <c r="E127" s="51"/>
      <c r="F127" s="51"/>
      <c r="G127" s="9">
        <f>SUM(G116:G126)</f>
        <v>0</v>
      </c>
    </row>
    <row r="128" spans="1:7" s="30" customFormat="1" ht="15.75" thickTop="1" x14ac:dyDescent="0.25">
      <c r="A128" s="3">
        <v>98</v>
      </c>
      <c r="B128" s="34" t="s">
        <v>90</v>
      </c>
      <c r="C128" s="17" t="s">
        <v>45</v>
      </c>
      <c r="D128" s="4">
        <v>6</v>
      </c>
      <c r="E128" s="18" t="s">
        <v>29</v>
      </c>
      <c r="F128" s="19"/>
      <c r="G128" s="27">
        <f t="shared" ref="G128:G152" si="9">D128*F128</f>
        <v>0</v>
      </c>
    </row>
    <row r="129" spans="1:7" s="30" customFormat="1" ht="15.75" thickBot="1" x14ac:dyDescent="0.3">
      <c r="A129" s="3">
        <v>99</v>
      </c>
      <c r="B129" s="34" t="s">
        <v>91</v>
      </c>
      <c r="C129" s="17" t="s">
        <v>39</v>
      </c>
      <c r="D129" s="4">
        <v>12</v>
      </c>
      <c r="E129" s="18" t="s">
        <v>14</v>
      </c>
      <c r="F129" s="19"/>
      <c r="G129" s="27">
        <f t="shared" si="9"/>
        <v>0</v>
      </c>
    </row>
    <row r="130" spans="1:7" s="11" customFormat="1" ht="17.25" thickTop="1" thickBot="1" x14ac:dyDescent="0.35">
      <c r="A130" s="50" t="s">
        <v>46</v>
      </c>
      <c r="B130" s="51"/>
      <c r="C130" s="51"/>
      <c r="D130" s="51"/>
      <c r="E130" s="51"/>
      <c r="F130" s="51"/>
      <c r="G130" s="9">
        <f>SUM(G128:G129)</f>
        <v>0</v>
      </c>
    </row>
    <row r="131" spans="1:7" s="30" customFormat="1" ht="15.75" thickTop="1" x14ac:dyDescent="0.25">
      <c r="A131" s="3">
        <v>100</v>
      </c>
      <c r="B131" s="17" t="s">
        <v>92</v>
      </c>
      <c r="C131" s="17" t="s">
        <v>13</v>
      </c>
      <c r="D131" s="4">
        <v>1</v>
      </c>
      <c r="E131" s="18" t="s">
        <v>14</v>
      </c>
      <c r="F131" s="19"/>
      <c r="G131" s="27">
        <f t="shared" si="9"/>
        <v>0</v>
      </c>
    </row>
    <row r="132" spans="1:7" s="30" customFormat="1" x14ac:dyDescent="0.25">
      <c r="A132" s="3">
        <v>101</v>
      </c>
      <c r="B132" s="17" t="s">
        <v>92</v>
      </c>
      <c r="C132" s="17" t="s">
        <v>17</v>
      </c>
      <c r="D132" s="4">
        <v>1</v>
      </c>
      <c r="E132" s="18" t="s">
        <v>14</v>
      </c>
      <c r="F132" s="19"/>
      <c r="G132" s="27">
        <f t="shared" si="9"/>
        <v>0</v>
      </c>
    </row>
    <row r="133" spans="1:7" s="30" customFormat="1" x14ac:dyDescent="0.25">
      <c r="A133" s="3">
        <v>102</v>
      </c>
      <c r="B133" s="17" t="s">
        <v>92</v>
      </c>
      <c r="C133" s="31" t="s">
        <v>37</v>
      </c>
      <c r="D133" s="4">
        <v>1</v>
      </c>
      <c r="E133" s="18" t="s">
        <v>14</v>
      </c>
      <c r="F133" s="19"/>
      <c r="G133" s="27">
        <f t="shared" si="9"/>
        <v>0</v>
      </c>
    </row>
    <row r="134" spans="1:7" s="30" customFormat="1" x14ac:dyDescent="0.25">
      <c r="A134" s="3">
        <v>103</v>
      </c>
      <c r="B134" s="17" t="s">
        <v>92</v>
      </c>
      <c r="C134" s="34" t="s">
        <v>18</v>
      </c>
      <c r="D134" s="4">
        <v>1</v>
      </c>
      <c r="E134" s="18" t="s">
        <v>14</v>
      </c>
      <c r="F134" s="19"/>
      <c r="G134" s="27">
        <f t="shared" si="9"/>
        <v>0</v>
      </c>
    </row>
    <row r="135" spans="1:7" s="30" customFormat="1" x14ac:dyDescent="0.25">
      <c r="A135" s="3">
        <v>104</v>
      </c>
      <c r="B135" s="17" t="s">
        <v>92</v>
      </c>
      <c r="C135" s="34" t="s">
        <v>15</v>
      </c>
      <c r="D135" s="4">
        <v>1</v>
      </c>
      <c r="E135" s="18" t="s">
        <v>14</v>
      </c>
      <c r="F135" s="19"/>
      <c r="G135" s="27">
        <f t="shared" si="9"/>
        <v>0</v>
      </c>
    </row>
    <row r="136" spans="1:7" s="30" customFormat="1" x14ac:dyDescent="0.25">
      <c r="A136" s="3">
        <v>105</v>
      </c>
      <c r="B136" s="17" t="s">
        <v>92</v>
      </c>
      <c r="C136" s="34" t="s">
        <v>16</v>
      </c>
      <c r="D136" s="4">
        <v>1</v>
      </c>
      <c r="E136" s="18" t="s">
        <v>14</v>
      </c>
      <c r="F136" s="19"/>
      <c r="G136" s="27">
        <f t="shared" si="9"/>
        <v>0</v>
      </c>
    </row>
    <row r="137" spans="1:7" s="30" customFormat="1" x14ac:dyDescent="0.25">
      <c r="A137" s="3">
        <v>106</v>
      </c>
      <c r="B137" s="17" t="s">
        <v>92</v>
      </c>
      <c r="C137" s="34" t="s">
        <v>19</v>
      </c>
      <c r="D137" s="4">
        <v>1</v>
      </c>
      <c r="E137" s="18" t="s">
        <v>14</v>
      </c>
      <c r="F137" s="19"/>
      <c r="G137" s="27">
        <f t="shared" si="9"/>
        <v>0</v>
      </c>
    </row>
    <row r="138" spans="1:7" s="30" customFormat="1" x14ac:dyDescent="0.25">
      <c r="A138" s="3">
        <v>107</v>
      </c>
      <c r="B138" s="17" t="s">
        <v>92</v>
      </c>
      <c r="C138" s="35" t="s">
        <v>21</v>
      </c>
      <c r="D138" s="4">
        <v>1</v>
      </c>
      <c r="E138" s="18" t="s">
        <v>14</v>
      </c>
      <c r="F138" s="19"/>
      <c r="G138" s="27">
        <f t="shared" si="9"/>
        <v>0</v>
      </c>
    </row>
    <row r="139" spans="1:7" s="30" customFormat="1" x14ac:dyDescent="0.25">
      <c r="A139" s="3">
        <v>108</v>
      </c>
      <c r="B139" s="17" t="s">
        <v>92</v>
      </c>
      <c r="C139" s="32" t="s">
        <v>23</v>
      </c>
      <c r="D139" s="4">
        <v>1</v>
      </c>
      <c r="E139" s="18" t="s">
        <v>14</v>
      </c>
      <c r="F139" s="19"/>
      <c r="G139" s="27">
        <f t="shared" si="9"/>
        <v>0</v>
      </c>
    </row>
    <row r="140" spans="1:7" s="36" customFormat="1" ht="15.75" x14ac:dyDescent="0.3">
      <c r="A140" s="3">
        <v>109</v>
      </c>
      <c r="B140" s="17" t="s">
        <v>92</v>
      </c>
      <c r="C140" s="34" t="s">
        <v>22</v>
      </c>
      <c r="D140" s="4">
        <v>1</v>
      </c>
      <c r="E140" s="18" t="s">
        <v>14</v>
      </c>
      <c r="F140" s="19"/>
      <c r="G140" s="27">
        <f t="shared" si="9"/>
        <v>0</v>
      </c>
    </row>
    <row r="141" spans="1:7" s="30" customFormat="1" ht="15.75" thickBot="1" x14ac:dyDescent="0.3">
      <c r="A141" s="3">
        <v>110</v>
      </c>
      <c r="B141" s="17" t="s">
        <v>92</v>
      </c>
      <c r="C141" s="34" t="s">
        <v>20</v>
      </c>
      <c r="D141" s="4">
        <v>1</v>
      </c>
      <c r="E141" s="18" t="s">
        <v>14</v>
      </c>
      <c r="F141" s="19"/>
      <c r="G141" s="27">
        <f t="shared" si="9"/>
        <v>0</v>
      </c>
    </row>
    <row r="142" spans="1:7" s="39" customFormat="1" ht="17.25" thickTop="1" thickBot="1" x14ac:dyDescent="0.35">
      <c r="A142" s="50" t="s">
        <v>47</v>
      </c>
      <c r="B142" s="51"/>
      <c r="C142" s="51"/>
      <c r="D142" s="51"/>
      <c r="E142" s="51"/>
      <c r="F142" s="51"/>
      <c r="G142" s="9">
        <f>SUM(G131:G141)</f>
        <v>0</v>
      </c>
    </row>
    <row r="143" spans="1:7" s="36" customFormat="1" ht="16.5" thickTop="1" x14ac:dyDescent="0.3">
      <c r="A143" s="3">
        <v>111</v>
      </c>
      <c r="B143" s="17" t="s">
        <v>93</v>
      </c>
      <c r="C143" s="17" t="s">
        <v>13</v>
      </c>
      <c r="D143" s="4">
        <v>4</v>
      </c>
      <c r="E143" s="18" t="s">
        <v>14</v>
      </c>
      <c r="F143" s="19"/>
      <c r="G143" s="27">
        <f t="shared" si="9"/>
        <v>0</v>
      </c>
    </row>
    <row r="144" spans="1:7" s="36" customFormat="1" ht="15.75" x14ac:dyDescent="0.3">
      <c r="A144" s="3">
        <v>112</v>
      </c>
      <c r="B144" s="17" t="s">
        <v>93</v>
      </c>
      <c r="C144" s="17" t="s">
        <v>17</v>
      </c>
      <c r="D144" s="4">
        <v>4</v>
      </c>
      <c r="E144" s="18" t="s">
        <v>14</v>
      </c>
      <c r="F144" s="19"/>
      <c r="G144" s="27">
        <f t="shared" si="9"/>
        <v>0</v>
      </c>
    </row>
    <row r="145" spans="1:7" s="36" customFormat="1" ht="15.75" x14ac:dyDescent="0.3">
      <c r="A145" s="3">
        <v>113</v>
      </c>
      <c r="B145" s="17" t="s">
        <v>93</v>
      </c>
      <c r="C145" s="31" t="s">
        <v>37</v>
      </c>
      <c r="D145" s="4">
        <v>4</v>
      </c>
      <c r="E145" s="18" t="s">
        <v>14</v>
      </c>
      <c r="F145" s="19"/>
      <c r="G145" s="27">
        <f t="shared" si="9"/>
        <v>0</v>
      </c>
    </row>
    <row r="146" spans="1:7" s="36" customFormat="1" ht="15.75" x14ac:dyDescent="0.3">
      <c r="A146" s="3">
        <v>114</v>
      </c>
      <c r="B146" s="17" t="s">
        <v>93</v>
      </c>
      <c r="C146" s="34" t="s">
        <v>18</v>
      </c>
      <c r="D146" s="4">
        <v>4</v>
      </c>
      <c r="E146" s="18" t="s">
        <v>14</v>
      </c>
      <c r="F146" s="19"/>
      <c r="G146" s="27">
        <f t="shared" si="9"/>
        <v>0</v>
      </c>
    </row>
    <row r="147" spans="1:7" s="36" customFormat="1" ht="15.75" x14ac:dyDescent="0.3">
      <c r="A147" s="3">
        <v>115</v>
      </c>
      <c r="B147" s="17" t="s">
        <v>93</v>
      </c>
      <c r="C147" s="34" t="s">
        <v>15</v>
      </c>
      <c r="D147" s="4">
        <v>4</v>
      </c>
      <c r="E147" s="18" t="s">
        <v>14</v>
      </c>
      <c r="F147" s="19"/>
      <c r="G147" s="27">
        <f t="shared" si="9"/>
        <v>0</v>
      </c>
    </row>
    <row r="148" spans="1:7" s="36" customFormat="1" ht="15.75" x14ac:dyDescent="0.3">
      <c r="A148" s="3">
        <v>116</v>
      </c>
      <c r="B148" s="17" t="s">
        <v>93</v>
      </c>
      <c r="C148" s="34" t="s">
        <v>19</v>
      </c>
      <c r="D148" s="4">
        <v>4</v>
      </c>
      <c r="E148" s="18" t="s">
        <v>14</v>
      </c>
      <c r="F148" s="19"/>
      <c r="G148" s="27">
        <f t="shared" si="9"/>
        <v>0</v>
      </c>
    </row>
    <row r="149" spans="1:7" s="30" customFormat="1" x14ac:dyDescent="0.25">
      <c r="A149" s="3">
        <v>117</v>
      </c>
      <c r="B149" s="17" t="s">
        <v>93</v>
      </c>
      <c r="C149" s="35" t="s">
        <v>21</v>
      </c>
      <c r="D149" s="4">
        <v>4</v>
      </c>
      <c r="E149" s="18" t="s">
        <v>14</v>
      </c>
      <c r="F149" s="19"/>
      <c r="G149" s="27">
        <f t="shared" si="9"/>
        <v>0</v>
      </c>
    </row>
    <row r="150" spans="1:7" s="36" customFormat="1" ht="15.75" x14ac:dyDescent="0.3">
      <c r="A150" s="3">
        <v>118</v>
      </c>
      <c r="B150" s="17" t="s">
        <v>93</v>
      </c>
      <c r="C150" s="32" t="s">
        <v>23</v>
      </c>
      <c r="D150" s="4">
        <v>4</v>
      </c>
      <c r="E150" s="18" t="s">
        <v>14</v>
      </c>
      <c r="F150" s="19"/>
      <c r="G150" s="27">
        <f t="shared" si="9"/>
        <v>0</v>
      </c>
    </row>
    <row r="151" spans="1:7" s="36" customFormat="1" ht="15.75" x14ac:dyDescent="0.3">
      <c r="A151" s="3">
        <v>119</v>
      </c>
      <c r="B151" s="17" t="s">
        <v>93</v>
      </c>
      <c r="C151" s="34" t="s">
        <v>22</v>
      </c>
      <c r="D151" s="4">
        <v>4</v>
      </c>
      <c r="E151" s="18" t="s">
        <v>14</v>
      </c>
      <c r="F151" s="19"/>
      <c r="G151" s="27">
        <f t="shared" si="9"/>
        <v>0</v>
      </c>
    </row>
    <row r="152" spans="1:7" s="30" customFormat="1" ht="15.75" thickBot="1" x14ac:dyDescent="0.3">
      <c r="A152" s="3">
        <v>120</v>
      </c>
      <c r="B152" s="17" t="s">
        <v>93</v>
      </c>
      <c r="C152" s="34" t="s">
        <v>20</v>
      </c>
      <c r="D152" s="4">
        <v>4</v>
      </c>
      <c r="E152" s="18" t="s">
        <v>14</v>
      </c>
      <c r="F152" s="19"/>
      <c r="G152" s="27">
        <f t="shared" si="9"/>
        <v>0</v>
      </c>
    </row>
    <row r="153" spans="1:7" s="11" customFormat="1" ht="17.25" thickTop="1" thickBot="1" x14ac:dyDescent="0.35">
      <c r="A153" s="50" t="s">
        <v>48</v>
      </c>
      <c r="B153" s="51"/>
      <c r="C153" s="51"/>
      <c r="D153" s="51"/>
      <c r="E153" s="51"/>
      <c r="F153" s="51"/>
      <c r="G153" s="9">
        <f>SUM(G143:G152)</f>
        <v>0</v>
      </c>
    </row>
    <row r="154" spans="1:7" s="11" customFormat="1" ht="17.25" thickTop="1" thickBot="1" x14ac:dyDescent="0.35">
      <c r="A154" s="52" t="s">
        <v>49</v>
      </c>
      <c r="B154" s="53"/>
      <c r="C154" s="53"/>
      <c r="D154" s="53"/>
      <c r="E154" s="53"/>
      <c r="F154" s="54"/>
      <c r="G154" s="9">
        <f>SUM(G115,G127,G130,G142,G153)</f>
        <v>0</v>
      </c>
    </row>
    <row r="155" spans="1:7" s="11" customFormat="1" ht="16.5" thickTop="1" x14ac:dyDescent="0.3">
      <c r="A155" s="55" t="s">
        <v>50</v>
      </c>
      <c r="B155" s="56"/>
      <c r="C155" s="56"/>
      <c r="D155" s="56"/>
      <c r="E155" s="56"/>
      <c r="F155" s="56"/>
      <c r="G155" s="57"/>
    </row>
    <row r="156" spans="1:7" s="13" customFormat="1" ht="15.75" x14ac:dyDescent="0.3">
      <c r="A156" s="15" t="s">
        <v>6</v>
      </c>
      <c r="B156" s="1" t="s">
        <v>7</v>
      </c>
      <c r="C156" s="16" t="s">
        <v>8</v>
      </c>
      <c r="D156" s="16" t="s">
        <v>9</v>
      </c>
      <c r="E156" s="16" t="s">
        <v>10</v>
      </c>
      <c r="F156" s="16" t="s">
        <v>11</v>
      </c>
      <c r="G156" s="2" t="s">
        <v>12</v>
      </c>
    </row>
    <row r="157" spans="1:7" s="30" customFormat="1" x14ac:dyDescent="0.25">
      <c r="A157" s="3">
        <v>121</v>
      </c>
      <c r="B157" s="17" t="s">
        <v>94</v>
      </c>
      <c r="C157" s="17" t="s">
        <v>13</v>
      </c>
      <c r="D157" s="4">
        <v>12</v>
      </c>
      <c r="E157" s="18" t="s">
        <v>14</v>
      </c>
      <c r="F157" s="19"/>
      <c r="G157" s="27">
        <f t="shared" ref="G157:G164" si="10">D157*F157</f>
        <v>0</v>
      </c>
    </row>
    <row r="158" spans="1:7" s="40" customFormat="1" x14ac:dyDescent="0.25">
      <c r="A158" s="3">
        <v>122</v>
      </c>
      <c r="B158" s="17" t="s">
        <v>94</v>
      </c>
      <c r="C158" s="17" t="s">
        <v>17</v>
      </c>
      <c r="D158" s="4">
        <v>12</v>
      </c>
      <c r="E158" s="18" t="s">
        <v>14</v>
      </c>
      <c r="F158" s="19"/>
      <c r="G158" s="27">
        <f t="shared" si="10"/>
        <v>0</v>
      </c>
    </row>
    <row r="159" spans="1:7" s="30" customFormat="1" x14ac:dyDescent="0.25">
      <c r="A159" s="3">
        <v>123</v>
      </c>
      <c r="B159" s="17" t="s">
        <v>94</v>
      </c>
      <c r="C159" s="17" t="s">
        <v>37</v>
      </c>
      <c r="D159" s="4">
        <v>12</v>
      </c>
      <c r="E159" s="18" t="s">
        <v>14</v>
      </c>
      <c r="F159" s="19"/>
      <c r="G159" s="27">
        <f t="shared" si="10"/>
        <v>0</v>
      </c>
    </row>
    <row r="160" spans="1:7" s="30" customFormat="1" x14ac:dyDescent="0.25">
      <c r="A160" s="3">
        <v>124</v>
      </c>
      <c r="B160" s="17" t="s">
        <v>94</v>
      </c>
      <c r="C160" s="17" t="s">
        <v>18</v>
      </c>
      <c r="D160" s="4">
        <v>12</v>
      </c>
      <c r="E160" s="18" t="s">
        <v>14</v>
      </c>
      <c r="F160" s="19"/>
      <c r="G160" s="27">
        <f t="shared" si="10"/>
        <v>0</v>
      </c>
    </row>
    <row r="161" spans="1:7" s="30" customFormat="1" x14ac:dyDescent="0.25">
      <c r="A161" s="3">
        <v>125</v>
      </c>
      <c r="B161" s="17" t="s">
        <v>94</v>
      </c>
      <c r="C161" s="17" t="s">
        <v>15</v>
      </c>
      <c r="D161" s="4">
        <v>12</v>
      </c>
      <c r="E161" s="18" t="s">
        <v>14</v>
      </c>
      <c r="F161" s="19"/>
      <c r="G161" s="27">
        <f t="shared" si="10"/>
        <v>0</v>
      </c>
    </row>
    <row r="162" spans="1:7" s="30" customFormat="1" x14ac:dyDescent="0.25">
      <c r="A162" s="3">
        <v>126</v>
      </c>
      <c r="B162" s="17" t="s">
        <v>94</v>
      </c>
      <c r="C162" s="17" t="s">
        <v>21</v>
      </c>
      <c r="D162" s="4">
        <v>12</v>
      </c>
      <c r="E162" s="18" t="s">
        <v>14</v>
      </c>
      <c r="F162" s="19"/>
      <c r="G162" s="27">
        <f t="shared" si="10"/>
        <v>0</v>
      </c>
    </row>
    <row r="163" spans="1:7" s="30" customFormat="1" x14ac:dyDescent="0.25">
      <c r="A163" s="3">
        <v>127</v>
      </c>
      <c r="B163" s="17" t="s">
        <v>94</v>
      </c>
      <c r="C163" s="17" t="s">
        <v>19</v>
      </c>
      <c r="D163" s="4">
        <v>12</v>
      </c>
      <c r="E163" s="18" t="s">
        <v>14</v>
      </c>
      <c r="F163" s="19"/>
      <c r="G163" s="27">
        <f t="shared" si="10"/>
        <v>0</v>
      </c>
    </row>
    <row r="164" spans="1:7" s="30" customFormat="1" ht="15.75" thickBot="1" x14ac:dyDescent="0.3">
      <c r="A164" s="3">
        <v>128</v>
      </c>
      <c r="B164" s="17" t="s">
        <v>94</v>
      </c>
      <c r="C164" s="17" t="s">
        <v>22</v>
      </c>
      <c r="D164" s="4">
        <v>12</v>
      </c>
      <c r="E164" s="18" t="s">
        <v>14</v>
      </c>
      <c r="F164" s="19"/>
      <c r="G164" s="27">
        <f t="shared" si="10"/>
        <v>0</v>
      </c>
    </row>
    <row r="165" spans="1:7" s="11" customFormat="1" ht="17.25" thickTop="1" thickBot="1" x14ac:dyDescent="0.35">
      <c r="A165" s="50" t="s">
        <v>51</v>
      </c>
      <c r="B165" s="51"/>
      <c r="C165" s="51"/>
      <c r="D165" s="51"/>
      <c r="E165" s="51"/>
      <c r="F165" s="51"/>
      <c r="G165" s="9">
        <f>SUM(G157:G164)</f>
        <v>0</v>
      </c>
    </row>
    <row r="166" spans="1:7" s="11" customFormat="1" ht="17.25" thickTop="1" thickBot="1" x14ac:dyDescent="0.35">
      <c r="A166" s="52" t="s">
        <v>52</v>
      </c>
      <c r="B166" s="53"/>
      <c r="C166" s="53"/>
      <c r="D166" s="53"/>
      <c r="E166" s="53"/>
      <c r="F166" s="54"/>
      <c r="G166" s="9">
        <f>G165</f>
        <v>0</v>
      </c>
    </row>
    <row r="167" spans="1:7" s="11" customFormat="1" ht="16.5" thickTop="1" x14ac:dyDescent="0.3">
      <c r="A167" s="62" t="s">
        <v>53</v>
      </c>
      <c r="B167" s="63"/>
      <c r="C167" s="63"/>
      <c r="D167" s="63"/>
      <c r="E167" s="63"/>
      <c r="F167" s="63"/>
      <c r="G167" s="64"/>
    </row>
    <row r="168" spans="1:7" s="20" customFormat="1" ht="15.75" x14ac:dyDescent="0.3">
      <c r="A168" s="15" t="s">
        <v>6</v>
      </c>
      <c r="B168" s="6" t="s">
        <v>7</v>
      </c>
      <c r="C168" s="18" t="s">
        <v>8</v>
      </c>
      <c r="D168" s="18" t="s">
        <v>9</v>
      </c>
      <c r="E168" s="18" t="s">
        <v>10</v>
      </c>
      <c r="F168" s="18" t="s">
        <v>11</v>
      </c>
      <c r="G168" s="7" t="s">
        <v>12</v>
      </c>
    </row>
    <row r="169" spans="1:7" s="20" customFormat="1" x14ac:dyDescent="0.25">
      <c r="A169" s="3">
        <v>129</v>
      </c>
      <c r="B169" s="41" t="s">
        <v>95</v>
      </c>
      <c r="C169" s="42" t="s">
        <v>54</v>
      </c>
      <c r="D169" s="4">
        <v>7</v>
      </c>
      <c r="E169" s="6" t="s">
        <v>14</v>
      </c>
      <c r="F169" s="19"/>
      <c r="G169" s="27">
        <f t="shared" ref="G169:G177" si="11">D169*F169</f>
        <v>0</v>
      </c>
    </row>
    <row r="170" spans="1:7" s="20" customFormat="1" x14ac:dyDescent="0.25">
      <c r="A170" s="3">
        <v>130</v>
      </c>
      <c r="B170" s="41" t="s">
        <v>95</v>
      </c>
      <c r="C170" s="42" t="s">
        <v>17</v>
      </c>
      <c r="D170" s="4">
        <v>7</v>
      </c>
      <c r="E170" s="6" t="s">
        <v>14</v>
      </c>
      <c r="F170" s="19"/>
      <c r="G170" s="27">
        <f t="shared" si="11"/>
        <v>0</v>
      </c>
    </row>
    <row r="171" spans="1:7" s="20" customFormat="1" x14ac:dyDescent="0.25">
      <c r="A171" s="3">
        <v>131</v>
      </c>
      <c r="B171" s="41" t="s">
        <v>95</v>
      </c>
      <c r="C171" s="42" t="s">
        <v>37</v>
      </c>
      <c r="D171" s="4">
        <v>7</v>
      </c>
      <c r="E171" s="6" t="s">
        <v>14</v>
      </c>
      <c r="F171" s="19"/>
      <c r="G171" s="27">
        <f t="shared" si="11"/>
        <v>0</v>
      </c>
    </row>
    <row r="172" spans="1:7" s="20" customFormat="1" x14ac:dyDescent="0.25">
      <c r="A172" s="3">
        <v>132</v>
      </c>
      <c r="B172" s="41" t="s">
        <v>95</v>
      </c>
      <c r="C172" s="42" t="s">
        <v>55</v>
      </c>
      <c r="D172" s="4">
        <v>7</v>
      </c>
      <c r="E172" s="6" t="s">
        <v>14</v>
      </c>
      <c r="F172" s="19"/>
      <c r="G172" s="27">
        <f t="shared" si="11"/>
        <v>0</v>
      </c>
    </row>
    <row r="173" spans="1:7" s="20" customFormat="1" x14ac:dyDescent="0.25">
      <c r="A173" s="3">
        <v>133</v>
      </c>
      <c r="B173" s="41" t="s">
        <v>95</v>
      </c>
      <c r="C173" s="42" t="s">
        <v>56</v>
      </c>
      <c r="D173" s="4">
        <v>7</v>
      </c>
      <c r="E173" s="6" t="s">
        <v>14</v>
      </c>
      <c r="F173" s="19"/>
      <c r="G173" s="27">
        <f t="shared" si="11"/>
        <v>0</v>
      </c>
    </row>
    <row r="174" spans="1:7" s="20" customFormat="1" x14ac:dyDescent="0.25">
      <c r="A174" s="3">
        <v>134</v>
      </c>
      <c r="B174" s="41" t="s">
        <v>95</v>
      </c>
      <c r="C174" s="43" t="s">
        <v>57</v>
      </c>
      <c r="D174" s="4">
        <v>7</v>
      </c>
      <c r="E174" s="6" t="s">
        <v>14</v>
      </c>
      <c r="F174" s="19"/>
      <c r="G174" s="27">
        <f t="shared" si="11"/>
        <v>0</v>
      </c>
    </row>
    <row r="175" spans="1:7" s="20" customFormat="1" x14ac:dyDescent="0.25">
      <c r="A175" s="3">
        <v>135</v>
      </c>
      <c r="B175" s="41" t="s">
        <v>96</v>
      </c>
      <c r="C175" s="42" t="s">
        <v>58</v>
      </c>
      <c r="D175" s="4">
        <v>7</v>
      </c>
      <c r="E175" s="6" t="s">
        <v>14</v>
      </c>
      <c r="F175" s="19"/>
      <c r="G175" s="27">
        <f t="shared" si="11"/>
        <v>0</v>
      </c>
    </row>
    <row r="176" spans="1:7" s="20" customFormat="1" x14ac:dyDescent="0.25">
      <c r="A176" s="3">
        <v>136</v>
      </c>
      <c r="B176" s="41" t="s">
        <v>97</v>
      </c>
      <c r="C176" s="42" t="s">
        <v>59</v>
      </c>
      <c r="D176" s="4">
        <v>1</v>
      </c>
      <c r="E176" s="6" t="s">
        <v>29</v>
      </c>
      <c r="F176" s="19"/>
      <c r="G176" s="27">
        <f t="shared" si="11"/>
        <v>0</v>
      </c>
    </row>
    <row r="177" spans="1:7" s="20" customFormat="1" ht="15.75" thickBot="1" x14ac:dyDescent="0.3">
      <c r="A177" s="3">
        <v>137</v>
      </c>
      <c r="B177" s="41" t="s">
        <v>98</v>
      </c>
      <c r="C177" s="42" t="s">
        <v>59</v>
      </c>
      <c r="D177" s="4">
        <v>1</v>
      </c>
      <c r="E177" s="6" t="s">
        <v>29</v>
      </c>
      <c r="F177" s="19"/>
      <c r="G177" s="27">
        <f t="shared" si="11"/>
        <v>0</v>
      </c>
    </row>
    <row r="178" spans="1:7" s="11" customFormat="1" ht="17.25" thickTop="1" thickBot="1" x14ac:dyDescent="0.35">
      <c r="A178" s="50" t="s">
        <v>60</v>
      </c>
      <c r="B178" s="51"/>
      <c r="C178" s="51"/>
      <c r="D178" s="51"/>
      <c r="E178" s="51"/>
      <c r="F178" s="51"/>
      <c r="G178" s="9">
        <f>SUM(G169:G177)</f>
        <v>0</v>
      </c>
    </row>
    <row r="179" spans="1:7" s="11" customFormat="1" ht="17.25" thickTop="1" thickBot="1" x14ac:dyDescent="0.35">
      <c r="A179" s="65" t="s">
        <v>61</v>
      </c>
      <c r="B179" s="66"/>
      <c r="C179" s="66"/>
      <c r="D179" s="66"/>
      <c r="E179" s="66"/>
      <c r="F179" s="66"/>
      <c r="G179" s="9">
        <f>G178</f>
        <v>0</v>
      </c>
    </row>
    <row r="180" spans="1:7" s="11" customFormat="1" ht="16.5" thickBot="1" x14ac:dyDescent="0.35">
      <c r="A180" s="67"/>
      <c r="B180" s="67"/>
      <c r="C180" s="67"/>
      <c r="D180" s="67"/>
      <c r="E180" s="67"/>
      <c r="F180" s="67"/>
      <c r="G180" s="68"/>
    </row>
    <row r="181" spans="1:7" s="11" customFormat="1" ht="17.25" thickTop="1" thickBot="1" x14ac:dyDescent="0.35">
      <c r="A181" s="69" t="s">
        <v>62</v>
      </c>
      <c r="B181" s="70"/>
      <c r="C181" s="70"/>
      <c r="D181" s="70"/>
      <c r="E181" s="70"/>
      <c r="F181" s="70"/>
      <c r="G181" s="9">
        <f>SUM(G41,G48,G101,G154,G166,G179)</f>
        <v>0</v>
      </c>
    </row>
    <row r="182" spans="1:7" s="11" customFormat="1" ht="16.5" thickTop="1" x14ac:dyDescent="0.3">
      <c r="A182" s="58"/>
      <c r="B182" s="58"/>
      <c r="C182" s="58"/>
      <c r="D182" s="58"/>
      <c r="E182" s="58"/>
      <c r="F182" s="58"/>
      <c r="G182" s="59"/>
    </row>
    <row r="183" spans="1:7" s="11" customFormat="1" ht="15.75" x14ac:dyDescent="0.3">
      <c r="A183" s="60" t="s">
        <v>63</v>
      </c>
      <c r="B183" s="60"/>
      <c r="C183" s="60"/>
      <c r="D183" s="60"/>
      <c r="E183" s="60"/>
      <c r="F183" s="60"/>
      <c r="G183" s="60"/>
    </row>
    <row r="184" spans="1:7" s="11" customFormat="1" ht="15.75" x14ac:dyDescent="0.3">
      <c r="G184" s="8"/>
    </row>
    <row r="185" spans="1:7" s="11" customFormat="1" ht="15.75" x14ac:dyDescent="0.3">
      <c r="A185" s="61" t="s">
        <v>64</v>
      </c>
      <c r="B185" s="61"/>
      <c r="C185" s="61"/>
      <c r="D185" s="61"/>
      <c r="E185" s="61"/>
      <c r="F185" s="61"/>
      <c r="G185" s="61"/>
    </row>
    <row r="186" spans="1:7" ht="15.75" x14ac:dyDescent="0.3">
      <c r="F186" s="11"/>
      <c r="G186" s="44"/>
    </row>
    <row r="187" spans="1:7" ht="15.75" x14ac:dyDescent="0.3">
      <c r="F187" s="11"/>
      <c r="G187" s="8"/>
    </row>
    <row r="188" spans="1:7" ht="15.75" x14ac:dyDescent="0.3">
      <c r="F188" s="11"/>
      <c r="G188" s="8"/>
    </row>
    <row r="189" spans="1:7" ht="15.75" x14ac:dyDescent="0.3">
      <c r="F189" s="11"/>
      <c r="G189" s="8"/>
    </row>
  </sheetData>
  <mergeCells count="40">
    <mergeCell ref="A185:G185"/>
    <mergeCell ref="A178:F178"/>
    <mergeCell ref="A179:F179"/>
    <mergeCell ref="A180:G180"/>
    <mergeCell ref="A181:F181"/>
    <mergeCell ref="A182:G182"/>
    <mergeCell ref="A183:G183"/>
    <mergeCell ref="A167:G167"/>
    <mergeCell ref="A102:G102"/>
    <mergeCell ref="B115:F115"/>
    <mergeCell ref="A127:F127"/>
    <mergeCell ref="A130:F130"/>
    <mergeCell ref="A142:F142"/>
    <mergeCell ref="A153:F153"/>
    <mergeCell ref="A154:F154"/>
    <mergeCell ref="A155:G155"/>
    <mergeCell ref="A165:F165"/>
    <mergeCell ref="A166:F166"/>
    <mergeCell ref="A101:F101"/>
    <mergeCell ref="A36:F36"/>
    <mergeCell ref="A40:F40"/>
    <mergeCell ref="A41:F41"/>
    <mergeCell ref="A42:G42"/>
    <mergeCell ref="A47:F47"/>
    <mergeCell ref="A48:F48"/>
    <mergeCell ref="A49:G49"/>
    <mergeCell ref="A76:F76"/>
    <mergeCell ref="A78:F78"/>
    <mergeCell ref="A90:F90"/>
    <mergeCell ref="A100:F100"/>
    <mergeCell ref="A34:F34"/>
    <mergeCell ref="A1:B1"/>
    <mergeCell ref="D1:G1"/>
    <mergeCell ref="A2:B2"/>
    <mergeCell ref="D2:G2"/>
    <mergeCell ref="D3:G3"/>
    <mergeCell ref="D4:G4"/>
    <mergeCell ref="A6:G6"/>
    <mergeCell ref="A17:F17"/>
    <mergeCell ref="A19:F19"/>
  </mergeCells>
  <pageMargins left="0.7" right="0.7" top="0.75" bottom="0.75" header="0.3" footer="0.3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9BA9-3E1E-4284-83A9-4359008978BD}">
  <dimension ref="A1:G189"/>
  <sheetViews>
    <sheetView zoomScale="84" zoomScaleNormal="84" workbookViewId="0">
      <pane ySplit="5" topLeftCell="A6" activePane="bottomLeft" state="frozen"/>
      <selection pane="bottomLeft" sqref="A1:B1"/>
    </sheetView>
  </sheetViews>
  <sheetFormatPr defaultRowHeight="15" x14ac:dyDescent="0.25"/>
  <cols>
    <col min="2" max="2" width="111.28515625" customWidth="1"/>
    <col min="3" max="3" width="47.5703125" bestFit="1" customWidth="1"/>
    <col min="4" max="4" width="11.5703125" bestFit="1" customWidth="1"/>
    <col min="5" max="5" width="6.42578125" bestFit="1" customWidth="1"/>
    <col min="6" max="6" width="14.28515625" bestFit="1" customWidth="1"/>
    <col min="7" max="7" width="18.28515625" bestFit="1" customWidth="1"/>
  </cols>
  <sheetData>
    <row r="1" spans="1:7" s="11" customFormat="1" ht="15.75" x14ac:dyDescent="0.3">
      <c r="A1" s="73" t="s">
        <v>105</v>
      </c>
      <c r="B1" s="74"/>
      <c r="C1" s="10" t="s">
        <v>0</v>
      </c>
      <c r="D1" s="75"/>
      <c r="E1" s="75"/>
      <c r="F1" s="75"/>
      <c r="G1" s="76"/>
    </row>
    <row r="2" spans="1:7" s="11" customFormat="1" ht="15.75" x14ac:dyDescent="0.3">
      <c r="A2" s="80" t="s">
        <v>2</v>
      </c>
      <c r="B2" s="81"/>
      <c r="C2" s="12" t="s">
        <v>1</v>
      </c>
      <c r="D2" s="77"/>
      <c r="E2" s="78"/>
      <c r="F2" s="78"/>
      <c r="G2" s="79"/>
    </row>
    <row r="3" spans="1:7" s="11" customFormat="1" ht="15.75" x14ac:dyDescent="0.3">
      <c r="A3" s="45"/>
      <c r="B3" s="46" t="s">
        <v>74</v>
      </c>
      <c r="C3" s="12" t="s">
        <v>3</v>
      </c>
      <c r="D3" s="78"/>
      <c r="E3" s="78"/>
      <c r="F3" s="78"/>
      <c r="G3" s="79"/>
    </row>
    <row r="4" spans="1:7" s="11" customFormat="1" ht="16.5" thickBot="1" x14ac:dyDescent="0.35">
      <c r="A4" s="49"/>
      <c r="B4" s="47" t="s">
        <v>109</v>
      </c>
      <c r="C4" s="14" t="s">
        <v>4</v>
      </c>
      <c r="D4" s="82"/>
      <c r="E4" s="82"/>
      <c r="F4" s="82"/>
      <c r="G4" s="83"/>
    </row>
    <row r="5" spans="1:7" s="13" customFormat="1" ht="15.75" x14ac:dyDescent="0.3">
      <c r="A5" s="15" t="s">
        <v>6</v>
      </c>
      <c r="B5" s="1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2" t="s">
        <v>12</v>
      </c>
    </row>
    <row r="6" spans="1:7" s="11" customFormat="1" ht="15.75" x14ac:dyDescent="0.3">
      <c r="A6" s="84" t="s">
        <v>5</v>
      </c>
      <c r="B6" s="85"/>
      <c r="C6" s="85"/>
      <c r="D6" s="85"/>
      <c r="E6" s="85"/>
      <c r="F6" s="85"/>
      <c r="G6" s="57"/>
    </row>
    <row r="7" spans="1:7" s="20" customFormat="1" x14ac:dyDescent="0.25">
      <c r="A7" s="3">
        <v>1</v>
      </c>
      <c r="B7" s="17" t="s">
        <v>75</v>
      </c>
      <c r="C7" s="17" t="s">
        <v>13</v>
      </c>
      <c r="D7" s="4">
        <v>1</v>
      </c>
      <c r="E7" s="18" t="s">
        <v>14</v>
      </c>
      <c r="F7" s="19"/>
      <c r="G7" s="27">
        <f>D7*F7</f>
        <v>0</v>
      </c>
    </row>
    <row r="8" spans="1:7" s="21" customFormat="1" ht="15.75" x14ac:dyDescent="0.3">
      <c r="A8" s="3">
        <v>2</v>
      </c>
      <c r="B8" s="17" t="s">
        <v>75</v>
      </c>
      <c r="C8" s="17" t="s">
        <v>15</v>
      </c>
      <c r="D8" s="4">
        <v>1</v>
      </c>
      <c r="E8" s="18" t="s">
        <v>14</v>
      </c>
      <c r="F8" s="19"/>
      <c r="G8" s="27">
        <f t="shared" ref="G8:G39" si="0">D8*F8</f>
        <v>0</v>
      </c>
    </row>
    <row r="9" spans="1:7" s="20" customFormat="1" x14ac:dyDescent="0.25">
      <c r="A9" s="3">
        <v>3</v>
      </c>
      <c r="B9" s="17" t="s">
        <v>75</v>
      </c>
      <c r="C9" s="17" t="s">
        <v>16</v>
      </c>
      <c r="D9" s="4">
        <v>1</v>
      </c>
      <c r="E9" s="18" t="s">
        <v>14</v>
      </c>
      <c r="F9" s="19"/>
      <c r="G9" s="27">
        <f t="shared" si="0"/>
        <v>0</v>
      </c>
    </row>
    <row r="10" spans="1:7" s="21" customFormat="1" ht="15.75" x14ac:dyDescent="0.3">
      <c r="A10" s="3">
        <v>4</v>
      </c>
      <c r="B10" s="17" t="s">
        <v>75</v>
      </c>
      <c r="C10" s="17" t="s">
        <v>17</v>
      </c>
      <c r="D10" s="4">
        <v>1</v>
      </c>
      <c r="E10" s="18" t="s">
        <v>14</v>
      </c>
      <c r="F10" s="19"/>
      <c r="G10" s="27">
        <f t="shared" si="0"/>
        <v>0</v>
      </c>
    </row>
    <row r="11" spans="1:7" s="20" customFormat="1" x14ac:dyDescent="0.25">
      <c r="A11" s="3">
        <v>5</v>
      </c>
      <c r="B11" s="17" t="s">
        <v>75</v>
      </c>
      <c r="C11" s="17" t="s">
        <v>18</v>
      </c>
      <c r="D11" s="4">
        <v>1</v>
      </c>
      <c r="E11" s="18" t="s">
        <v>14</v>
      </c>
      <c r="F11" s="19"/>
      <c r="G11" s="27">
        <f t="shared" si="0"/>
        <v>0</v>
      </c>
    </row>
    <row r="12" spans="1:7" s="20" customFormat="1" x14ac:dyDescent="0.25">
      <c r="A12" s="3">
        <v>6</v>
      </c>
      <c r="B12" s="17" t="s">
        <v>75</v>
      </c>
      <c r="C12" s="17" t="s">
        <v>19</v>
      </c>
      <c r="D12" s="4">
        <v>1</v>
      </c>
      <c r="E12" s="18" t="s">
        <v>14</v>
      </c>
      <c r="F12" s="19"/>
      <c r="G12" s="27">
        <f t="shared" si="0"/>
        <v>0</v>
      </c>
    </row>
    <row r="13" spans="1:7" s="20" customFormat="1" x14ac:dyDescent="0.25">
      <c r="A13" s="3">
        <v>7</v>
      </c>
      <c r="B13" s="17" t="s">
        <v>75</v>
      </c>
      <c r="C13" s="17" t="s">
        <v>20</v>
      </c>
      <c r="D13" s="4">
        <v>1</v>
      </c>
      <c r="E13" s="18" t="s">
        <v>14</v>
      </c>
      <c r="F13" s="19"/>
      <c r="G13" s="27">
        <f t="shared" si="0"/>
        <v>0</v>
      </c>
    </row>
    <row r="14" spans="1:7" s="20" customFormat="1" x14ac:dyDescent="0.25">
      <c r="A14" s="3">
        <v>8</v>
      </c>
      <c r="B14" s="17" t="s">
        <v>75</v>
      </c>
      <c r="C14" s="22" t="s">
        <v>21</v>
      </c>
      <c r="D14" s="23">
        <v>1</v>
      </c>
      <c r="E14" s="24" t="s">
        <v>14</v>
      </c>
      <c r="F14" s="19"/>
      <c r="G14" s="27">
        <f t="shared" si="0"/>
        <v>0</v>
      </c>
    </row>
    <row r="15" spans="1:7" s="20" customFormat="1" x14ac:dyDescent="0.25">
      <c r="A15" s="3">
        <v>9</v>
      </c>
      <c r="B15" s="17" t="s">
        <v>75</v>
      </c>
      <c r="C15" s="17" t="s">
        <v>22</v>
      </c>
      <c r="D15" s="4">
        <v>1</v>
      </c>
      <c r="E15" s="18" t="s">
        <v>14</v>
      </c>
      <c r="F15" s="19"/>
      <c r="G15" s="27">
        <f t="shared" si="0"/>
        <v>0</v>
      </c>
    </row>
    <row r="16" spans="1:7" s="20" customFormat="1" ht="15.75" thickBot="1" x14ac:dyDescent="0.3">
      <c r="A16" s="3">
        <v>10</v>
      </c>
      <c r="B16" s="17" t="s">
        <v>75</v>
      </c>
      <c r="C16" s="22" t="s">
        <v>23</v>
      </c>
      <c r="D16" s="23">
        <v>1</v>
      </c>
      <c r="E16" s="24" t="s">
        <v>14</v>
      </c>
      <c r="F16" s="19"/>
      <c r="G16" s="27">
        <f t="shared" si="0"/>
        <v>0</v>
      </c>
    </row>
    <row r="17" spans="1:7" s="11" customFormat="1" ht="17.25" thickTop="1" thickBot="1" x14ac:dyDescent="0.35">
      <c r="A17" s="86" t="s">
        <v>70</v>
      </c>
      <c r="B17" s="87"/>
      <c r="C17" s="87"/>
      <c r="D17" s="87"/>
      <c r="E17" s="87"/>
      <c r="F17" s="87"/>
      <c r="G17" s="9">
        <f>SUM(G7:G16)</f>
        <v>0</v>
      </c>
    </row>
    <row r="18" spans="1:7" s="20" customFormat="1" ht="16.5" thickTop="1" thickBot="1" x14ac:dyDescent="0.3">
      <c r="A18" s="3">
        <v>11</v>
      </c>
      <c r="B18" s="17" t="s">
        <v>76</v>
      </c>
      <c r="C18" s="17" t="s">
        <v>25</v>
      </c>
      <c r="D18" s="4">
        <v>1</v>
      </c>
      <c r="E18" s="18" t="s">
        <v>14</v>
      </c>
      <c r="F18" s="25"/>
      <c r="G18" s="27">
        <f t="shared" si="0"/>
        <v>0</v>
      </c>
    </row>
    <row r="19" spans="1:7" s="11" customFormat="1" ht="17.25" thickTop="1" thickBot="1" x14ac:dyDescent="0.35">
      <c r="A19" s="86" t="s">
        <v>68</v>
      </c>
      <c r="B19" s="87"/>
      <c r="C19" s="87"/>
      <c r="D19" s="87"/>
      <c r="E19" s="87"/>
      <c r="F19" s="87"/>
      <c r="G19" s="9">
        <f>SUM(G18)</f>
        <v>0</v>
      </c>
    </row>
    <row r="20" spans="1:7" s="20" customFormat="1" ht="15.75" thickTop="1" x14ac:dyDescent="0.25">
      <c r="A20" s="3">
        <v>12</v>
      </c>
      <c r="B20" s="26" t="s">
        <v>77</v>
      </c>
      <c r="C20" s="26" t="s">
        <v>27</v>
      </c>
      <c r="D20" s="4">
        <v>1</v>
      </c>
      <c r="E20" s="18" t="s">
        <v>14</v>
      </c>
      <c r="F20" s="19"/>
      <c r="G20" s="27">
        <f t="shared" si="0"/>
        <v>0</v>
      </c>
    </row>
    <row r="21" spans="1:7" s="21" customFormat="1" ht="15.75" x14ac:dyDescent="0.3">
      <c r="A21" s="3">
        <v>13</v>
      </c>
      <c r="B21" s="26" t="s">
        <v>77</v>
      </c>
      <c r="C21" s="17" t="s">
        <v>28</v>
      </c>
      <c r="D21" s="4">
        <v>1</v>
      </c>
      <c r="E21" s="18" t="s">
        <v>14</v>
      </c>
      <c r="F21" s="19"/>
      <c r="G21" s="27">
        <f t="shared" si="0"/>
        <v>0</v>
      </c>
    </row>
    <row r="22" spans="1:7" s="20" customFormat="1" ht="15.75" thickBot="1" x14ac:dyDescent="0.3">
      <c r="A22" s="3">
        <v>14</v>
      </c>
      <c r="B22" s="26" t="s">
        <v>77</v>
      </c>
      <c r="C22" s="26" t="s">
        <v>65</v>
      </c>
      <c r="D22" s="4">
        <v>1</v>
      </c>
      <c r="E22" s="18" t="s">
        <v>14</v>
      </c>
      <c r="F22" s="19"/>
      <c r="G22" s="27">
        <f t="shared" si="0"/>
        <v>0</v>
      </c>
    </row>
    <row r="23" spans="1:7" s="20" customFormat="1" ht="17.25" thickTop="1" thickBot="1" x14ac:dyDescent="0.35">
      <c r="A23" s="3"/>
      <c r="B23" s="26"/>
      <c r="C23" s="28" t="s">
        <v>69</v>
      </c>
      <c r="D23" s="4"/>
      <c r="E23" s="18"/>
      <c r="F23" s="29"/>
      <c r="G23" s="9">
        <f>SUM(G20:G22)</f>
        <v>0</v>
      </c>
    </row>
    <row r="24" spans="1:7" s="20" customFormat="1" ht="15.75" thickTop="1" x14ac:dyDescent="0.25">
      <c r="A24" s="3">
        <v>15</v>
      </c>
      <c r="B24" s="17" t="s">
        <v>78</v>
      </c>
      <c r="C24" s="17" t="s">
        <v>13</v>
      </c>
      <c r="D24" s="4">
        <v>6</v>
      </c>
      <c r="E24" s="18" t="s">
        <v>14</v>
      </c>
      <c r="F24" s="19"/>
      <c r="G24" s="27">
        <f t="shared" si="0"/>
        <v>0</v>
      </c>
    </row>
    <row r="25" spans="1:7" s="21" customFormat="1" ht="15.75" x14ac:dyDescent="0.3">
      <c r="A25" s="3">
        <v>16</v>
      </c>
      <c r="B25" s="17" t="s">
        <v>78</v>
      </c>
      <c r="C25" s="17" t="s">
        <v>15</v>
      </c>
      <c r="D25" s="4">
        <v>6</v>
      </c>
      <c r="E25" s="18" t="s">
        <v>14</v>
      </c>
      <c r="F25" s="19"/>
      <c r="G25" s="27">
        <f t="shared" si="0"/>
        <v>0</v>
      </c>
    </row>
    <row r="26" spans="1:7" s="20" customFormat="1" x14ac:dyDescent="0.25">
      <c r="A26" s="3">
        <v>17</v>
      </c>
      <c r="B26" s="17" t="s">
        <v>78</v>
      </c>
      <c r="C26" s="17" t="s">
        <v>16</v>
      </c>
      <c r="D26" s="4">
        <v>6</v>
      </c>
      <c r="E26" s="18" t="s">
        <v>14</v>
      </c>
      <c r="F26" s="19"/>
      <c r="G26" s="27">
        <f t="shared" si="0"/>
        <v>0</v>
      </c>
    </row>
    <row r="27" spans="1:7" s="21" customFormat="1" ht="15.75" x14ac:dyDescent="0.3">
      <c r="A27" s="3">
        <v>18</v>
      </c>
      <c r="B27" s="17" t="s">
        <v>78</v>
      </c>
      <c r="C27" s="17" t="s">
        <v>17</v>
      </c>
      <c r="D27" s="4">
        <v>6</v>
      </c>
      <c r="E27" s="18" t="s">
        <v>14</v>
      </c>
      <c r="F27" s="19"/>
      <c r="G27" s="27">
        <f t="shared" si="0"/>
        <v>0</v>
      </c>
    </row>
    <row r="28" spans="1:7" s="20" customFormat="1" x14ac:dyDescent="0.25">
      <c r="A28" s="3">
        <v>19</v>
      </c>
      <c r="B28" s="17" t="s">
        <v>78</v>
      </c>
      <c r="C28" s="17" t="s">
        <v>18</v>
      </c>
      <c r="D28" s="4">
        <v>6</v>
      </c>
      <c r="E28" s="18" t="s">
        <v>14</v>
      </c>
      <c r="F28" s="19"/>
      <c r="G28" s="27">
        <f t="shared" si="0"/>
        <v>0</v>
      </c>
    </row>
    <row r="29" spans="1:7" s="20" customFormat="1" x14ac:dyDescent="0.25">
      <c r="A29" s="3">
        <v>20</v>
      </c>
      <c r="B29" s="17" t="s">
        <v>78</v>
      </c>
      <c r="C29" s="17" t="s">
        <v>19</v>
      </c>
      <c r="D29" s="4">
        <v>6</v>
      </c>
      <c r="E29" s="18" t="s">
        <v>14</v>
      </c>
      <c r="F29" s="19"/>
      <c r="G29" s="27">
        <f t="shared" si="0"/>
        <v>0</v>
      </c>
    </row>
    <row r="30" spans="1:7" s="20" customFormat="1" x14ac:dyDescent="0.25">
      <c r="A30" s="3">
        <v>21</v>
      </c>
      <c r="B30" s="17" t="s">
        <v>78</v>
      </c>
      <c r="C30" s="17" t="s">
        <v>20</v>
      </c>
      <c r="D30" s="4">
        <v>6</v>
      </c>
      <c r="E30" s="18" t="s">
        <v>14</v>
      </c>
      <c r="F30" s="19"/>
      <c r="G30" s="27">
        <f t="shared" si="0"/>
        <v>0</v>
      </c>
    </row>
    <row r="31" spans="1:7" s="20" customFormat="1" x14ac:dyDescent="0.25">
      <c r="A31" s="3">
        <v>22</v>
      </c>
      <c r="B31" s="17" t="s">
        <v>78</v>
      </c>
      <c r="C31" s="22" t="s">
        <v>21</v>
      </c>
      <c r="D31" s="23">
        <v>6</v>
      </c>
      <c r="E31" s="24" t="s">
        <v>14</v>
      </c>
      <c r="F31" s="19"/>
      <c r="G31" s="27">
        <f t="shared" si="0"/>
        <v>0</v>
      </c>
    </row>
    <row r="32" spans="1:7" s="20" customFormat="1" x14ac:dyDescent="0.25">
      <c r="A32" s="3">
        <v>23</v>
      </c>
      <c r="B32" s="17" t="s">
        <v>78</v>
      </c>
      <c r="C32" s="17" t="s">
        <v>22</v>
      </c>
      <c r="D32" s="4">
        <v>6</v>
      </c>
      <c r="E32" s="18" t="s">
        <v>14</v>
      </c>
      <c r="F32" s="19"/>
      <c r="G32" s="27">
        <f t="shared" si="0"/>
        <v>0</v>
      </c>
    </row>
    <row r="33" spans="1:7" s="20" customFormat="1" ht="15.75" thickBot="1" x14ac:dyDescent="0.3">
      <c r="A33" s="3">
        <v>24</v>
      </c>
      <c r="B33" s="17" t="s">
        <v>78</v>
      </c>
      <c r="C33" s="22" t="s">
        <v>23</v>
      </c>
      <c r="D33" s="23">
        <v>6</v>
      </c>
      <c r="E33" s="24" t="s">
        <v>14</v>
      </c>
      <c r="F33" s="19"/>
      <c r="G33" s="27">
        <f t="shared" si="0"/>
        <v>0</v>
      </c>
    </row>
    <row r="34" spans="1:7" s="11" customFormat="1" ht="17.25" thickTop="1" thickBot="1" x14ac:dyDescent="0.35">
      <c r="A34" s="86" t="s">
        <v>24</v>
      </c>
      <c r="B34" s="87"/>
      <c r="C34" s="87"/>
      <c r="D34" s="87"/>
      <c r="E34" s="87"/>
      <c r="F34" s="87"/>
      <c r="G34" s="9">
        <f>SUM(G24:G33)</f>
        <v>0</v>
      </c>
    </row>
    <row r="35" spans="1:7" s="20" customFormat="1" ht="16.5" thickTop="1" thickBot="1" x14ac:dyDescent="0.3">
      <c r="A35" s="3">
        <v>25</v>
      </c>
      <c r="B35" s="17" t="s">
        <v>79</v>
      </c>
      <c r="C35" s="17" t="s">
        <v>25</v>
      </c>
      <c r="D35" s="4">
        <v>7</v>
      </c>
      <c r="E35" s="18" t="s">
        <v>14</v>
      </c>
      <c r="F35" s="25"/>
      <c r="G35" s="27">
        <f t="shared" si="0"/>
        <v>0</v>
      </c>
    </row>
    <row r="36" spans="1:7" s="11" customFormat="1" ht="17.25" thickTop="1" thickBot="1" x14ac:dyDescent="0.35">
      <c r="A36" s="86" t="s">
        <v>26</v>
      </c>
      <c r="B36" s="87"/>
      <c r="C36" s="87"/>
      <c r="D36" s="87"/>
      <c r="E36" s="87"/>
      <c r="F36" s="87"/>
      <c r="G36" s="9">
        <f>SUM(G35)</f>
        <v>0</v>
      </c>
    </row>
    <row r="37" spans="1:7" s="20" customFormat="1" ht="15.75" thickTop="1" x14ac:dyDescent="0.25">
      <c r="A37" s="3">
        <v>26</v>
      </c>
      <c r="B37" s="26" t="s">
        <v>80</v>
      </c>
      <c r="C37" s="26" t="s">
        <v>27</v>
      </c>
      <c r="D37" s="4">
        <v>6</v>
      </c>
      <c r="E37" s="18" t="s">
        <v>14</v>
      </c>
      <c r="F37" s="19"/>
      <c r="G37" s="27">
        <f t="shared" si="0"/>
        <v>0</v>
      </c>
    </row>
    <row r="38" spans="1:7" s="21" customFormat="1" ht="15.75" x14ac:dyDescent="0.3">
      <c r="A38" s="3">
        <v>27</v>
      </c>
      <c r="B38" s="26" t="s">
        <v>80</v>
      </c>
      <c r="C38" s="17" t="s">
        <v>28</v>
      </c>
      <c r="D38" s="4">
        <v>6</v>
      </c>
      <c r="E38" s="18" t="s">
        <v>14</v>
      </c>
      <c r="F38" s="19"/>
      <c r="G38" s="27">
        <f t="shared" si="0"/>
        <v>0</v>
      </c>
    </row>
    <row r="39" spans="1:7" s="20" customFormat="1" ht="15.75" thickBot="1" x14ac:dyDescent="0.3">
      <c r="A39" s="3">
        <v>28</v>
      </c>
      <c r="B39" s="26" t="s">
        <v>80</v>
      </c>
      <c r="C39" s="26" t="s">
        <v>65</v>
      </c>
      <c r="D39" s="4">
        <v>6</v>
      </c>
      <c r="E39" s="18" t="s">
        <v>14</v>
      </c>
      <c r="F39" s="19"/>
      <c r="G39" s="27">
        <f t="shared" si="0"/>
        <v>0</v>
      </c>
    </row>
    <row r="40" spans="1:7" s="11" customFormat="1" ht="17.25" thickTop="1" thickBot="1" x14ac:dyDescent="0.35">
      <c r="A40" s="86" t="s">
        <v>30</v>
      </c>
      <c r="B40" s="87"/>
      <c r="C40" s="87"/>
      <c r="D40" s="87"/>
      <c r="E40" s="87"/>
      <c r="F40" s="87"/>
      <c r="G40" s="9">
        <f>SUM(G37:G39)</f>
        <v>0</v>
      </c>
    </row>
    <row r="41" spans="1:7" s="11" customFormat="1" ht="17.25" thickTop="1" thickBot="1" x14ac:dyDescent="0.35">
      <c r="A41" s="71" t="s">
        <v>31</v>
      </c>
      <c r="B41" s="72"/>
      <c r="C41" s="72"/>
      <c r="D41" s="72"/>
      <c r="E41" s="72"/>
      <c r="F41" s="72"/>
      <c r="G41" s="9">
        <f>SUM(G17,G19,G23,G34,G36,G40)</f>
        <v>0</v>
      </c>
    </row>
    <row r="42" spans="1:7" s="11" customFormat="1" ht="16.5" thickTop="1" x14ac:dyDescent="0.3">
      <c r="A42" s="88" t="s">
        <v>32</v>
      </c>
      <c r="B42" s="89"/>
      <c r="C42" s="89"/>
      <c r="D42" s="89"/>
      <c r="E42" s="89"/>
      <c r="F42" s="89"/>
      <c r="G42" s="90"/>
    </row>
    <row r="43" spans="1:7" s="13" customFormat="1" ht="15.75" x14ac:dyDescent="0.3">
      <c r="A43" s="15" t="s">
        <v>6</v>
      </c>
      <c r="B43" s="1" t="s">
        <v>7</v>
      </c>
      <c r="C43" s="16" t="s">
        <v>8</v>
      </c>
      <c r="D43" s="16" t="s">
        <v>9</v>
      </c>
      <c r="E43" s="16" t="s">
        <v>10</v>
      </c>
      <c r="F43" s="16" t="s">
        <v>11</v>
      </c>
      <c r="G43" s="5" t="s">
        <v>12</v>
      </c>
    </row>
    <row r="44" spans="1:7" s="20" customFormat="1" x14ac:dyDescent="0.25">
      <c r="A44" s="3">
        <v>29</v>
      </c>
      <c r="B44" s="26" t="s">
        <v>81</v>
      </c>
      <c r="C44" s="17" t="s">
        <v>33</v>
      </c>
      <c r="D44" s="4">
        <v>1</v>
      </c>
      <c r="E44" s="18" t="s">
        <v>14</v>
      </c>
      <c r="F44" s="29"/>
      <c r="G44" s="27">
        <f t="shared" ref="G44:G46" si="1">D44*F44</f>
        <v>0</v>
      </c>
    </row>
    <row r="45" spans="1:7" s="20" customFormat="1" x14ac:dyDescent="0.25">
      <c r="A45" s="3">
        <v>30</v>
      </c>
      <c r="B45" s="26" t="s">
        <v>82</v>
      </c>
      <c r="C45" s="17" t="s">
        <v>33</v>
      </c>
      <c r="D45" s="4">
        <v>6</v>
      </c>
      <c r="E45" s="18" t="s">
        <v>14</v>
      </c>
      <c r="F45" s="29"/>
      <c r="G45" s="27">
        <f t="shared" si="1"/>
        <v>0</v>
      </c>
    </row>
    <row r="46" spans="1:7" s="20" customFormat="1" ht="15.75" thickBot="1" x14ac:dyDescent="0.3">
      <c r="A46" s="3">
        <v>31</v>
      </c>
      <c r="B46" s="26" t="s">
        <v>83</v>
      </c>
      <c r="C46" s="17" t="s">
        <v>33</v>
      </c>
      <c r="D46" s="4">
        <v>5</v>
      </c>
      <c r="E46" s="18" t="s">
        <v>14</v>
      </c>
      <c r="F46" s="29"/>
      <c r="G46" s="27">
        <f t="shared" si="1"/>
        <v>0</v>
      </c>
    </row>
    <row r="47" spans="1:7" s="11" customFormat="1" ht="17.25" thickTop="1" thickBot="1" x14ac:dyDescent="0.35">
      <c r="A47" s="86" t="s">
        <v>34</v>
      </c>
      <c r="B47" s="87"/>
      <c r="C47" s="87"/>
      <c r="D47" s="87"/>
      <c r="E47" s="87"/>
      <c r="F47" s="87"/>
      <c r="G47" s="9">
        <f>SUM(G44:G46)</f>
        <v>0</v>
      </c>
    </row>
    <row r="48" spans="1:7" s="11" customFormat="1" ht="17.25" thickTop="1" thickBot="1" x14ac:dyDescent="0.35">
      <c r="A48" s="71" t="s">
        <v>35</v>
      </c>
      <c r="B48" s="72"/>
      <c r="C48" s="72"/>
      <c r="D48" s="72"/>
      <c r="E48" s="72"/>
      <c r="F48" s="72"/>
      <c r="G48" s="9">
        <f>G47</f>
        <v>0</v>
      </c>
    </row>
    <row r="49" spans="1:7" s="11" customFormat="1" ht="16.5" thickTop="1" x14ac:dyDescent="0.3">
      <c r="A49" s="55" t="s">
        <v>36</v>
      </c>
      <c r="B49" s="56"/>
      <c r="C49" s="56"/>
      <c r="D49" s="56"/>
      <c r="E49" s="56"/>
      <c r="F49" s="56"/>
      <c r="G49" s="57"/>
    </row>
    <row r="50" spans="1:7" s="13" customFormat="1" ht="15.75" x14ac:dyDescent="0.3">
      <c r="A50" s="15" t="s">
        <v>6</v>
      </c>
      <c r="B50" s="1" t="s">
        <v>7</v>
      </c>
      <c r="C50" s="16" t="s">
        <v>8</v>
      </c>
      <c r="D50" s="16" t="s">
        <v>9</v>
      </c>
      <c r="E50" s="16" t="s">
        <v>10</v>
      </c>
      <c r="F50" s="16" t="s">
        <v>11</v>
      </c>
      <c r="G50" s="2" t="s">
        <v>12</v>
      </c>
    </row>
    <row r="51" spans="1:7" s="30" customFormat="1" x14ac:dyDescent="0.25">
      <c r="A51" s="3">
        <v>32</v>
      </c>
      <c r="B51" s="17" t="s">
        <v>84</v>
      </c>
      <c r="C51" s="17" t="s">
        <v>13</v>
      </c>
      <c r="D51" s="4">
        <v>1</v>
      </c>
      <c r="E51" s="18" t="s">
        <v>14</v>
      </c>
      <c r="F51" s="19"/>
      <c r="G51" s="27">
        <f t="shared" ref="G51:G61" si="2">D51*F51</f>
        <v>0</v>
      </c>
    </row>
    <row r="52" spans="1:7" s="30" customFormat="1" x14ac:dyDescent="0.25">
      <c r="A52" s="3">
        <v>33</v>
      </c>
      <c r="B52" s="17" t="s">
        <v>84</v>
      </c>
      <c r="C52" s="17" t="s">
        <v>17</v>
      </c>
      <c r="D52" s="4">
        <v>1</v>
      </c>
      <c r="E52" s="18" t="s">
        <v>14</v>
      </c>
      <c r="F52" s="19"/>
      <c r="G52" s="27">
        <f t="shared" si="2"/>
        <v>0</v>
      </c>
    </row>
    <row r="53" spans="1:7" s="30" customFormat="1" x14ac:dyDescent="0.25">
      <c r="A53" s="3">
        <v>34</v>
      </c>
      <c r="B53" s="17" t="s">
        <v>84</v>
      </c>
      <c r="C53" s="31" t="s">
        <v>37</v>
      </c>
      <c r="D53" s="4">
        <v>1</v>
      </c>
      <c r="E53" s="24" t="s">
        <v>14</v>
      </c>
      <c r="F53" s="19"/>
      <c r="G53" s="27">
        <f t="shared" si="2"/>
        <v>0</v>
      </c>
    </row>
    <row r="54" spans="1:7" s="30" customFormat="1" x14ac:dyDescent="0.25">
      <c r="A54" s="3">
        <v>35</v>
      </c>
      <c r="B54" s="17" t="s">
        <v>84</v>
      </c>
      <c r="C54" s="17" t="s">
        <v>15</v>
      </c>
      <c r="D54" s="4">
        <v>1</v>
      </c>
      <c r="E54" s="18" t="s">
        <v>14</v>
      </c>
      <c r="F54" s="19"/>
      <c r="G54" s="27">
        <f t="shared" si="2"/>
        <v>0</v>
      </c>
    </row>
    <row r="55" spans="1:7" s="30" customFormat="1" x14ac:dyDescent="0.25">
      <c r="A55" s="3">
        <v>36</v>
      </c>
      <c r="B55" s="17" t="s">
        <v>84</v>
      </c>
      <c r="C55" s="17" t="s">
        <v>22</v>
      </c>
      <c r="D55" s="4">
        <v>1</v>
      </c>
      <c r="E55" s="18" t="s">
        <v>14</v>
      </c>
      <c r="F55" s="19"/>
      <c r="G55" s="27">
        <f t="shared" si="2"/>
        <v>0</v>
      </c>
    </row>
    <row r="56" spans="1:7" s="30" customFormat="1" x14ac:dyDescent="0.25">
      <c r="A56" s="3">
        <v>37</v>
      </c>
      <c r="B56" s="17" t="s">
        <v>84</v>
      </c>
      <c r="C56" s="17" t="s">
        <v>18</v>
      </c>
      <c r="D56" s="4">
        <v>1</v>
      </c>
      <c r="E56" s="18" t="s">
        <v>14</v>
      </c>
      <c r="F56" s="19"/>
      <c r="G56" s="27">
        <f t="shared" si="2"/>
        <v>0</v>
      </c>
    </row>
    <row r="57" spans="1:7" s="30" customFormat="1" x14ac:dyDescent="0.25">
      <c r="A57" s="3">
        <v>38</v>
      </c>
      <c r="B57" s="17" t="s">
        <v>84</v>
      </c>
      <c r="C57" s="17" t="s">
        <v>16</v>
      </c>
      <c r="D57" s="4">
        <v>1</v>
      </c>
      <c r="E57" s="18" t="s">
        <v>14</v>
      </c>
      <c r="F57" s="19"/>
      <c r="G57" s="27">
        <f t="shared" si="2"/>
        <v>0</v>
      </c>
    </row>
    <row r="58" spans="1:7" s="30" customFormat="1" x14ac:dyDescent="0.25">
      <c r="A58" s="3">
        <v>39</v>
      </c>
      <c r="B58" s="17" t="s">
        <v>84</v>
      </c>
      <c r="C58" s="32" t="s">
        <v>21</v>
      </c>
      <c r="D58" s="4">
        <v>1</v>
      </c>
      <c r="E58" s="18" t="s">
        <v>14</v>
      </c>
      <c r="F58" s="19"/>
      <c r="G58" s="27">
        <f t="shared" si="2"/>
        <v>0</v>
      </c>
    </row>
    <row r="59" spans="1:7" s="30" customFormat="1" x14ac:dyDescent="0.25">
      <c r="A59" s="3">
        <v>40</v>
      </c>
      <c r="B59" s="17" t="s">
        <v>84</v>
      </c>
      <c r="C59" s="17" t="s">
        <v>20</v>
      </c>
      <c r="D59" s="4">
        <v>1</v>
      </c>
      <c r="E59" s="18" t="s">
        <v>14</v>
      </c>
      <c r="F59" s="19"/>
      <c r="G59" s="27">
        <f t="shared" si="2"/>
        <v>0</v>
      </c>
    </row>
    <row r="60" spans="1:7" s="20" customFormat="1" x14ac:dyDescent="0.25">
      <c r="A60" s="3">
        <v>41</v>
      </c>
      <c r="B60" s="17" t="s">
        <v>84</v>
      </c>
      <c r="C60" s="17" t="s">
        <v>23</v>
      </c>
      <c r="D60" s="4">
        <v>1</v>
      </c>
      <c r="E60" s="18" t="s">
        <v>14</v>
      </c>
      <c r="F60" s="19"/>
      <c r="G60" s="27">
        <f t="shared" si="2"/>
        <v>0</v>
      </c>
    </row>
    <row r="61" spans="1:7" s="30" customFormat="1" ht="15.75" thickBot="1" x14ac:dyDescent="0.3">
      <c r="A61" s="3">
        <v>42</v>
      </c>
      <c r="B61" s="17" t="s">
        <v>84</v>
      </c>
      <c r="C61" s="17" t="s">
        <v>19</v>
      </c>
      <c r="D61" s="4">
        <v>1</v>
      </c>
      <c r="E61" s="18" t="s">
        <v>14</v>
      </c>
      <c r="F61" s="19"/>
      <c r="G61" s="27">
        <f t="shared" si="2"/>
        <v>0</v>
      </c>
    </row>
    <row r="62" spans="1:7" s="13" customFormat="1" ht="17.25" thickTop="1" thickBot="1" x14ac:dyDescent="0.35">
      <c r="A62" s="15"/>
      <c r="B62" s="1"/>
      <c r="C62" s="16"/>
      <c r="D62" s="13" t="s">
        <v>71</v>
      </c>
      <c r="E62" s="16"/>
      <c r="F62" s="33"/>
      <c r="G62" s="9">
        <f>SUM(G51:G61)</f>
        <v>0</v>
      </c>
    </row>
    <row r="63" spans="1:7" s="20" customFormat="1" ht="16.5" thickTop="1" thickBot="1" x14ac:dyDescent="0.3">
      <c r="A63" s="3">
        <v>43</v>
      </c>
      <c r="B63" s="17" t="s">
        <v>84</v>
      </c>
      <c r="C63" s="17" t="s">
        <v>39</v>
      </c>
      <c r="D63" s="4">
        <v>1</v>
      </c>
      <c r="E63" s="18" t="s">
        <v>14</v>
      </c>
      <c r="F63" s="19"/>
      <c r="G63" s="27">
        <f t="shared" ref="G63" si="3">D63*F63</f>
        <v>0</v>
      </c>
    </row>
    <row r="64" spans="1:7" s="13" customFormat="1" ht="17.25" thickTop="1" thickBot="1" x14ac:dyDescent="0.35">
      <c r="A64" s="15"/>
      <c r="B64" s="1"/>
      <c r="C64" s="16"/>
      <c r="D64" s="16" t="s">
        <v>71</v>
      </c>
      <c r="E64" s="16"/>
      <c r="F64" s="33"/>
      <c r="G64" s="9">
        <f>SUM(G63)</f>
        <v>0</v>
      </c>
    </row>
    <row r="65" spans="1:7" s="30" customFormat="1" ht="15.75" thickTop="1" x14ac:dyDescent="0.25">
      <c r="A65" s="3">
        <v>44</v>
      </c>
      <c r="B65" s="17" t="s">
        <v>85</v>
      </c>
      <c r="C65" s="17" t="s">
        <v>13</v>
      </c>
      <c r="D65" s="4">
        <v>6</v>
      </c>
      <c r="E65" s="18" t="s">
        <v>14</v>
      </c>
      <c r="F65" s="19"/>
      <c r="G65" s="27">
        <f t="shared" ref="G65:G75" si="4">D65*F65</f>
        <v>0</v>
      </c>
    </row>
    <row r="66" spans="1:7" s="30" customFormat="1" x14ac:dyDescent="0.25">
      <c r="A66" s="3">
        <v>45</v>
      </c>
      <c r="B66" s="17" t="s">
        <v>85</v>
      </c>
      <c r="C66" s="17" t="s">
        <v>17</v>
      </c>
      <c r="D66" s="4">
        <v>6</v>
      </c>
      <c r="E66" s="18" t="s">
        <v>14</v>
      </c>
      <c r="F66" s="19"/>
      <c r="G66" s="27">
        <f t="shared" si="4"/>
        <v>0</v>
      </c>
    </row>
    <row r="67" spans="1:7" s="30" customFormat="1" x14ac:dyDescent="0.25">
      <c r="A67" s="3">
        <v>46</v>
      </c>
      <c r="B67" s="17" t="s">
        <v>85</v>
      </c>
      <c r="C67" s="31" t="s">
        <v>37</v>
      </c>
      <c r="D67" s="4">
        <v>6</v>
      </c>
      <c r="E67" s="24" t="s">
        <v>14</v>
      </c>
      <c r="F67" s="19"/>
      <c r="G67" s="27">
        <f t="shared" si="4"/>
        <v>0</v>
      </c>
    </row>
    <row r="68" spans="1:7" s="30" customFormat="1" x14ac:dyDescent="0.25">
      <c r="A68" s="3">
        <v>47</v>
      </c>
      <c r="B68" s="17" t="s">
        <v>85</v>
      </c>
      <c r="C68" s="17" t="s">
        <v>15</v>
      </c>
      <c r="D68" s="4">
        <v>6</v>
      </c>
      <c r="E68" s="18" t="s">
        <v>14</v>
      </c>
      <c r="F68" s="19"/>
      <c r="G68" s="27">
        <f t="shared" si="4"/>
        <v>0</v>
      </c>
    </row>
    <row r="69" spans="1:7" s="30" customFormat="1" x14ac:dyDescent="0.25">
      <c r="A69" s="3">
        <v>48</v>
      </c>
      <c r="B69" s="17" t="s">
        <v>85</v>
      </c>
      <c r="C69" s="17" t="s">
        <v>22</v>
      </c>
      <c r="D69" s="4">
        <v>6</v>
      </c>
      <c r="E69" s="18" t="s">
        <v>14</v>
      </c>
      <c r="F69" s="19"/>
      <c r="G69" s="27">
        <f t="shared" si="4"/>
        <v>0</v>
      </c>
    </row>
    <row r="70" spans="1:7" s="30" customFormat="1" x14ac:dyDescent="0.25">
      <c r="A70" s="3">
        <v>49</v>
      </c>
      <c r="B70" s="17" t="s">
        <v>85</v>
      </c>
      <c r="C70" s="17" t="s">
        <v>18</v>
      </c>
      <c r="D70" s="4">
        <v>6</v>
      </c>
      <c r="E70" s="18" t="s">
        <v>14</v>
      </c>
      <c r="F70" s="19"/>
      <c r="G70" s="27">
        <f t="shared" si="4"/>
        <v>0</v>
      </c>
    </row>
    <row r="71" spans="1:7" s="30" customFormat="1" x14ac:dyDescent="0.25">
      <c r="A71" s="3">
        <v>50</v>
      </c>
      <c r="B71" s="17" t="s">
        <v>85</v>
      </c>
      <c r="C71" s="17" t="s">
        <v>16</v>
      </c>
      <c r="D71" s="4">
        <v>6</v>
      </c>
      <c r="E71" s="18" t="s">
        <v>14</v>
      </c>
      <c r="F71" s="19"/>
      <c r="G71" s="27">
        <f t="shared" si="4"/>
        <v>0</v>
      </c>
    </row>
    <row r="72" spans="1:7" s="30" customFormat="1" x14ac:dyDescent="0.25">
      <c r="A72" s="3">
        <v>51</v>
      </c>
      <c r="B72" s="17" t="s">
        <v>85</v>
      </c>
      <c r="C72" s="32" t="s">
        <v>21</v>
      </c>
      <c r="D72" s="4">
        <v>6</v>
      </c>
      <c r="E72" s="18" t="s">
        <v>14</v>
      </c>
      <c r="F72" s="19"/>
      <c r="G72" s="27">
        <f>D72*F72</f>
        <v>0</v>
      </c>
    </row>
    <row r="73" spans="1:7" s="30" customFormat="1" x14ac:dyDescent="0.25">
      <c r="A73" s="3">
        <v>52</v>
      </c>
      <c r="B73" s="17" t="s">
        <v>85</v>
      </c>
      <c r="C73" s="17" t="s">
        <v>20</v>
      </c>
      <c r="D73" s="4">
        <v>6</v>
      </c>
      <c r="E73" s="18" t="s">
        <v>14</v>
      </c>
      <c r="F73" s="19"/>
      <c r="G73" s="27">
        <f t="shared" si="4"/>
        <v>0</v>
      </c>
    </row>
    <row r="74" spans="1:7" s="20" customFormat="1" x14ac:dyDescent="0.25">
      <c r="A74" s="3">
        <v>53</v>
      </c>
      <c r="B74" s="17" t="s">
        <v>85</v>
      </c>
      <c r="C74" s="17" t="s">
        <v>23</v>
      </c>
      <c r="D74" s="4">
        <v>6</v>
      </c>
      <c r="E74" s="18" t="s">
        <v>14</v>
      </c>
      <c r="F74" s="19"/>
      <c r="G74" s="27">
        <f t="shared" si="4"/>
        <v>0</v>
      </c>
    </row>
    <row r="75" spans="1:7" s="30" customFormat="1" ht="15.75" thickBot="1" x14ac:dyDescent="0.3">
      <c r="A75" s="3">
        <v>54</v>
      </c>
      <c r="B75" s="17" t="s">
        <v>85</v>
      </c>
      <c r="C75" s="17" t="s">
        <v>19</v>
      </c>
      <c r="D75" s="4">
        <v>6</v>
      </c>
      <c r="E75" s="18" t="s">
        <v>14</v>
      </c>
      <c r="F75" s="19"/>
      <c r="G75" s="27">
        <f t="shared" si="4"/>
        <v>0</v>
      </c>
    </row>
    <row r="76" spans="1:7" s="11" customFormat="1" ht="17.25" thickTop="1" thickBot="1" x14ac:dyDescent="0.35">
      <c r="A76" s="50" t="s">
        <v>38</v>
      </c>
      <c r="B76" s="51"/>
      <c r="C76" s="51"/>
      <c r="D76" s="51"/>
      <c r="E76" s="51"/>
      <c r="F76" s="51"/>
      <c r="G76" s="9">
        <f>SUM(G65:G75)</f>
        <v>0</v>
      </c>
    </row>
    <row r="77" spans="1:7" s="20" customFormat="1" ht="16.5" thickTop="1" thickBot="1" x14ac:dyDescent="0.3">
      <c r="A77" s="3">
        <v>55</v>
      </c>
      <c r="B77" s="17" t="s">
        <v>85</v>
      </c>
      <c r="C77" s="17" t="s">
        <v>39</v>
      </c>
      <c r="D77" s="4">
        <v>6</v>
      </c>
      <c r="E77" s="18" t="s">
        <v>14</v>
      </c>
      <c r="F77" s="19"/>
      <c r="G77" s="27">
        <f>D77*F77</f>
        <v>0</v>
      </c>
    </row>
    <row r="78" spans="1:7" s="11" customFormat="1" ht="17.25" thickTop="1" thickBot="1" x14ac:dyDescent="0.35">
      <c r="A78" s="50" t="s">
        <v>38</v>
      </c>
      <c r="B78" s="51"/>
      <c r="C78" s="51"/>
      <c r="D78" s="51"/>
      <c r="E78" s="51"/>
      <c r="F78" s="51"/>
      <c r="G78" s="9">
        <f>SUM(G77)</f>
        <v>0</v>
      </c>
    </row>
    <row r="79" spans="1:7" s="20" customFormat="1" ht="15.75" thickTop="1" x14ac:dyDescent="0.25">
      <c r="A79" s="3">
        <v>56</v>
      </c>
      <c r="B79" s="17" t="s">
        <v>86</v>
      </c>
      <c r="C79" s="17" t="s">
        <v>13</v>
      </c>
      <c r="D79" s="4">
        <v>1</v>
      </c>
      <c r="E79" s="18" t="s">
        <v>14</v>
      </c>
      <c r="F79" s="19"/>
      <c r="G79" s="27">
        <f t="shared" ref="G79:G89" si="5">D79*F79</f>
        <v>0</v>
      </c>
    </row>
    <row r="80" spans="1:7" s="20" customFormat="1" x14ac:dyDescent="0.25">
      <c r="A80" s="3">
        <v>57</v>
      </c>
      <c r="B80" s="17" t="s">
        <v>86</v>
      </c>
      <c r="C80" s="17" t="s">
        <v>17</v>
      </c>
      <c r="D80" s="4">
        <v>1</v>
      </c>
      <c r="E80" s="18" t="s">
        <v>14</v>
      </c>
      <c r="F80" s="19"/>
      <c r="G80" s="27">
        <f t="shared" si="5"/>
        <v>0</v>
      </c>
    </row>
    <row r="81" spans="1:7" s="20" customFormat="1" x14ac:dyDescent="0.25">
      <c r="A81" s="3">
        <v>58</v>
      </c>
      <c r="B81" s="17" t="s">
        <v>86</v>
      </c>
      <c r="C81" s="17" t="s">
        <v>37</v>
      </c>
      <c r="D81" s="4">
        <v>1</v>
      </c>
      <c r="E81" s="18" t="s">
        <v>14</v>
      </c>
      <c r="F81" s="19"/>
      <c r="G81" s="27">
        <f t="shared" si="5"/>
        <v>0</v>
      </c>
    </row>
    <row r="82" spans="1:7" s="20" customFormat="1" x14ac:dyDescent="0.25">
      <c r="A82" s="3">
        <v>59</v>
      </c>
      <c r="B82" s="17" t="s">
        <v>86</v>
      </c>
      <c r="C82" s="17" t="s">
        <v>18</v>
      </c>
      <c r="D82" s="4">
        <v>1</v>
      </c>
      <c r="E82" s="18" t="s">
        <v>14</v>
      </c>
      <c r="F82" s="19"/>
      <c r="G82" s="27">
        <f t="shared" si="5"/>
        <v>0</v>
      </c>
    </row>
    <row r="83" spans="1:7" s="20" customFormat="1" x14ac:dyDescent="0.25">
      <c r="A83" s="3">
        <v>60</v>
      </c>
      <c r="B83" s="17" t="s">
        <v>86</v>
      </c>
      <c r="C83" s="17" t="s">
        <v>15</v>
      </c>
      <c r="D83" s="4">
        <v>1</v>
      </c>
      <c r="E83" s="18" t="s">
        <v>14</v>
      </c>
      <c r="F83" s="19"/>
      <c r="G83" s="27">
        <f t="shared" si="5"/>
        <v>0</v>
      </c>
    </row>
    <row r="84" spans="1:7" s="20" customFormat="1" x14ac:dyDescent="0.25">
      <c r="A84" s="3">
        <v>61</v>
      </c>
      <c r="B84" s="17" t="s">
        <v>86</v>
      </c>
      <c r="C84" s="17" t="s">
        <v>21</v>
      </c>
      <c r="D84" s="4">
        <v>1</v>
      </c>
      <c r="E84" s="18" t="s">
        <v>14</v>
      </c>
      <c r="F84" s="19"/>
      <c r="G84" s="27">
        <f t="shared" si="5"/>
        <v>0</v>
      </c>
    </row>
    <row r="85" spans="1:7" s="20" customFormat="1" x14ac:dyDescent="0.25">
      <c r="A85" s="3">
        <v>62</v>
      </c>
      <c r="B85" s="17" t="s">
        <v>86</v>
      </c>
      <c r="C85" s="17" t="s">
        <v>19</v>
      </c>
      <c r="D85" s="4">
        <v>1</v>
      </c>
      <c r="E85" s="18" t="s">
        <v>14</v>
      </c>
      <c r="F85" s="19"/>
      <c r="G85" s="27">
        <f t="shared" si="5"/>
        <v>0</v>
      </c>
    </row>
    <row r="86" spans="1:7" s="20" customFormat="1" x14ac:dyDescent="0.25">
      <c r="A86" s="3">
        <v>63</v>
      </c>
      <c r="B86" s="17" t="s">
        <v>86</v>
      </c>
      <c r="C86" s="17" t="s">
        <v>22</v>
      </c>
      <c r="D86" s="4">
        <v>1</v>
      </c>
      <c r="E86" s="18" t="s">
        <v>14</v>
      </c>
      <c r="F86" s="19"/>
      <c r="G86" s="27">
        <f t="shared" si="5"/>
        <v>0</v>
      </c>
    </row>
    <row r="87" spans="1:7" s="20" customFormat="1" x14ac:dyDescent="0.25">
      <c r="A87" s="3">
        <v>64</v>
      </c>
      <c r="B87" s="17" t="s">
        <v>86</v>
      </c>
      <c r="C87" s="17" t="s">
        <v>16</v>
      </c>
      <c r="D87" s="4">
        <v>1</v>
      </c>
      <c r="E87" s="18" t="s">
        <v>14</v>
      </c>
      <c r="F87" s="19"/>
      <c r="G87" s="27">
        <f t="shared" si="5"/>
        <v>0</v>
      </c>
    </row>
    <row r="88" spans="1:7" s="20" customFormat="1" x14ac:dyDescent="0.25">
      <c r="A88" s="3">
        <v>65</v>
      </c>
      <c r="B88" s="17" t="s">
        <v>86</v>
      </c>
      <c r="C88" s="17" t="s">
        <v>23</v>
      </c>
      <c r="D88" s="4">
        <v>1</v>
      </c>
      <c r="E88" s="18" t="s">
        <v>14</v>
      </c>
      <c r="F88" s="19"/>
      <c r="G88" s="27">
        <f t="shared" si="5"/>
        <v>0</v>
      </c>
    </row>
    <row r="89" spans="1:7" s="20" customFormat="1" ht="15.75" thickBot="1" x14ac:dyDescent="0.3">
      <c r="A89" s="3">
        <v>66</v>
      </c>
      <c r="B89" s="17" t="s">
        <v>86</v>
      </c>
      <c r="C89" s="31" t="s">
        <v>20</v>
      </c>
      <c r="D89" s="23">
        <v>1</v>
      </c>
      <c r="E89" s="24" t="s">
        <v>14</v>
      </c>
      <c r="F89" s="19"/>
      <c r="G89" s="27">
        <f t="shared" si="5"/>
        <v>0</v>
      </c>
    </row>
    <row r="90" spans="1:7" s="11" customFormat="1" ht="17.25" thickTop="1" thickBot="1" x14ac:dyDescent="0.35">
      <c r="A90" s="50" t="s">
        <v>40</v>
      </c>
      <c r="B90" s="51"/>
      <c r="C90" s="51"/>
      <c r="D90" s="51"/>
      <c r="E90" s="51"/>
      <c r="F90" s="51"/>
      <c r="G90" s="9">
        <f>SUM(G79:G89)</f>
        <v>0</v>
      </c>
    </row>
    <row r="91" spans="1:7" s="20" customFormat="1" ht="15.75" thickTop="1" x14ac:dyDescent="0.25">
      <c r="A91" s="3">
        <v>67</v>
      </c>
      <c r="B91" s="17" t="s">
        <v>103</v>
      </c>
      <c r="C91" s="17" t="s">
        <v>13</v>
      </c>
      <c r="D91" s="4">
        <v>4</v>
      </c>
      <c r="E91" s="18" t="s">
        <v>14</v>
      </c>
      <c r="F91" s="19"/>
      <c r="G91" s="27">
        <f t="shared" ref="G91:G99" si="6">D91*F91</f>
        <v>0</v>
      </c>
    </row>
    <row r="92" spans="1:7" s="20" customFormat="1" x14ac:dyDescent="0.25">
      <c r="A92" s="3">
        <v>68</v>
      </c>
      <c r="B92" s="17" t="s">
        <v>103</v>
      </c>
      <c r="C92" s="17" t="s">
        <v>66</v>
      </c>
      <c r="D92" s="4">
        <v>4</v>
      </c>
      <c r="E92" s="18" t="s">
        <v>14</v>
      </c>
      <c r="F92" s="19"/>
      <c r="G92" s="27">
        <f t="shared" si="6"/>
        <v>0</v>
      </c>
    </row>
    <row r="93" spans="1:7" s="20" customFormat="1" x14ac:dyDescent="0.25">
      <c r="A93" s="3">
        <v>69</v>
      </c>
      <c r="B93" s="17" t="s">
        <v>103</v>
      </c>
      <c r="C93" s="17" t="s">
        <v>37</v>
      </c>
      <c r="D93" s="4">
        <v>4</v>
      </c>
      <c r="E93" s="18" t="s">
        <v>14</v>
      </c>
      <c r="F93" s="19"/>
      <c r="G93" s="27">
        <f t="shared" si="6"/>
        <v>0</v>
      </c>
    </row>
    <row r="94" spans="1:7" s="20" customFormat="1" x14ac:dyDescent="0.25">
      <c r="A94" s="3">
        <v>70</v>
      </c>
      <c r="B94" s="17" t="s">
        <v>103</v>
      </c>
      <c r="C94" s="17" t="s">
        <v>15</v>
      </c>
      <c r="D94" s="4">
        <v>4</v>
      </c>
      <c r="E94" s="18" t="s">
        <v>14</v>
      </c>
      <c r="F94" s="19"/>
      <c r="G94" s="27">
        <f t="shared" si="6"/>
        <v>0</v>
      </c>
    </row>
    <row r="95" spans="1:7" s="20" customFormat="1" x14ac:dyDescent="0.25">
      <c r="A95" s="3">
        <v>71</v>
      </c>
      <c r="B95" s="17" t="s">
        <v>103</v>
      </c>
      <c r="C95" s="17" t="s">
        <v>18</v>
      </c>
      <c r="D95" s="4">
        <v>4</v>
      </c>
      <c r="E95" s="18" t="s">
        <v>14</v>
      </c>
      <c r="F95" s="19"/>
      <c r="G95" s="27">
        <f t="shared" si="6"/>
        <v>0</v>
      </c>
    </row>
    <row r="96" spans="1:7" s="20" customFormat="1" x14ac:dyDescent="0.25">
      <c r="A96" s="3">
        <v>72</v>
      </c>
      <c r="B96" s="17" t="s">
        <v>103</v>
      </c>
      <c r="C96" s="17" t="s">
        <v>67</v>
      </c>
      <c r="D96" s="4">
        <v>4</v>
      </c>
      <c r="E96" s="18" t="s">
        <v>14</v>
      </c>
      <c r="F96" s="19"/>
      <c r="G96" s="27">
        <f t="shared" si="6"/>
        <v>0</v>
      </c>
    </row>
    <row r="97" spans="1:7" s="20" customFormat="1" x14ac:dyDescent="0.25">
      <c r="A97" s="3">
        <v>73</v>
      </c>
      <c r="B97" s="17" t="s">
        <v>103</v>
      </c>
      <c r="C97" s="17" t="s">
        <v>21</v>
      </c>
      <c r="D97" s="4">
        <v>4</v>
      </c>
      <c r="E97" s="18" t="s">
        <v>14</v>
      </c>
      <c r="F97" s="19"/>
      <c r="G97" s="27">
        <f t="shared" si="6"/>
        <v>0</v>
      </c>
    </row>
    <row r="98" spans="1:7" s="20" customFormat="1" x14ac:dyDescent="0.25">
      <c r="A98" s="3">
        <v>74</v>
      </c>
      <c r="B98" s="17" t="s">
        <v>103</v>
      </c>
      <c r="C98" s="17" t="s">
        <v>19</v>
      </c>
      <c r="D98" s="4">
        <v>4</v>
      </c>
      <c r="E98" s="18" t="s">
        <v>14</v>
      </c>
      <c r="F98" s="19"/>
      <c r="G98" s="27">
        <f t="shared" si="6"/>
        <v>0</v>
      </c>
    </row>
    <row r="99" spans="1:7" s="20" customFormat="1" ht="15.75" thickBot="1" x14ac:dyDescent="0.3">
      <c r="A99" s="3">
        <v>75</v>
      </c>
      <c r="B99" s="17" t="s">
        <v>103</v>
      </c>
      <c r="C99" s="17" t="s">
        <v>23</v>
      </c>
      <c r="D99" s="4">
        <v>4</v>
      </c>
      <c r="E99" s="18" t="s">
        <v>14</v>
      </c>
      <c r="F99" s="19"/>
      <c r="G99" s="27">
        <f t="shared" si="6"/>
        <v>0</v>
      </c>
    </row>
    <row r="100" spans="1:7" s="11" customFormat="1" ht="17.25" thickTop="1" thickBot="1" x14ac:dyDescent="0.35">
      <c r="A100" s="50" t="s">
        <v>41</v>
      </c>
      <c r="B100" s="51"/>
      <c r="C100" s="51"/>
      <c r="D100" s="51"/>
      <c r="E100" s="51"/>
      <c r="F100" s="51"/>
      <c r="G100" s="9">
        <f>SUM(G91:G99)</f>
        <v>0</v>
      </c>
    </row>
    <row r="101" spans="1:7" s="11" customFormat="1" ht="17.25" thickTop="1" thickBot="1" x14ac:dyDescent="0.35">
      <c r="A101" s="71" t="s">
        <v>42</v>
      </c>
      <c r="B101" s="72"/>
      <c r="C101" s="72"/>
      <c r="D101" s="72"/>
      <c r="E101" s="72"/>
      <c r="F101" s="72"/>
      <c r="G101" s="9">
        <f>SUM(G62,G64,G76,G78,G90,G100)</f>
        <v>0</v>
      </c>
    </row>
    <row r="102" spans="1:7" s="11" customFormat="1" ht="16.5" thickTop="1" x14ac:dyDescent="0.3">
      <c r="A102" s="55" t="s">
        <v>43</v>
      </c>
      <c r="B102" s="56"/>
      <c r="C102" s="56"/>
      <c r="D102" s="56"/>
      <c r="E102" s="56"/>
      <c r="F102" s="56"/>
      <c r="G102" s="57"/>
    </row>
    <row r="103" spans="1:7" s="13" customFormat="1" ht="15.75" x14ac:dyDescent="0.3">
      <c r="A103" s="15" t="s">
        <v>6</v>
      </c>
      <c r="B103" s="1" t="s">
        <v>7</v>
      </c>
      <c r="C103" s="16" t="s">
        <v>8</v>
      </c>
      <c r="D103" s="16" t="s">
        <v>9</v>
      </c>
      <c r="E103" s="16" t="s">
        <v>10</v>
      </c>
      <c r="F103" s="16" t="s">
        <v>11</v>
      </c>
      <c r="G103" s="2" t="s">
        <v>12</v>
      </c>
    </row>
    <row r="104" spans="1:7" s="20" customFormat="1" x14ac:dyDescent="0.25">
      <c r="A104" s="3">
        <v>76</v>
      </c>
      <c r="B104" s="17" t="s">
        <v>88</v>
      </c>
      <c r="C104" s="17" t="s">
        <v>13</v>
      </c>
      <c r="D104" s="4">
        <v>1</v>
      </c>
      <c r="E104" s="18" t="s">
        <v>14</v>
      </c>
      <c r="F104" s="19"/>
      <c r="G104" s="27">
        <f t="shared" ref="G104:G114" si="7">D104*F104</f>
        <v>0</v>
      </c>
    </row>
    <row r="105" spans="1:7" s="30" customFormat="1" x14ac:dyDescent="0.25">
      <c r="A105" s="3">
        <v>77</v>
      </c>
      <c r="B105" s="17" t="s">
        <v>88</v>
      </c>
      <c r="C105" s="17" t="s">
        <v>17</v>
      </c>
      <c r="D105" s="4">
        <v>1</v>
      </c>
      <c r="E105" s="18" t="s">
        <v>14</v>
      </c>
      <c r="F105" s="19"/>
      <c r="G105" s="27">
        <f t="shared" si="7"/>
        <v>0</v>
      </c>
    </row>
    <row r="106" spans="1:7" s="30" customFormat="1" x14ac:dyDescent="0.25">
      <c r="A106" s="3">
        <v>78</v>
      </c>
      <c r="B106" s="17" t="s">
        <v>88</v>
      </c>
      <c r="C106" s="31" t="s">
        <v>37</v>
      </c>
      <c r="D106" s="23">
        <v>1</v>
      </c>
      <c r="E106" s="24" t="s">
        <v>14</v>
      </c>
      <c r="F106" s="19"/>
      <c r="G106" s="27">
        <f t="shared" si="7"/>
        <v>0</v>
      </c>
    </row>
    <row r="107" spans="1:7" s="30" customFormat="1" x14ac:dyDescent="0.25">
      <c r="A107" s="3">
        <v>79</v>
      </c>
      <c r="B107" s="17" t="s">
        <v>88</v>
      </c>
      <c r="C107" s="34" t="s">
        <v>15</v>
      </c>
      <c r="D107" s="4">
        <v>1</v>
      </c>
      <c r="E107" s="18" t="s">
        <v>14</v>
      </c>
      <c r="F107" s="19"/>
      <c r="G107" s="27">
        <f t="shared" si="7"/>
        <v>0</v>
      </c>
    </row>
    <row r="108" spans="1:7" s="30" customFormat="1" x14ac:dyDescent="0.25">
      <c r="A108" s="3">
        <v>80</v>
      </c>
      <c r="B108" s="17" t="s">
        <v>88</v>
      </c>
      <c r="C108" s="34" t="s">
        <v>22</v>
      </c>
      <c r="D108" s="4">
        <v>1</v>
      </c>
      <c r="E108" s="18" t="s">
        <v>14</v>
      </c>
      <c r="F108" s="19"/>
      <c r="G108" s="27">
        <f t="shared" si="7"/>
        <v>0</v>
      </c>
    </row>
    <row r="109" spans="1:7" s="30" customFormat="1" x14ac:dyDescent="0.25">
      <c r="A109" s="3">
        <v>81</v>
      </c>
      <c r="B109" s="17" t="s">
        <v>88</v>
      </c>
      <c r="C109" s="34" t="s">
        <v>18</v>
      </c>
      <c r="D109" s="4">
        <v>1</v>
      </c>
      <c r="E109" s="18" t="s">
        <v>14</v>
      </c>
      <c r="F109" s="19"/>
      <c r="G109" s="27">
        <f t="shared" si="7"/>
        <v>0</v>
      </c>
    </row>
    <row r="110" spans="1:7" s="30" customFormat="1" x14ac:dyDescent="0.25">
      <c r="A110" s="3">
        <v>82</v>
      </c>
      <c r="B110" s="17" t="s">
        <v>88</v>
      </c>
      <c r="C110" s="34" t="s">
        <v>16</v>
      </c>
      <c r="D110" s="4">
        <v>1</v>
      </c>
      <c r="E110" s="18" t="s">
        <v>14</v>
      </c>
      <c r="F110" s="19"/>
      <c r="G110" s="27">
        <f t="shared" si="7"/>
        <v>0</v>
      </c>
    </row>
    <row r="111" spans="1:7" s="30" customFormat="1" x14ac:dyDescent="0.25">
      <c r="A111" s="3">
        <v>83</v>
      </c>
      <c r="B111" s="17" t="s">
        <v>88</v>
      </c>
      <c r="C111" s="34" t="s">
        <v>19</v>
      </c>
      <c r="D111" s="4">
        <v>1</v>
      </c>
      <c r="E111" s="18" t="s">
        <v>14</v>
      </c>
      <c r="F111" s="19"/>
      <c r="G111" s="27">
        <f t="shared" si="7"/>
        <v>0</v>
      </c>
    </row>
    <row r="112" spans="1:7" s="30" customFormat="1" x14ac:dyDescent="0.25">
      <c r="A112" s="3">
        <v>84</v>
      </c>
      <c r="B112" s="17" t="s">
        <v>88</v>
      </c>
      <c r="C112" s="35" t="s">
        <v>21</v>
      </c>
      <c r="D112" s="4">
        <v>1</v>
      </c>
      <c r="E112" s="18" t="s">
        <v>14</v>
      </c>
      <c r="F112" s="19"/>
      <c r="G112" s="27">
        <f t="shared" si="7"/>
        <v>0</v>
      </c>
    </row>
    <row r="113" spans="1:7" s="36" customFormat="1" ht="15.75" x14ac:dyDescent="0.3">
      <c r="A113" s="3">
        <v>85</v>
      </c>
      <c r="B113" s="17" t="s">
        <v>88</v>
      </c>
      <c r="C113" s="32" t="s">
        <v>23</v>
      </c>
      <c r="D113" s="4">
        <v>1</v>
      </c>
      <c r="E113" s="18" t="s">
        <v>14</v>
      </c>
      <c r="F113" s="19"/>
      <c r="G113" s="27">
        <f t="shared" si="7"/>
        <v>0</v>
      </c>
    </row>
    <row r="114" spans="1:7" s="30" customFormat="1" ht="15.75" thickBot="1" x14ac:dyDescent="0.3">
      <c r="A114" s="3">
        <v>86</v>
      </c>
      <c r="B114" s="17" t="s">
        <v>88</v>
      </c>
      <c r="C114" s="34" t="s">
        <v>20</v>
      </c>
      <c r="D114" s="4">
        <v>1</v>
      </c>
      <c r="E114" s="18" t="s">
        <v>14</v>
      </c>
      <c r="F114" s="19"/>
      <c r="G114" s="27">
        <f t="shared" si="7"/>
        <v>0</v>
      </c>
    </row>
    <row r="115" spans="1:7" s="13" customFormat="1" ht="17.25" thickTop="1" thickBot="1" x14ac:dyDescent="0.35">
      <c r="A115" s="37"/>
      <c r="B115" s="93" t="s">
        <v>72</v>
      </c>
      <c r="C115" s="51"/>
      <c r="D115" s="51"/>
      <c r="E115" s="51"/>
      <c r="F115" s="94"/>
      <c r="G115" s="9">
        <f>SUM(G104:G114)</f>
        <v>0</v>
      </c>
    </row>
    <row r="116" spans="1:7" s="20" customFormat="1" ht="15.75" thickTop="1" x14ac:dyDescent="0.25">
      <c r="A116" s="3">
        <v>87</v>
      </c>
      <c r="B116" s="17" t="s">
        <v>89</v>
      </c>
      <c r="C116" s="17" t="s">
        <v>13</v>
      </c>
      <c r="D116" s="4">
        <v>6</v>
      </c>
      <c r="E116" s="18" t="s">
        <v>14</v>
      </c>
      <c r="F116" s="19"/>
      <c r="G116" s="27">
        <f t="shared" ref="G116:G126" si="8">D116*F116</f>
        <v>0</v>
      </c>
    </row>
    <row r="117" spans="1:7" s="30" customFormat="1" x14ac:dyDescent="0.25">
      <c r="A117" s="3">
        <v>88</v>
      </c>
      <c r="B117" s="17" t="s">
        <v>89</v>
      </c>
      <c r="C117" s="17" t="s">
        <v>17</v>
      </c>
      <c r="D117" s="4">
        <v>6</v>
      </c>
      <c r="E117" s="18" t="s">
        <v>14</v>
      </c>
      <c r="F117" s="19"/>
      <c r="G117" s="27">
        <f t="shared" si="8"/>
        <v>0</v>
      </c>
    </row>
    <row r="118" spans="1:7" s="30" customFormat="1" x14ac:dyDescent="0.25">
      <c r="A118" s="3">
        <v>89</v>
      </c>
      <c r="B118" s="17" t="s">
        <v>89</v>
      </c>
      <c r="C118" s="31" t="s">
        <v>37</v>
      </c>
      <c r="D118" s="23">
        <v>6</v>
      </c>
      <c r="E118" s="24" t="s">
        <v>14</v>
      </c>
      <c r="F118" s="19"/>
      <c r="G118" s="27">
        <f t="shared" si="8"/>
        <v>0</v>
      </c>
    </row>
    <row r="119" spans="1:7" s="30" customFormat="1" x14ac:dyDescent="0.25">
      <c r="A119" s="3">
        <v>90</v>
      </c>
      <c r="B119" s="17" t="s">
        <v>89</v>
      </c>
      <c r="C119" s="34" t="s">
        <v>15</v>
      </c>
      <c r="D119" s="4">
        <v>6</v>
      </c>
      <c r="E119" s="18" t="s">
        <v>14</v>
      </c>
      <c r="F119" s="19"/>
      <c r="G119" s="27">
        <f t="shared" si="8"/>
        <v>0</v>
      </c>
    </row>
    <row r="120" spans="1:7" s="30" customFormat="1" x14ac:dyDescent="0.25">
      <c r="A120" s="3">
        <v>91</v>
      </c>
      <c r="B120" s="17" t="s">
        <v>89</v>
      </c>
      <c r="C120" s="34" t="s">
        <v>22</v>
      </c>
      <c r="D120" s="4">
        <v>6</v>
      </c>
      <c r="E120" s="18" t="s">
        <v>14</v>
      </c>
      <c r="F120" s="19"/>
      <c r="G120" s="27">
        <f t="shared" si="8"/>
        <v>0</v>
      </c>
    </row>
    <row r="121" spans="1:7" s="30" customFormat="1" x14ac:dyDescent="0.25">
      <c r="A121" s="3">
        <v>92</v>
      </c>
      <c r="B121" s="17" t="s">
        <v>101</v>
      </c>
      <c r="C121" s="34" t="s">
        <v>18</v>
      </c>
      <c r="D121" s="4">
        <v>6</v>
      </c>
      <c r="E121" s="18" t="s">
        <v>14</v>
      </c>
      <c r="F121" s="19"/>
      <c r="G121" s="27">
        <f t="shared" si="8"/>
        <v>0</v>
      </c>
    </row>
    <row r="122" spans="1:7" s="30" customFormat="1" x14ac:dyDescent="0.25">
      <c r="A122" s="3">
        <v>93</v>
      </c>
      <c r="B122" s="17" t="s">
        <v>101</v>
      </c>
      <c r="C122" s="34" t="s">
        <v>16</v>
      </c>
      <c r="D122" s="4">
        <v>6</v>
      </c>
      <c r="E122" s="18" t="s">
        <v>14</v>
      </c>
      <c r="F122" s="19"/>
      <c r="G122" s="27">
        <f t="shared" si="8"/>
        <v>0</v>
      </c>
    </row>
    <row r="123" spans="1:7" s="30" customFormat="1" x14ac:dyDescent="0.25">
      <c r="A123" s="3">
        <v>94</v>
      </c>
      <c r="B123" s="17" t="s">
        <v>101</v>
      </c>
      <c r="C123" s="34" t="s">
        <v>19</v>
      </c>
      <c r="D123" s="4">
        <v>6</v>
      </c>
      <c r="E123" s="18" t="s">
        <v>14</v>
      </c>
      <c r="F123" s="19"/>
      <c r="G123" s="27">
        <f t="shared" si="8"/>
        <v>0</v>
      </c>
    </row>
    <row r="124" spans="1:7" s="30" customFormat="1" x14ac:dyDescent="0.25">
      <c r="A124" s="3">
        <v>95</v>
      </c>
      <c r="B124" s="17" t="s">
        <v>101</v>
      </c>
      <c r="C124" s="35" t="s">
        <v>21</v>
      </c>
      <c r="D124" s="4">
        <v>6</v>
      </c>
      <c r="E124" s="18" t="s">
        <v>14</v>
      </c>
      <c r="F124" s="19"/>
      <c r="G124" s="27">
        <f t="shared" si="8"/>
        <v>0</v>
      </c>
    </row>
    <row r="125" spans="1:7" s="36" customFormat="1" ht="15.75" x14ac:dyDescent="0.3">
      <c r="A125" s="3">
        <v>96</v>
      </c>
      <c r="B125" s="17" t="s">
        <v>101</v>
      </c>
      <c r="C125" s="32" t="s">
        <v>23</v>
      </c>
      <c r="D125" s="4">
        <v>6</v>
      </c>
      <c r="E125" s="18" t="s">
        <v>14</v>
      </c>
      <c r="F125" s="19"/>
      <c r="G125" s="27">
        <f t="shared" si="8"/>
        <v>0</v>
      </c>
    </row>
    <row r="126" spans="1:7" s="30" customFormat="1" ht="15.75" thickBot="1" x14ac:dyDescent="0.3">
      <c r="A126" s="3">
        <v>97</v>
      </c>
      <c r="B126" s="17" t="s">
        <v>101</v>
      </c>
      <c r="C126" s="34" t="s">
        <v>20</v>
      </c>
      <c r="D126" s="4">
        <v>6</v>
      </c>
      <c r="E126" s="18" t="s">
        <v>14</v>
      </c>
      <c r="F126" s="19"/>
      <c r="G126" s="27">
        <f t="shared" si="8"/>
        <v>0</v>
      </c>
    </row>
    <row r="127" spans="1:7" s="38" customFormat="1" ht="17.25" thickTop="1" thickBot="1" x14ac:dyDescent="0.35">
      <c r="A127" s="50" t="s">
        <v>44</v>
      </c>
      <c r="B127" s="51"/>
      <c r="C127" s="51"/>
      <c r="D127" s="51"/>
      <c r="E127" s="51"/>
      <c r="F127" s="51"/>
      <c r="G127" s="9">
        <f>SUM(G116:G126)</f>
        <v>0</v>
      </c>
    </row>
    <row r="128" spans="1:7" s="30" customFormat="1" ht="15.75" thickTop="1" x14ac:dyDescent="0.25">
      <c r="A128" s="3">
        <v>98</v>
      </c>
      <c r="B128" s="34" t="s">
        <v>90</v>
      </c>
      <c r="C128" s="17" t="s">
        <v>45</v>
      </c>
      <c r="D128" s="4">
        <v>6</v>
      </c>
      <c r="E128" s="18" t="s">
        <v>29</v>
      </c>
      <c r="F128" s="19"/>
      <c r="G128" s="27">
        <f t="shared" ref="G128:G152" si="9">D128*F128</f>
        <v>0</v>
      </c>
    </row>
    <row r="129" spans="1:7" s="30" customFormat="1" ht="15.75" thickBot="1" x14ac:dyDescent="0.3">
      <c r="A129" s="3">
        <v>99</v>
      </c>
      <c r="B129" s="34" t="s">
        <v>91</v>
      </c>
      <c r="C129" s="17" t="s">
        <v>39</v>
      </c>
      <c r="D129" s="4">
        <v>12</v>
      </c>
      <c r="E129" s="18" t="s">
        <v>14</v>
      </c>
      <c r="F129" s="19"/>
      <c r="G129" s="27">
        <f t="shared" si="9"/>
        <v>0</v>
      </c>
    </row>
    <row r="130" spans="1:7" s="11" customFormat="1" ht="17.25" thickTop="1" thickBot="1" x14ac:dyDescent="0.35">
      <c r="A130" s="50" t="s">
        <v>46</v>
      </c>
      <c r="B130" s="51"/>
      <c r="C130" s="51"/>
      <c r="D130" s="51"/>
      <c r="E130" s="51"/>
      <c r="F130" s="51"/>
      <c r="G130" s="9">
        <f>SUM(G128:G129)</f>
        <v>0</v>
      </c>
    </row>
    <row r="131" spans="1:7" s="30" customFormat="1" ht="15.75" thickTop="1" x14ac:dyDescent="0.25">
      <c r="A131" s="3">
        <v>100</v>
      </c>
      <c r="B131" s="17" t="s">
        <v>92</v>
      </c>
      <c r="C131" s="17" t="s">
        <v>13</v>
      </c>
      <c r="D131" s="4">
        <v>1</v>
      </c>
      <c r="E131" s="18" t="s">
        <v>14</v>
      </c>
      <c r="F131" s="19"/>
      <c r="G131" s="27">
        <f t="shared" si="9"/>
        <v>0</v>
      </c>
    </row>
    <row r="132" spans="1:7" s="30" customFormat="1" x14ac:dyDescent="0.25">
      <c r="A132" s="3">
        <v>101</v>
      </c>
      <c r="B132" s="17" t="s">
        <v>92</v>
      </c>
      <c r="C132" s="17" t="s">
        <v>17</v>
      </c>
      <c r="D132" s="4">
        <v>1</v>
      </c>
      <c r="E132" s="18" t="s">
        <v>14</v>
      </c>
      <c r="F132" s="19"/>
      <c r="G132" s="27">
        <f t="shared" si="9"/>
        <v>0</v>
      </c>
    </row>
    <row r="133" spans="1:7" s="30" customFormat="1" x14ac:dyDescent="0.25">
      <c r="A133" s="3">
        <v>102</v>
      </c>
      <c r="B133" s="17" t="s">
        <v>92</v>
      </c>
      <c r="C133" s="31" t="s">
        <v>37</v>
      </c>
      <c r="D133" s="4">
        <v>1</v>
      </c>
      <c r="E133" s="18" t="s">
        <v>14</v>
      </c>
      <c r="F133" s="19"/>
      <c r="G133" s="27">
        <f t="shared" si="9"/>
        <v>0</v>
      </c>
    </row>
    <row r="134" spans="1:7" s="30" customFormat="1" x14ac:dyDescent="0.25">
      <c r="A134" s="3">
        <v>103</v>
      </c>
      <c r="B134" s="17" t="s">
        <v>92</v>
      </c>
      <c r="C134" s="34" t="s">
        <v>18</v>
      </c>
      <c r="D134" s="4">
        <v>1</v>
      </c>
      <c r="E134" s="18" t="s">
        <v>14</v>
      </c>
      <c r="F134" s="19"/>
      <c r="G134" s="27">
        <f t="shared" si="9"/>
        <v>0</v>
      </c>
    </row>
    <row r="135" spans="1:7" s="30" customFormat="1" x14ac:dyDescent="0.25">
      <c r="A135" s="3">
        <v>104</v>
      </c>
      <c r="B135" s="17" t="s">
        <v>92</v>
      </c>
      <c r="C135" s="34" t="s">
        <v>15</v>
      </c>
      <c r="D135" s="4">
        <v>1</v>
      </c>
      <c r="E135" s="18" t="s">
        <v>14</v>
      </c>
      <c r="F135" s="19"/>
      <c r="G135" s="27">
        <f t="shared" si="9"/>
        <v>0</v>
      </c>
    </row>
    <row r="136" spans="1:7" s="30" customFormat="1" x14ac:dyDescent="0.25">
      <c r="A136" s="3">
        <v>105</v>
      </c>
      <c r="B136" s="17" t="s">
        <v>92</v>
      </c>
      <c r="C136" s="34" t="s">
        <v>16</v>
      </c>
      <c r="D136" s="4">
        <v>1</v>
      </c>
      <c r="E136" s="18" t="s">
        <v>14</v>
      </c>
      <c r="F136" s="19"/>
      <c r="G136" s="27">
        <f t="shared" si="9"/>
        <v>0</v>
      </c>
    </row>
    <row r="137" spans="1:7" s="30" customFormat="1" x14ac:dyDescent="0.25">
      <c r="A137" s="3">
        <v>106</v>
      </c>
      <c r="B137" s="17" t="s">
        <v>92</v>
      </c>
      <c r="C137" s="34" t="s">
        <v>19</v>
      </c>
      <c r="D137" s="4">
        <v>1</v>
      </c>
      <c r="E137" s="18" t="s">
        <v>14</v>
      </c>
      <c r="F137" s="19"/>
      <c r="G137" s="27">
        <f t="shared" si="9"/>
        <v>0</v>
      </c>
    </row>
    <row r="138" spans="1:7" s="30" customFormat="1" x14ac:dyDescent="0.25">
      <c r="A138" s="3">
        <v>107</v>
      </c>
      <c r="B138" s="17" t="s">
        <v>92</v>
      </c>
      <c r="C138" s="35" t="s">
        <v>21</v>
      </c>
      <c r="D138" s="4">
        <v>1</v>
      </c>
      <c r="E138" s="18" t="s">
        <v>14</v>
      </c>
      <c r="F138" s="19"/>
      <c r="G138" s="27">
        <f t="shared" si="9"/>
        <v>0</v>
      </c>
    </row>
    <row r="139" spans="1:7" s="30" customFormat="1" x14ac:dyDescent="0.25">
      <c r="A139" s="3">
        <v>108</v>
      </c>
      <c r="B139" s="17" t="s">
        <v>92</v>
      </c>
      <c r="C139" s="32" t="s">
        <v>23</v>
      </c>
      <c r="D139" s="4">
        <v>1</v>
      </c>
      <c r="E139" s="18" t="s">
        <v>14</v>
      </c>
      <c r="F139" s="19"/>
      <c r="G139" s="27">
        <f t="shared" si="9"/>
        <v>0</v>
      </c>
    </row>
    <row r="140" spans="1:7" s="36" customFormat="1" ht="15.75" x14ac:dyDescent="0.3">
      <c r="A140" s="3">
        <v>109</v>
      </c>
      <c r="B140" s="17" t="s">
        <v>92</v>
      </c>
      <c r="C140" s="34" t="s">
        <v>22</v>
      </c>
      <c r="D140" s="4">
        <v>1</v>
      </c>
      <c r="E140" s="18" t="s">
        <v>14</v>
      </c>
      <c r="F140" s="19"/>
      <c r="G140" s="27">
        <f t="shared" si="9"/>
        <v>0</v>
      </c>
    </row>
    <row r="141" spans="1:7" s="30" customFormat="1" ht="15.75" thickBot="1" x14ac:dyDescent="0.3">
      <c r="A141" s="3">
        <v>110</v>
      </c>
      <c r="B141" s="17" t="s">
        <v>92</v>
      </c>
      <c r="C141" s="34" t="s">
        <v>20</v>
      </c>
      <c r="D141" s="4">
        <v>1</v>
      </c>
      <c r="E141" s="18" t="s">
        <v>14</v>
      </c>
      <c r="F141" s="19"/>
      <c r="G141" s="27">
        <f t="shared" si="9"/>
        <v>0</v>
      </c>
    </row>
    <row r="142" spans="1:7" s="39" customFormat="1" ht="17.25" thickTop="1" thickBot="1" x14ac:dyDescent="0.35">
      <c r="A142" s="50" t="s">
        <v>47</v>
      </c>
      <c r="B142" s="51"/>
      <c r="C142" s="51"/>
      <c r="D142" s="51"/>
      <c r="E142" s="51"/>
      <c r="F142" s="51"/>
      <c r="G142" s="9">
        <f>SUM(G131:G141)</f>
        <v>0</v>
      </c>
    </row>
    <row r="143" spans="1:7" s="36" customFormat="1" ht="16.5" thickTop="1" x14ac:dyDescent="0.3">
      <c r="A143" s="3">
        <v>111</v>
      </c>
      <c r="B143" s="17" t="s">
        <v>93</v>
      </c>
      <c r="C143" s="17" t="s">
        <v>13</v>
      </c>
      <c r="D143" s="4">
        <v>4</v>
      </c>
      <c r="E143" s="18" t="s">
        <v>14</v>
      </c>
      <c r="F143" s="19"/>
      <c r="G143" s="27">
        <f t="shared" si="9"/>
        <v>0</v>
      </c>
    </row>
    <row r="144" spans="1:7" s="36" customFormat="1" ht="15.75" x14ac:dyDescent="0.3">
      <c r="A144" s="3">
        <v>112</v>
      </c>
      <c r="B144" s="17" t="s">
        <v>93</v>
      </c>
      <c r="C144" s="17" t="s">
        <v>17</v>
      </c>
      <c r="D144" s="4">
        <v>4</v>
      </c>
      <c r="E144" s="18" t="s">
        <v>14</v>
      </c>
      <c r="F144" s="19"/>
      <c r="G144" s="27">
        <f t="shared" si="9"/>
        <v>0</v>
      </c>
    </row>
    <row r="145" spans="1:7" s="36" customFormat="1" ht="15.75" x14ac:dyDescent="0.3">
      <c r="A145" s="3">
        <v>113</v>
      </c>
      <c r="B145" s="17" t="s">
        <v>93</v>
      </c>
      <c r="C145" s="31" t="s">
        <v>37</v>
      </c>
      <c r="D145" s="4">
        <v>4</v>
      </c>
      <c r="E145" s="18" t="s">
        <v>14</v>
      </c>
      <c r="F145" s="19"/>
      <c r="G145" s="27">
        <f t="shared" si="9"/>
        <v>0</v>
      </c>
    </row>
    <row r="146" spans="1:7" s="36" customFormat="1" ht="15.75" x14ac:dyDescent="0.3">
      <c r="A146" s="3">
        <v>114</v>
      </c>
      <c r="B146" s="17" t="s">
        <v>93</v>
      </c>
      <c r="C146" s="34" t="s">
        <v>18</v>
      </c>
      <c r="D146" s="4">
        <v>4</v>
      </c>
      <c r="E146" s="18" t="s">
        <v>14</v>
      </c>
      <c r="F146" s="19"/>
      <c r="G146" s="27">
        <f t="shared" si="9"/>
        <v>0</v>
      </c>
    </row>
    <row r="147" spans="1:7" s="36" customFormat="1" ht="15.75" x14ac:dyDescent="0.3">
      <c r="A147" s="3">
        <v>115</v>
      </c>
      <c r="B147" s="17" t="s">
        <v>93</v>
      </c>
      <c r="C147" s="34" t="s">
        <v>15</v>
      </c>
      <c r="D147" s="4">
        <v>4</v>
      </c>
      <c r="E147" s="18" t="s">
        <v>14</v>
      </c>
      <c r="F147" s="19"/>
      <c r="G147" s="27">
        <f t="shared" si="9"/>
        <v>0</v>
      </c>
    </row>
    <row r="148" spans="1:7" s="36" customFormat="1" ht="15.75" x14ac:dyDescent="0.3">
      <c r="A148" s="3">
        <v>116</v>
      </c>
      <c r="B148" s="17" t="s">
        <v>93</v>
      </c>
      <c r="C148" s="34" t="s">
        <v>19</v>
      </c>
      <c r="D148" s="4">
        <v>4</v>
      </c>
      <c r="E148" s="18" t="s">
        <v>14</v>
      </c>
      <c r="F148" s="19"/>
      <c r="G148" s="27">
        <f t="shared" si="9"/>
        <v>0</v>
      </c>
    </row>
    <row r="149" spans="1:7" s="30" customFormat="1" x14ac:dyDescent="0.25">
      <c r="A149" s="3">
        <v>117</v>
      </c>
      <c r="B149" s="17" t="s">
        <v>93</v>
      </c>
      <c r="C149" s="35" t="s">
        <v>21</v>
      </c>
      <c r="D149" s="4">
        <v>4</v>
      </c>
      <c r="E149" s="18" t="s">
        <v>14</v>
      </c>
      <c r="F149" s="19"/>
      <c r="G149" s="27">
        <f t="shared" si="9"/>
        <v>0</v>
      </c>
    </row>
    <row r="150" spans="1:7" s="36" customFormat="1" ht="15.75" x14ac:dyDescent="0.3">
      <c r="A150" s="3">
        <v>118</v>
      </c>
      <c r="B150" s="17" t="s">
        <v>93</v>
      </c>
      <c r="C150" s="32" t="s">
        <v>23</v>
      </c>
      <c r="D150" s="4">
        <v>4</v>
      </c>
      <c r="E150" s="18" t="s">
        <v>14</v>
      </c>
      <c r="F150" s="19"/>
      <c r="G150" s="27">
        <f t="shared" si="9"/>
        <v>0</v>
      </c>
    </row>
    <row r="151" spans="1:7" s="36" customFormat="1" ht="15.75" x14ac:dyDescent="0.3">
      <c r="A151" s="3">
        <v>119</v>
      </c>
      <c r="B151" s="17" t="s">
        <v>93</v>
      </c>
      <c r="C151" s="34" t="s">
        <v>22</v>
      </c>
      <c r="D151" s="4">
        <v>4</v>
      </c>
      <c r="E151" s="18" t="s">
        <v>14</v>
      </c>
      <c r="F151" s="19"/>
      <c r="G151" s="27">
        <f t="shared" si="9"/>
        <v>0</v>
      </c>
    </row>
    <row r="152" spans="1:7" s="30" customFormat="1" ht="15.75" thickBot="1" x14ac:dyDescent="0.3">
      <c r="A152" s="3">
        <v>120</v>
      </c>
      <c r="B152" s="17" t="s">
        <v>93</v>
      </c>
      <c r="C152" s="34" t="s">
        <v>20</v>
      </c>
      <c r="D152" s="4">
        <v>4</v>
      </c>
      <c r="E152" s="18" t="s">
        <v>14</v>
      </c>
      <c r="F152" s="19"/>
      <c r="G152" s="27">
        <f t="shared" si="9"/>
        <v>0</v>
      </c>
    </row>
    <row r="153" spans="1:7" s="11" customFormat="1" ht="17.25" thickTop="1" thickBot="1" x14ac:dyDescent="0.35">
      <c r="A153" s="50" t="s">
        <v>48</v>
      </c>
      <c r="B153" s="51"/>
      <c r="C153" s="51"/>
      <c r="D153" s="51"/>
      <c r="E153" s="51"/>
      <c r="F153" s="51"/>
      <c r="G153" s="9">
        <f>SUM(G143:G152)</f>
        <v>0</v>
      </c>
    </row>
    <row r="154" spans="1:7" s="11" customFormat="1" ht="17.25" thickTop="1" thickBot="1" x14ac:dyDescent="0.35">
      <c r="A154" s="52" t="s">
        <v>49</v>
      </c>
      <c r="B154" s="53"/>
      <c r="C154" s="53"/>
      <c r="D154" s="53"/>
      <c r="E154" s="53"/>
      <c r="F154" s="54"/>
      <c r="G154" s="9">
        <f>SUM(G115,G127,G130,G142,G153)</f>
        <v>0</v>
      </c>
    </row>
    <row r="155" spans="1:7" s="11" customFormat="1" ht="16.5" thickTop="1" x14ac:dyDescent="0.3">
      <c r="A155" s="55" t="s">
        <v>50</v>
      </c>
      <c r="B155" s="56"/>
      <c r="C155" s="56"/>
      <c r="D155" s="56"/>
      <c r="E155" s="56"/>
      <c r="F155" s="56"/>
      <c r="G155" s="57"/>
    </row>
    <row r="156" spans="1:7" s="13" customFormat="1" ht="15.75" x14ac:dyDescent="0.3">
      <c r="A156" s="15" t="s">
        <v>6</v>
      </c>
      <c r="B156" s="1" t="s">
        <v>7</v>
      </c>
      <c r="C156" s="16" t="s">
        <v>8</v>
      </c>
      <c r="D156" s="16" t="s">
        <v>9</v>
      </c>
      <c r="E156" s="16" t="s">
        <v>10</v>
      </c>
      <c r="F156" s="16" t="s">
        <v>11</v>
      </c>
      <c r="G156" s="2" t="s">
        <v>12</v>
      </c>
    </row>
    <row r="157" spans="1:7" s="30" customFormat="1" x14ac:dyDescent="0.25">
      <c r="A157" s="3">
        <v>121</v>
      </c>
      <c r="B157" s="17" t="s">
        <v>94</v>
      </c>
      <c r="C157" s="17" t="s">
        <v>13</v>
      </c>
      <c r="D157" s="4">
        <v>12</v>
      </c>
      <c r="E157" s="18" t="s">
        <v>14</v>
      </c>
      <c r="F157" s="19"/>
      <c r="G157" s="27">
        <f t="shared" ref="G157:G164" si="10">D157*F157</f>
        <v>0</v>
      </c>
    </row>
    <row r="158" spans="1:7" s="40" customFormat="1" x14ac:dyDescent="0.25">
      <c r="A158" s="3">
        <v>122</v>
      </c>
      <c r="B158" s="17" t="s">
        <v>94</v>
      </c>
      <c r="C158" s="17" t="s">
        <v>17</v>
      </c>
      <c r="D158" s="4">
        <v>12</v>
      </c>
      <c r="E158" s="18" t="s">
        <v>14</v>
      </c>
      <c r="F158" s="19"/>
      <c r="G158" s="27">
        <f t="shared" si="10"/>
        <v>0</v>
      </c>
    </row>
    <row r="159" spans="1:7" s="30" customFormat="1" x14ac:dyDescent="0.25">
      <c r="A159" s="3">
        <v>123</v>
      </c>
      <c r="B159" s="17" t="s">
        <v>94</v>
      </c>
      <c r="C159" s="17" t="s">
        <v>37</v>
      </c>
      <c r="D159" s="4">
        <v>12</v>
      </c>
      <c r="E159" s="18" t="s">
        <v>14</v>
      </c>
      <c r="F159" s="19"/>
      <c r="G159" s="27">
        <f t="shared" si="10"/>
        <v>0</v>
      </c>
    </row>
    <row r="160" spans="1:7" s="30" customFormat="1" x14ac:dyDescent="0.25">
      <c r="A160" s="3">
        <v>124</v>
      </c>
      <c r="B160" s="17" t="s">
        <v>94</v>
      </c>
      <c r="C160" s="17" t="s">
        <v>18</v>
      </c>
      <c r="D160" s="4">
        <v>12</v>
      </c>
      <c r="E160" s="18" t="s">
        <v>14</v>
      </c>
      <c r="F160" s="19"/>
      <c r="G160" s="27">
        <f t="shared" si="10"/>
        <v>0</v>
      </c>
    </row>
    <row r="161" spans="1:7" s="30" customFormat="1" x14ac:dyDescent="0.25">
      <c r="A161" s="3">
        <v>125</v>
      </c>
      <c r="B161" s="17" t="s">
        <v>94</v>
      </c>
      <c r="C161" s="17" t="s">
        <v>15</v>
      </c>
      <c r="D161" s="4">
        <v>12</v>
      </c>
      <c r="E161" s="18" t="s">
        <v>14</v>
      </c>
      <c r="F161" s="19"/>
      <c r="G161" s="27">
        <f t="shared" si="10"/>
        <v>0</v>
      </c>
    </row>
    <row r="162" spans="1:7" s="30" customFormat="1" x14ac:dyDescent="0.25">
      <c r="A162" s="3">
        <v>126</v>
      </c>
      <c r="B162" s="17" t="s">
        <v>94</v>
      </c>
      <c r="C162" s="17" t="s">
        <v>21</v>
      </c>
      <c r="D162" s="4">
        <v>12</v>
      </c>
      <c r="E162" s="18" t="s">
        <v>14</v>
      </c>
      <c r="F162" s="19"/>
      <c r="G162" s="27">
        <f t="shared" si="10"/>
        <v>0</v>
      </c>
    </row>
    <row r="163" spans="1:7" s="30" customFormat="1" x14ac:dyDescent="0.25">
      <c r="A163" s="3">
        <v>127</v>
      </c>
      <c r="B163" s="17" t="s">
        <v>94</v>
      </c>
      <c r="C163" s="17" t="s">
        <v>19</v>
      </c>
      <c r="D163" s="4">
        <v>12</v>
      </c>
      <c r="E163" s="18" t="s">
        <v>14</v>
      </c>
      <c r="F163" s="19"/>
      <c r="G163" s="27">
        <f t="shared" si="10"/>
        <v>0</v>
      </c>
    </row>
    <row r="164" spans="1:7" s="30" customFormat="1" ht="15.75" thickBot="1" x14ac:dyDescent="0.3">
      <c r="A164" s="3">
        <v>128</v>
      </c>
      <c r="B164" s="17" t="s">
        <v>94</v>
      </c>
      <c r="C164" s="17" t="s">
        <v>22</v>
      </c>
      <c r="D164" s="4">
        <v>12</v>
      </c>
      <c r="E164" s="18" t="s">
        <v>14</v>
      </c>
      <c r="F164" s="19"/>
      <c r="G164" s="27">
        <f t="shared" si="10"/>
        <v>0</v>
      </c>
    </row>
    <row r="165" spans="1:7" s="11" customFormat="1" ht="17.25" thickTop="1" thickBot="1" x14ac:dyDescent="0.35">
      <c r="A165" s="50" t="s">
        <v>51</v>
      </c>
      <c r="B165" s="51"/>
      <c r="C165" s="51"/>
      <c r="D165" s="51"/>
      <c r="E165" s="51"/>
      <c r="F165" s="51"/>
      <c r="G165" s="9">
        <f>SUM(G157:G164)</f>
        <v>0</v>
      </c>
    </row>
    <row r="166" spans="1:7" s="11" customFormat="1" ht="17.25" thickTop="1" thickBot="1" x14ac:dyDescent="0.35">
      <c r="A166" s="52" t="s">
        <v>52</v>
      </c>
      <c r="B166" s="53"/>
      <c r="C166" s="53"/>
      <c r="D166" s="53"/>
      <c r="E166" s="53"/>
      <c r="F166" s="54"/>
      <c r="G166" s="9">
        <f>G165</f>
        <v>0</v>
      </c>
    </row>
    <row r="167" spans="1:7" s="11" customFormat="1" ht="16.5" thickTop="1" x14ac:dyDescent="0.3">
      <c r="A167" s="62" t="s">
        <v>53</v>
      </c>
      <c r="B167" s="63"/>
      <c r="C167" s="63"/>
      <c r="D167" s="63"/>
      <c r="E167" s="63"/>
      <c r="F167" s="63"/>
      <c r="G167" s="64"/>
    </row>
    <row r="168" spans="1:7" s="20" customFormat="1" ht="15.75" x14ac:dyDescent="0.3">
      <c r="A168" s="15" t="s">
        <v>6</v>
      </c>
      <c r="B168" s="6" t="s">
        <v>7</v>
      </c>
      <c r="C168" s="18" t="s">
        <v>8</v>
      </c>
      <c r="D168" s="18" t="s">
        <v>9</v>
      </c>
      <c r="E168" s="18" t="s">
        <v>10</v>
      </c>
      <c r="F168" s="18" t="s">
        <v>11</v>
      </c>
      <c r="G168" s="7" t="s">
        <v>12</v>
      </c>
    </row>
    <row r="169" spans="1:7" s="20" customFormat="1" x14ac:dyDescent="0.25">
      <c r="A169" s="3">
        <v>129</v>
      </c>
      <c r="B169" s="41" t="s">
        <v>95</v>
      </c>
      <c r="C169" s="42" t="s">
        <v>54</v>
      </c>
      <c r="D169" s="4">
        <v>7</v>
      </c>
      <c r="E169" s="6" t="s">
        <v>14</v>
      </c>
      <c r="F169" s="19"/>
      <c r="G169" s="27">
        <f t="shared" ref="G169:G177" si="11">D169*F169</f>
        <v>0</v>
      </c>
    </row>
    <row r="170" spans="1:7" s="20" customFormat="1" x14ac:dyDescent="0.25">
      <c r="A170" s="3">
        <v>130</v>
      </c>
      <c r="B170" s="41" t="s">
        <v>95</v>
      </c>
      <c r="C170" s="42" t="s">
        <v>17</v>
      </c>
      <c r="D170" s="4">
        <v>7</v>
      </c>
      <c r="E170" s="6" t="s">
        <v>14</v>
      </c>
      <c r="F170" s="19"/>
      <c r="G170" s="27">
        <f t="shared" si="11"/>
        <v>0</v>
      </c>
    </row>
    <row r="171" spans="1:7" s="20" customFormat="1" x14ac:dyDescent="0.25">
      <c r="A171" s="3">
        <v>131</v>
      </c>
      <c r="B171" s="41" t="s">
        <v>95</v>
      </c>
      <c r="C171" s="42" t="s">
        <v>37</v>
      </c>
      <c r="D171" s="4">
        <v>7</v>
      </c>
      <c r="E171" s="6" t="s">
        <v>14</v>
      </c>
      <c r="F171" s="19"/>
      <c r="G171" s="27">
        <f t="shared" si="11"/>
        <v>0</v>
      </c>
    </row>
    <row r="172" spans="1:7" s="20" customFormat="1" x14ac:dyDescent="0.25">
      <c r="A172" s="3">
        <v>132</v>
      </c>
      <c r="B172" s="41" t="s">
        <v>95</v>
      </c>
      <c r="C172" s="42" t="s">
        <v>55</v>
      </c>
      <c r="D172" s="4">
        <v>7</v>
      </c>
      <c r="E172" s="6" t="s">
        <v>14</v>
      </c>
      <c r="F172" s="19"/>
      <c r="G172" s="27">
        <f t="shared" si="11"/>
        <v>0</v>
      </c>
    </row>
    <row r="173" spans="1:7" s="20" customFormat="1" x14ac:dyDescent="0.25">
      <c r="A173" s="3">
        <v>133</v>
      </c>
      <c r="B173" s="41" t="s">
        <v>95</v>
      </c>
      <c r="C173" s="42" t="s">
        <v>56</v>
      </c>
      <c r="D173" s="4">
        <v>7</v>
      </c>
      <c r="E173" s="6" t="s">
        <v>14</v>
      </c>
      <c r="F173" s="19"/>
      <c r="G173" s="27">
        <f t="shared" si="11"/>
        <v>0</v>
      </c>
    </row>
    <row r="174" spans="1:7" s="20" customFormat="1" x14ac:dyDescent="0.25">
      <c r="A174" s="3">
        <v>134</v>
      </c>
      <c r="B174" s="41" t="s">
        <v>95</v>
      </c>
      <c r="C174" s="43" t="s">
        <v>57</v>
      </c>
      <c r="D174" s="4">
        <v>7</v>
      </c>
      <c r="E174" s="6" t="s">
        <v>14</v>
      </c>
      <c r="F174" s="19"/>
      <c r="G174" s="27">
        <f t="shared" si="11"/>
        <v>0</v>
      </c>
    </row>
    <row r="175" spans="1:7" s="20" customFormat="1" x14ac:dyDescent="0.25">
      <c r="A175" s="3">
        <v>135</v>
      </c>
      <c r="B175" s="41" t="s">
        <v>96</v>
      </c>
      <c r="C175" s="42" t="s">
        <v>58</v>
      </c>
      <c r="D175" s="4">
        <v>7</v>
      </c>
      <c r="E175" s="6" t="s">
        <v>14</v>
      </c>
      <c r="F175" s="19"/>
      <c r="G175" s="27">
        <f t="shared" si="11"/>
        <v>0</v>
      </c>
    </row>
    <row r="176" spans="1:7" s="20" customFormat="1" x14ac:dyDescent="0.25">
      <c r="A176" s="3">
        <v>136</v>
      </c>
      <c r="B176" s="41" t="s">
        <v>97</v>
      </c>
      <c r="C176" s="42" t="s">
        <v>59</v>
      </c>
      <c r="D176" s="4">
        <v>1</v>
      </c>
      <c r="E176" s="6" t="s">
        <v>29</v>
      </c>
      <c r="F176" s="19"/>
      <c r="G176" s="27">
        <f t="shared" si="11"/>
        <v>0</v>
      </c>
    </row>
    <row r="177" spans="1:7" s="20" customFormat="1" ht="15.75" thickBot="1" x14ac:dyDescent="0.3">
      <c r="A177" s="3">
        <v>137</v>
      </c>
      <c r="B177" s="41" t="s">
        <v>98</v>
      </c>
      <c r="C177" s="42" t="s">
        <v>59</v>
      </c>
      <c r="D177" s="4">
        <v>1</v>
      </c>
      <c r="E177" s="6" t="s">
        <v>29</v>
      </c>
      <c r="F177" s="19"/>
      <c r="G177" s="27">
        <f t="shared" si="11"/>
        <v>0</v>
      </c>
    </row>
    <row r="178" spans="1:7" s="11" customFormat="1" ht="17.25" thickTop="1" thickBot="1" x14ac:dyDescent="0.35">
      <c r="A178" s="50" t="s">
        <v>60</v>
      </c>
      <c r="B178" s="51"/>
      <c r="C178" s="51"/>
      <c r="D178" s="51"/>
      <c r="E178" s="51"/>
      <c r="F178" s="51"/>
      <c r="G178" s="9">
        <f>SUM(G169:G177)</f>
        <v>0</v>
      </c>
    </row>
    <row r="179" spans="1:7" s="11" customFormat="1" ht="17.25" thickTop="1" thickBot="1" x14ac:dyDescent="0.35">
      <c r="A179" s="65" t="s">
        <v>61</v>
      </c>
      <c r="B179" s="66"/>
      <c r="C179" s="66"/>
      <c r="D179" s="66"/>
      <c r="E179" s="66"/>
      <c r="F179" s="66"/>
      <c r="G179" s="9">
        <f>G178</f>
        <v>0</v>
      </c>
    </row>
    <row r="180" spans="1:7" s="11" customFormat="1" ht="16.5" thickBot="1" x14ac:dyDescent="0.35">
      <c r="A180" s="67"/>
      <c r="B180" s="67"/>
      <c r="C180" s="67"/>
      <c r="D180" s="67"/>
      <c r="E180" s="67"/>
      <c r="F180" s="67"/>
      <c r="G180" s="68"/>
    </row>
    <row r="181" spans="1:7" s="11" customFormat="1" ht="17.25" thickTop="1" thickBot="1" x14ac:dyDescent="0.35">
      <c r="A181" s="69" t="s">
        <v>62</v>
      </c>
      <c r="B181" s="70"/>
      <c r="C181" s="70"/>
      <c r="D181" s="70"/>
      <c r="E181" s="70"/>
      <c r="F181" s="70"/>
      <c r="G181" s="9">
        <f>SUM(G41,G48,G101,G154,G166,G179)</f>
        <v>0</v>
      </c>
    </row>
    <row r="182" spans="1:7" s="11" customFormat="1" ht="16.5" thickTop="1" x14ac:dyDescent="0.3">
      <c r="A182" s="58"/>
      <c r="B182" s="58"/>
      <c r="C182" s="58"/>
      <c r="D182" s="58"/>
      <c r="E182" s="58"/>
      <c r="F182" s="58"/>
      <c r="G182" s="59"/>
    </row>
    <row r="183" spans="1:7" s="11" customFormat="1" ht="15.75" x14ac:dyDescent="0.3">
      <c r="A183" s="60" t="s">
        <v>63</v>
      </c>
      <c r="B183" s="60"/>
      <c r="C183" s="60"/>
      <c r="D183" s="60"/>
      <c r="E183" s="60"/>
      <c r="F183" s="60"/>
      <c r="G183" s="60"/>
    </row>
    <row r="184" spans="1:7" s="11" customFormat="1" ht="15.75" x14ac:dyDescent="0.3">
      <c r="G184" s="8"/>
    </row>
    <row r="185" spans="1:7" s="11" customFormat="1" ht="15.75" x14ac:dyDescent="0.3">
      <c r="A185" s="61" t="s">
        <v>64</v>
      </c>
      <c r="B185" s="61"/>
      <c r="C185" s="61"/>
      <c r="D185" s="61"/>
      <c r="E185" s="61"/>
      <c r="F185" s="61"/>
      <c r="G185" s="61"/>
    </row>
    <row r="186" spans="1:7" ht="15.75" x14ac:dyDescent="0.3">
      <c r="F186" s="11"/>
      <c r="G186" s="44"/>
    </row>
    <row r="187" spans="1:7" ht="15.75" x14ac:dyDescent="0.3">
      <c r="F187" s="11"/>
      <c r="G187" s="8"/>
    </row>
    <row r="188" spans="1:7" ht="15.75" x14ac:dyDescent="0.3">
      <c r="F188" s="11"/>
      <c r="G188" s="8"/>
    </row>
    <row r="189" spans="1:7" ht="15.75" x14ac:dyDescent="0.3">
      <c r="F189" s="11"/>
      <c r="G189" s="8"/>
    </row>
  </sheetData>
  <mergeCells count="40">
    <mergeCell ref="A185:G185"/>
    <mergeCell ref="A178:F178"/>
    <mergeCell ref="A179:F179"/>
    <mergeCell ref="A180:G180"/>
    <mergeCell ref="A181:F181"/>
    <mergeCell ref="A182:G182"/>
    <mergeCell ref="A183:G183"/>
    <mergeCell ref="A167:G167"/>
    <mergeCell ref="A102:G102"/>
    <mergeCell ref="B115:F115"/>
    <mergeCell ref="A127:F127"/>
    <mergeCell ref="A130:F130"/>
    <mergeCell ref="A142:F142"/>
    <mergeCell ref="A153:F153"/>
    <mergeCell ref="A154:F154"/>
    <mergeCell ref="A155:G155"/>
    <mergeCell ref="A165:F165"/>
    <mergeCell ref="A166:F166"/>
    <mergeCell ref="A101:F101"/>
    <mergeCell ref="A36:F36"/>
    <mergeCell ref="A40:F40"/>
    <mergeCell ref="A41:F41"/>
    <mergeCell ref="A42:G42"/>
    <mergeCell ref="A47:F47"/>
    <mergeCell ref="A48:F48"/>
    <mergeCell ref="A49:G49"/>
    <mergeCell ref="A76:F76"/>
    <mergeCell ref="A78:F78"/>
    <mergeCell ref="A90:F90"/>
    <mergeCell ref="A100:F100"/>
    <mergeCell ref="A34:F34"/>
    <mergeCell ref="A1:B1"/>
    <mergeCell ref="D1:G1"/>
    <mergeCell ref="A2:B2"/>
    <mergeCell ref="D2:G2"/>
    <mergeCell ref="D3:G3"/>
    <mergeCell ref="D4:G4"/>
    <mergeCell ref="A6:G6"/>
    <mergeCell ref="A17:F17"/>
    <mergeCell ref="A19:F19"/>
  </mergeCells>
  <pageMargins left="0.7" right="0.7" top="0.75" bottom="0.75" header="0.3" footer="0.3"/>
  <pageSetup scale="55" orientation="landscape" r:id="rId1"/>
  <rowBreaks count="2" manualBreakCount="2">
    <brk id="110" max="16383" man="1"/>
    <brk id="16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BASE</vt:lpstr>
      <vt:lpstr>OY1</vt:lpstr>
      <vt:lpstr>OY2</vt:lpstr>
      <vt:lpstr>OY3</vt:lpstr>
      <vt:lpstr>OY4</vt:lpstr>
      <vt:lpstr>'OY1'!Print_Area</vt:lpstr>
      <vt:lpstr>BASE!Print_Titles</vt:lpstr>
      <vt:lpstr>'OY1'!Print_Titles</vt:lpstr>
      <vt:lpstr>'OY2'!Print_Titles</vt:lpstr>
      <vt:lpstr>'OY3'!Print_Titles</vt:lpstr>
      <vt:lpstr>'OY4'!Print_Titles</vt:lpstr>
    </vt:vector>
  </TitlesOfParts>
  <Company>USACE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Bowman, Ronald K CIV (USA)</dc:creator>
  <cp:lastModifiedBy>Redemann, Cheyenne - Student</cp:lastModifiedBy>
  <cp:lastPrinted>2025-04-17T14:37:38Z</cp:lastPrinted>
  <dcterms:created xsi:type="dcterms:W3CDTF">2025-03-19T20:25:27Z</dcterms:created>
  <dcterms:modified xsi:type="dcterms:W3CDTF">2025-05-01T20:57:29Z</dcterms:modified>
</cp:coreProperties>
</file>