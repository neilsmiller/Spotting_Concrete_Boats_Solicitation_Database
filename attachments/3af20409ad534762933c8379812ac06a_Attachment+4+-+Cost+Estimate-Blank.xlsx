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usaf.dps.mil/teams/496ABSCSA/Shared Documents/General/QUVY-FS-01P/Civil Engineering/CEN/CEND/CEND/Projects/19/19-1003 CNS Finished Water Tank/02. Construction/02 STANDALONE/02. Editables/Attachments for Contractors/"/>
    </mc:Choice>
  </mc:AlternateContent>
  <xr:revisionPtr revIDLastSave="7" documentId="8_{F3B1AFE9-5576-462F-A53E-96E4D5854875}" xr6:coauthVersionLast="47" xr6:coauthVersionMax="47" xr10:uidLastSave="{19D23037-7C05-41A2-9329-D3D84CC2BA3C}"/>
  <bookViews>
    <workbookView xWindow="28680" yWindow="90" windowWidth="29040" windowHeight="15510" tabRatio="826" xr2:uid="{00000000-000D-0000-FFFF-FFFF00000000}"/>
  </bookViews>
  <sheets>
    <sheet name="KTR" sheetId="16" r:id="rId1"/>
  </sheets>
  <definedNames>
    <definedName name="\a">#N/A</definedName>
    <definedName name="\p">#N/A</definedName>
    <definedName name="\z">#N/A</definedName>
    <definedName name="CUATRO">#N/A</definedName>
    <definedName name="DOS">#N/A</definedName>
    <definedName name="_xlnm.Print_Titles" localSheetId="0">KTR!$1:$11</definedName>
    <definedName name="TRES">#N/A</definedName>
    <definedName name="UNO">#N/A</definedName>
    <definedName name="Z_F4BF962D_5ADE_4425_9774_5FDA26A34B54_.wvu.PrintArea" localSheetId="0" hidden="1">KTR!$A$1:$K$250</definedName>
    <definedName name="Z_F4BF962D_5ADE_4425_9774_5FDA26A34B54_.wvu.PrintTitles" localSheetId="0" hidden="1">KTR!$1:$11</definedName>
  </definedNames>
  <calcPr calcId="191029"/>
  <customWorkbookViews>
    <customWorkbookView name="Usuario - Vista personalizada" guid="{F4BF962D-5ADE-4425-9774-5FDA26A34B54}" mergeInterval="0" personalView="1" maximized="1" windowWidth="1920" windowHeight="874" tabRatio="723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6" l="1"/>
  <c r="K233" i="16" l="1"/>
  <c r="A16" i="16"/>
  <c r="A18" i="16" s="1"/>
  <c r="A20" i="16" s="1"/>
  <c r="A24" i="16" s="1"/>
  <c r="A26" i="16" s="1"/>
  <c r="A35" i="16" s="1"/>
  <c r="A37" i="16" l="1"/>
  <c r="A39" i="16" s="1"/>
  <c r="A41" i="16" s="1"/>
  <c r="A43" i="16" s="1"/>
  <c r="A45" i="16" s="1"/>
  <c r="A47" i="16" s="1"/>
  <c r="K231" i="16"/>
  <c r="K229" i="16"/>
  <c r="A51" i="16" l="1"/>
  <c r="A53" i="16" s="1"/>
  <c r="A55" i="16"/>
  <c r="A57" i="16" s="1"/>
  <c r="A59" i="16" s="1"/>
  <c r="A61" i="16" s="1"/>
  <c r="A63" i="16" s="1"/>
  <c r="A65" i="16" s="1"/>
  <c r="A67" i="16" s="1"/>
  <c r="A69" i="16" s="1"/>
  <c r="A71" i="16" s="1"/>
  <c r="A73" i="16" s="1"/>
  <c r="A75" i="16" s="1"/>
  <c r="A79" i="16" s="1"/>
  <c r="A81" i="16" s="1"/>
  <c r="A85" i="16" s="1"/>
  <c r="A87" i="16" s="1"/>
  <c r="A89" i="16" s="1"/>
  <c r="A93" i="16" s="1"/>
  <c r="A95" i="16" s="1"/>
  <c r="A97" i="16" s="1"/>
  <c r="A99" i="16" s="1"/>
  <c r="A101" i="16" s="1"/>
  <c r="A103" i="16" s="1"/>
  <c r="A105" i="16" s="1"/>
  <c r="A114" i="16" s="1"/>
  <c r="A116" i="16" s="1"/>
  <c r="A118" i="16" s="1"/>
  <c r="A120" i="16" s="1"/>
  <c r="A122" i="16" s="1"/>
  <c r="A124" i="16" s="1"/>
  <c r="A126" i="16" s="1"/>
  <c r="A132" i="16" s="1"/>
  <c r="A134" i="16" s="1"/>
  <c r="A136" i="16" s="1"/>
  <c r="A142" i="16" s="1"/>
  <c r="A144" i="16" s="1"/>
  <c r="A146" i="16" s="1"/>
  <c r="A148" i="16" s="1"/>
  <c r="A150" i="16" s="1"/>
  <c r="A156" i="16" s="1"/>
  <c r="A158" i="16" s="1"/>
  <c r="A160" i="16" s="1"/>
  <c r="A162" i="16" s="1"/>
  <c r="A164" i="16" s="1"/>
  <c r="A166" i="16" s="1"/>
  <c r="A172" i="16" s="1"/>
  <c r="A174" i="16" s="1"/>
  <c r="A176" i="16" s="1"/>
  <c r="A178" i="16" s="1"/>
  <c r="A180" i="16" s="1"/>
  <c r="A182" i="16" s="1"/>
  <c r="A184" i="16" s="1"/>
  <c r="A186" i="16" s="1"/>
  <c r="A188" i="16" s="1"/>
  <c r="A190" i="16" s="1"/>
  <c r="A192" i="16" s="1"/>
  <c r="A194" i="16" s="1"/>
  <c r="A196" i="16" s="1"/>
  <c r="A198" i="16" s="1"/>
  <c r="A200" i="16" s="1"/>
  <c r="A202" i="16" s="1"/>
  <c r="A204" i="16" s="1"/>
  <c r="A206" i="16" s="1"/>
  <c r="A208" i="16" s="1"/>
  <c r="A216" i="16" s="1"/>
  <c r="A218" i="16" s="1"/>
  <c r="A224" i="16" s="1"/>
  <c r="K235" i="16" l="1"/>
  <c r="K237" i="16" l="1"/>
  <c r="K239" i="16" s="1"/>
  <c r="K241" i="16"/>
  <c r="K243" i="16" l="1"/>
</calcChain>
</file>

<file path=xl/sharedStrings.xml><?xml version="1.0" encoding="utf-8"?>
<sst xmlns="http://schemas.openxmlformats.org/spreadsheetml/2006/main" count="347" uniqueCount="266">
  <si>
    <t>CONTRACTOR</t>
  </si>
  <si>
    <t>ADDRESS</t>
  </si>
  <si>
    <t xml:space="preserve"> </t>
  </si>
  <si>
    <t>CONTRACT FOR (Work to be performed)</t>
  </si>
  <si>
    <t xml:space="preserve"> PROPOSED TOTAL CONTRACT PRICE</t>
  </si>
  <si>
    <t>PURCHASE REQUEST NUMBER</t>
  </si>
  <si>
    <t>PROJECT NUMBER</t>
  </si>
  <si>
    <t>WORK LOCATION</t>
  </si>
  <si>
    <t>UNIT</t>
  </si>
  <si>
    <t>MATERIAL  COST</t>
  </si>
  <si>
    <t>LABOR COSTS</t>
  </si>
  <si>
    <t>OTHER</t>
  </si>
  <si>
    <t>LIN</t>
  </si>
  <si>
    <t>ITEM</t>
  </si>
  <si>
    <t>OF</t>
  </si>
  <si>
    <t>DIRECT</t>
  </si>
  <si>
    <t>LINE</t>
  </si>
  <si>
    <t>NO.</t>
  </si>
  <si>
    <t xml:space="preserve"> MEAS.</t>
  </si>
  <si>
    <t>QUANTI.</t>
  </si>
  <si>
    <t>TOTAL</t>
  </si>
  <si>
    <t>MH/MD</t>
  </si>
  <si>
    <t>AV.RAT</t>
  </si>
  <si>
    <t>COSTS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</si>
  <si>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</si>
  <si>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</si>
  <si>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</si>
  <si>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</si>
  <si>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</si>
  <si>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</si>
  <si>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</si>
  <si>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</si>
  <si>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</si>
  <si>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</si>
  <si>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TOTAL MATERIAL COSTS</t>
  </si>
  <si>
    <t>TOTAL LABOR COSTS</t>
  </si>
  <si>
    <t>TOTAL OTHER DIRECT  COSTS</t>
  </si>
  <si>
    <t>TOTAL DIRECT COSTS</t>
  </si>
  <si>
    <t>OVERHEAD</t>
  </si>
  <si>
    <t>SUBTOTAL</t>
  </si>
  <si>
    <t>PROFIT</t>
  </si>
  <si>
    <t>TOTAL PROJECT EUROS</t>
  </si>
  <si>
    <t>COST ESTIMATE BREAKDOWN</t>
  </si>
  <si>
    <t>These costs and overhead and profit will be applied in any possible future modifications</t>
  </si>
  <si>
    <t>%</t>
  </si>
  <si>
    <t>Soil excavation, up to required height, including clearing-up, load and transportation of excavated material to authorized dump.</t>
  </si>
  <si>
    <t>Excavación del terreno, hasta cota requerida, incluso desescombro, carga y transporte a gestor autorizado de residuo.</t>
  </si>
  <si>
    <t>Civil Works</t>
  </si>
  <si>
    <t>Trabajos de Civil</t>
  </si>
  <si>
    <t>Demolition Civil Works</t>
  </si>
  <si>
    <t>Trabajos de demolición de Civil</t>
  </si>
  <si>
    <t>Demolition Electrical works</t>
  </si>
  <si>
    <t>Trabajos de demolición de electricidad</t>
  </si>
  <si>
    <t>Demolición de las luminarias exteriores</t>
  </si>
  <si>
    <t>DEMOLITION WORKS</t>
  </si>
  <si>
    <t>TRABAJOS DE DEMOLICIÓN</t>
  </si>
  <si>
    <t>Demolition exteror lighting and poles</t>
  </si>
  <si>
    <t>Demolición de la línea eléctrica para iluminación, arquetas, etc</t>
  </si>
  <si>
    <t>Demolition electrical lighting line, handhole, etc</t>
  </si>
  <si>
    <t xml:space="preserve">Trench soil excavation, up to required height, including clearing-up, load and transportation of excavated material to authorized dump. </t>
  </si>
  <si>
    <t>Excavación de zanja en terreno, hasta cota requerida, incluso desescombro, carga y transporte a gestor autorizado de residuo.</t>
  </si>
  <si>
    <t>Typical filling for electrical line trench section (natural soil)</t>
  </si>
  <si>
    <t>Relleno de zanja para línea eléctrica (en terreno natural)</t>
  </si>
  <si>
    <t>Structural  works</t>
  </si>
  <si>
    <t>Trabajos de Estructura</t>
  </si>
  <si>
    <t>Civil  works</t>
  </si>
  <si>
    <t>Polyethylene sheet 0,3mm thickness</t>
  </si>
  <si>
    <t>Lámina de polietileno de 0,3mm de espesor</t>
  </si>
  <si>
    <t>Total Civil  works</t>
  </si>
  <si>
    <t>Total de trabajos de Civil</t>
  </si>
  <si>
    <t>Ud</t>
  </si>
  <si>
    <t>ml</t>
  </si>
  <si>
    <t>Ls</t>
  </si>
  <si>
    <t>m2</t>
  </si>
  <si>
    <t>Electrical System</t>
  </si>
  <si>
    <t>Sistema eléctrico</t>
  </si>
  <si>
    <t xml:space="preserve"> Lightning arrestors</t>
  </si>
  <si>
    <t xml:space="preserve"> Sistema de pararrayos</t>
  </si>
  <si>
    <t xml:space="preserve">Total Electrical System </t>
  </si>
  <si>
    <t>Total Sistema eléctrico</t>
  </si>
  <si>
    <t>NEW EXTERIOR WORKS</t>
  </si>
  <si>
    <t>NUEVOS TRABAJOS EXTERIORES</t>
  </si>
  <si>
    <t>Total Structural  works</t>
  </si>
  <si>
    <t>Total Trabajos de Estructura</t>
  </si>
  <si>
    <t xml:space="preserve">TOTAL </t>
  </si>
  <si>
    <t>Exterior  Electrical works</t>
  </si>
  <si>
    <t>Trabajos de electricidad exteriores</t>
  </si>
  <si>
    <t>Security fence: chanin link fabric, post, barbed wire, accesories,  etc</t>
  </si>
  <si>
    <t>Vallado de seguridad: malla de simple torsión, postes, alambre de espina, accesorios,etc</t>
  </si>
  <si>
    <t>Gounding system</t>
  </si>
  <si>
    <t>Puesta a tierra</t>
  </si>
  <si>
    <t>TOTAL NEW EXTERIOR WORKS</t>
  </si>
  <si>
    <t>TOTAL TRABAJOS NUEVOS DE EXTERIOR</t>
  </si>
  <si>
    <t>TOTAL DEMOLITION WORKS</t>
  </si>
  <si>
    <t>TOTAL TRABAJO DE DEMOLICIÓN</t>
  </si>
  <si>
    <t>Clean concrte 10cm thickness</t>
  </si>
  <si>
    <t>Hormigón de limpieza 10cm de espesor</t>
  </si>
  <si>
    <t xml:space="preserve"> Main Distribution Panel (MDP)</t>
  </si>
  <si>
    <t xml:space="preserve"> Panel de distribución principal (MDP)</t>
  </si>
  <si>
    <t>CNS FINISHED WATER TANK</t>
  </si>
  <si>
    <t>QUUG 19-1003</t>
  </si>
  <si>
    <t>m3</t>
  </si>
  <si>
    <t>Demolition of existing exterior fence</t>
  </si>
  <si>
    <t>Soil excavation, up to required height, (new fence)</t>
  </si>
  <si>
    <t>Excavación del terreno, hasta cota requerida, (nueva valla)</t>
  </si>
  <si>
    <t>Typical filling for warter line trench section (natural soil)</t>
  </si>
  <si>
    <t>WORKING RELATED TO THE ELEVATE WATER STORAGE TANK</t>
  </si>
  <si>
    <t>TRABAJOS RELACIONADOS CON EL TANQUE ELEVADO DE AGUA</t>
  </si>
  <si>
    <t>Geotextile Geotesan NT35</t>
  </si>
  <si>
    <t xml:space="preserve">
Geotextil Geotesan NT35</t>
  </si>
  <si>
    <t>Mechanical  System</t>
  </si>
  <si>
    <t>Sistema de mecánica</t>
  </si>
  <si>
    <t>Exterior lighting fixture and pole  (type A)</t>
  </si>
  <si>
    <t>Luminaria exterior y poste (Tipo A)</t>
  </si>
  <si>
    <t>Control and programming (SCADA)</t>
  </si>
  <si>
    <t>Control y programación (SCADA)</t>
  </si>
  <si>
    <t>TOTAL RELATED TO THE ELEVATED WATER TANK</t>
  </si>
  <si>
    <t>TOTAL  RELACIONADO CON EL TANQUE DE AGUA ELEVADO</t>
  </si>
  <si>
    <t>Underground electrical ductbank, including manholes and HDPE double wall conduit</t>
  </si>
  <si>
    <t>Conducción eléctrica enterrada, incl. arquetas y conductos de HDPE de doble pared corrugado</t>
  </si>
  <si>
    <t>Underground electrical ductbank, including manholes and HDPE double wall conduit (SCADA system)</t>
  </si>
  <si>
    <t>Conducción eléctrica enterrada, incl. arquetas y conductos de HDPE de doble pared corrugado (sistema de SCADA)</t>
  </si>
  <si>
    <t xml:space="preserve">Cableado eléctrico para alimentación (sistema SCADA) </t>
  </si>
  <si>
    <t xml:space="preserve">Cableado eléctrico para alimentación </t>
  </si>
  <si>
    <t>t</t>
  </si>
  <si>
    <t>Valvulería</t>
  </si>
  <si>
    <t>Valves</t>
  </si>
  <si>
    <t>Total Mechanical  System works</t>
  </si>
  <si>
    <t>Total de trabajos del Sistema de mecánica</t>
  </si>
  <si>
    <t>Outlets including conduits and wiring (WP/GFI)</t>
  </si>
  <si>
    <t>Enchufes incluyendo conductos y cableado(WP/GFI)</t>
  </si>
  <si>
    <t>Protección catódica del depósito elevado de agua</t>
  </si>
  <si>
    <t>Elevate water tank cathodic protection</t>
  </si>
  <si>
    <t>Demolición de la valla exterior existente</t>
  </si>
  <si>
    <t>Relleno de zanja para tuberías de agua (en terreno natural)</t>
  </si>
  <si>
    <t>Losa de hormigón armado 1 (soporte de válvulas), 30cm de espesor</t>
  </si>
  <si>
    <t>Reinforced concrete slab 1 (valve support), 30cm thick</t>
  </si>
  <si>
    <t>Reinforced concrete slab 2 (valve support), 30cm thick</t>
  </si>
  <si>
    <t>Losa de hormigón armado 2 (soporte de válvulas), 30cm de espesor</t>
  </si>
  <si>
    <t>Reinforced concrete slab 3 (valve support), 30cm thick</t>
  </si>
  <si>
    <t>Concrete headwalls, concrete wingwalls and apron</t>
  </si>
  <si>
    <t>Concrete rip-rap</t>
  </si>
  <si>
    <t>Encachado de piedra y hormigón</t>
  </si>
  <si>
    <t xml:space="preserve">Recirculation and chlorination system </t>
  </si>
  <si>
    <t xml:space="preserve"> Sistema de reciruclación y cloración</t>
  </si>
  <si>
    <t>Exterior lighting fixture   (type B) (obstruction lighting)</t>
  </si>
  <si>
    <t xml:space="preserve"> Controller (obstruction lighting)</t>
  </si>
  <si>
    <t>Fall arrestor system</t>
  </si>
  <si>
    <t>Sistema de línea de vida</t>
  </si>
  <si>
    <t>Exterior lighting fixture   (type E)</t>
  </si>
  <si>
    <t>Exterior lighting fixture   (type F)</t>
  </si>
  <si>
    <t>Architectural  works (building #558)</t>
  </si>
  <si>
    <t>Trabajos de Arquitectura (edificio #558)</t>
  </si>
  <si>
    <t>Total Architectural  works</t>
  </si>
  <si>
    <t>Total Trabajos de Arquitectura</t>
  </si>
  <si>
    <t>Demolition existing wall to new opening</t>
  </si>
  <si>
    <t>Demolición del muro para nuevo hueco</t>
  </si>
  <si>
    <t>Steel exterior door 1 leaf including hardware</t>
  </si>
  <si>
    <t>Puertas exteriores de 1 hoja de acero incluyendo cerrajería</t>
  </si>
  <si>
    <t>Interior brick partition (LHD), smooth plastered and painting</t>
  </si>
  <si>
    <t>Pared interior de ladrillo (LHD), enfoscada y pintada</t>
  </si>
  <si>
    <t>3.000l water tank galvanized and corrugated steel sheet thickness 3+3 mm , profile 18/76 mm and coating for potable water . Roof panel galvanized and corrugated steel sheet 18/76, thickness 0,8mm and coating for potable water including accesories (interior and exterior ladders, etc)</t>
  </si>
  <si>
    <t>Depósito de agua de 3.000 litros en chapa de acero galvanizada y ondulada de 3+3 mm de espesor, perfil de 18/76 mm y revestimiento para agua potable. Panel de techo de chapa de acero galvanizado y corrugado 18/76, espesor 0,8mm y revestimiento para agua potable incluyendo accesorios (escalera interior y exterior, etc).</t>
  </si>
  <si>
    <t xml:space="preserve">Geotextile Geotesan NT35 </t>
  </si>
  <si>
    <t xml:space="preserve">Geotextil Geotesan NT35  </t>
  </si>
  <si>
    <t xml:space="preserve">Grading and compaction of the subgrade  to 95% Modified Proctor </t>
  </si>
  <si>
    <t xml:space="preserve">Nivelación y compactación de la capa base al 95% Proctor Modificado </t>
  </si>
  <si>
    <t>Top soil and seeding</t>
  </si>
  <si>
    <t>Tierra vegetal y sembrado</t>
  </si>
  <si>
    <t>Reinforced concrete slab 4 (stairs and elevator), 30cm thick</t>
  </si>
  <si>
    <t>Losa de hormigón armado 4 (escaleras y elevador), 30cm de espesor</t>
  </si>
  <si>
    <t>Pasacunetas de hormigón, muros y plataforma de hormigón</t>
  </si>
  <si>
    <r>
      <t>HDPE underground drain pipe  (</t>
    </r>
    <r>
      <rPr>
        <sz val="9"/>
        <rFont val="Calibri"/>
        <family val="2"/>
      </rPr>
      <t>Ø300)</t>
    </r>
  </si>
  <si>
    <t>Tubería de drenaje enterrada HDPE  (Ø300)</t>
  </si>
  <si>
    <r>
      <t>HDPE underground drain pipe  (</t>
    </r>
    <r>
      <rPr>
        <sz val="9"/>
        <rFont val="Calibri"/>
        <family val="2"/>
      </rPr>
      <t>Ø400)</t>
    </r>
  </si>
  <si>
    <t>Tubería de drenaje enterrada HDPE  ( Ø400)</t>
  </si>
  <si>
    <r>
      <t>HDPE underground recirculation / chlorination pipes  (</t>
    </r>
    <r>
      <rPr>
        <sz val="9"/>
        <rFont val="Calibri"/>
        <family val="2"/>
      </rPr>
      <t>Ø300)</t>
    </r>
  </si>
  <si>
    <t>Water distribution line  works</t>
  </si>
  <si>
    <t xml:space="preserve">Trabajos de línea de agua </t>
  </si>
  <si>
    <t>Drainage  line works</t>
  </si>
  <si>
    <t>Trabajos de drenaje</t>
  </si>
  <si>
    <t>Recirculation /chlorination  pipes works</t>
  </si>
  <si>
    <t>Trabajos de tuberías de circulación /cloración</t>
  </si>
  <si>
    <t>Tubería de agua de salida del depósito de HDPE  ( Ø300)</t>
  </si>
  <si>
    <r>
      <t>HDPE Water outlet pipe from the tank (</t>
    </r>
    <r>
      <rPr>
        <sz val="9"/>
        <rFont val="Calibri"/>
        <family val="2"/>
      </rPr>
      <t>Ø300)</t>
    </r>
    <r>
      <rPr>
        <sz val="9"/>
        <rFont val="Times New Roman"/>
        <family val="1"/>
      </rPr>
      <t xml:space="preserve"> </t>
    </r>
  </si>
  <si>
    <r>
      <t>HDPE underground water outlet pipe from the tank   (</t>
    </r>
    <r>
      <rPr>
        <sz val="9"/>
        <rFont val="Calibri"/>
        <family val="2"/>
      </rPr>
      <t>Ø300)</t>
    </r>
  </si>
  <si>
    <r>
      <t>HDPE water supply pipe to the tank  (</t>
    </r>
    <r>
      <rPr>
        <sz val="9"/>
        <rFont val="Calibri"/>
        <family val="2"/>
      </rPr>
      <t>Ø250)</t>
    </r>
  </si>
  <si>
    <r>
      <t>HDPE underground water supply pipe to the tank  (</t>
    </r>
    <r>
      <rPr>
        <sz val="9"/>
        <rFont val="Calibri"/>
        <family val="2"/>
      </rPr>
      <t>Ø250)</t>
    </r>
  </si>
  <si>
    <t>Tubería de salida de agua del depósito de HDPE  (Ø250)</t>
  </si>
  <si>
    <t>Tubería enterrada de salida de agua del depósito de HDPE  (Ø250)</t>
  </si>
  <si>
    <t>Tubería enterrada de agua de salida del depósito de HDPE   (Ø300)</t>
  </si>
  <si>
    <r>
      <t>HDPE  recirculation / chlorination pipes  (</t>
    </r>
    <r>
      <rPr>
        <sz val="9"/>
        <rFont val="Calibri"/>
        <family val="2"/>
      </rPr>
      <t>Ø300)</t>
    </r>
  </si>
  <si>
    <t>Tubería del sistema de recirculación y cloración  HDPE  (Ø300)</t>
  </si>
  <si>
    <t>Tubería enterradas del sistema de recirculación y cloración HDPE  (Ø300)</t>
  </si>
  <si>
    <r>
      <t>HDPE drain pipe  (</t>
    </r>
    <r>
      <rPr>
        <sz val="9"/>
        <rFont val="Calibri"/>
        <family val="2"/>
      </rPr>
      <t>Ø300)</t>
    </r>
  </si>
  <si>
    <t>Tubería de drenaje  HDPE  (Ø300)</t>
  </si>
  <si>
    <t>Compaction of the subgrade  to 98% Modified Proctor</t>
  </si>
  <si>
    <t>Compactación de la capa base al 98% Proctor Modificado</t>
  </si>
  <si>
    <t xml:space="preserve"> Electrical power supply wiring (SCADA system)</t>
  </si>
  <si>
    <t>Losa de hormigón armado 3(soporte de válvulas), 30cm de espesor</t>
  </si>
  <si>
    <t>Exterior lighting fixture  (type A)</t>
  </si>
  <si>
    <t>Luminaria exterior  (Tipo A)</t>
  </si>
  <si>
    <t>Exterior lighting fixture   (type D) emergency</t>
  </si>
  <si>
    <t xml:space="preserve">Exterior lighting fixture   (type C)  </t>
  </si>
  <si>
    <t>Valla de seguridad de rejilla de pletinas electrosoldada de acero galvanizado en caliente de 20x2mm. Dimensión de la retícula 21x23mm</t>
  </si>
  <si>
    <t>Safety fence made of 20x2mm hot-dip galvanized steel electro-welded mesh plates. Grid dimension 21x23mm.</t>
  </si>
  <si>
    <t>Outlets including conduits and wiring</t>
  </si>
  <si>
    <t>Enchufes incluyendo conductos y cableado</t>
  </si>
  <si>
    <t xml:space="preserve">Reinforced concrete footings and bracing beams HA-30/B/22/XA2 </t>
  </si>
  <si>
    <t xml:space="preserve">Zapatas y vigas riostras de hormigón armado de HA-30/B/22/XA2 </t>
  </si>
  <si>
    <t>Elevator and maintenance</t>
  </si>
  <si>
    <t>Elevador y mantenimiento</t>
  </si>
  <si>
    <t>Safety ladder</t>
  </si>
  <si>
    <t>Escalera de seguridad</t>
  </si>
  <si>
    <t>TV camera SpAF</t>
  </si>
  <si>
    <t>Cámara TV  SpAF</t>
  </si>
  <si>
    <t>Electrical system (conduit + wiring)</t>
  </si>
  <si>
    <t>Sistema eléctrico (conducto + cableado)</t>
  </si>
  <si>
    <t>Pre installation Telecom system  rigid conduit</t>
  </si>
  <si>
    <t>Preinstalación Sistema de telecomunicaciones conducto rígido</t>
  </si>
  <si>
    <t>Luminaria exterior (TipoE)</t>
  </si>
  <si>
    <t>Luminaria exterior (Tipo F)</t>
  </si>
  <si>
    <t>Exterior lighting fixture   (type G)</t>
  </si>
  <si>
    <t>Luminaria exterior (Tipo G)</t>
  </si>
  <si>
    <t xml:space="preserve"> Electrical power supply wiring </t>
  </si>
  <si>
    <t>Artificial Ballast ZA 20, 30 cm thickness, compacted in two layers to 98% modified Proctor.</t>
  </si>
  <si>
    <t xml:space="preserve">
Zahorra  artificial ZA 20 de 30cm de espesor compactada en dos capas al 98% Proctor Modificado </t>
  </si>
  <si>
    <t>Luminaria exterior  (Tipo D) emergency</t>
  </si>
  <si>
    <t>Luminaria exterior  (Tipo B) (luces de señalización)</t>
  </si>
  <si>
    <t xml:space="preserve">Luminaria exterior  (Tipo C) </t>
  </si>
  <si>
    <t xml:space="preserve"> Controlador (iluminación de obstrucción)</t>
  </si>
  <si>
    <t>LS</t>
  </si>
  <si>
    <t>TOTAL TV CAMERA SpAF</t>
  </si>
  <si>
    <t>TOTAL TV CÁMARA  SpAF</t>
  </si>
  <si>
    <t>Reinforced concrete wall, 25cm</t>
  </si>
  <si>
    <t>Muro de hormigón armado de 25cm</t>
  </si>
  <si>
    <t>Rejilla Clase E-600</t>
  </si>
  <si>
    <t>Steel structure supporting the tank including ladders, accessories and painting. Including manufacturer specialist</t>
  </si>
  <si>
    <t>Estructura metálica   soporte del depósito incluído escaleras, accesorios y  pintada. Incluye fabricante especializado</t>
  </si>
  <si>
    <t>Soil excavation, up to required height, including clearing-up, load and transportation of excavated material to authorized dump outside Morón AB. (New unpaved road)</t>
  </si>
  <si>
    <t>Excavación del terreno, hasta cota requerida, incluso desescombro, carga y transporte a depósito autorizado fuera de la base de Morón. (nuevo camino no pavimentado )</t>
  </si>
  <si>
    <t>Natural soil from excavation, without stones and soil clods. Compacted to 98% P.M.</t>
  </si>
  <si>
    <t>Terreno natural procedente de la excavación, libre de piedras y terrones. Compaactado al  98% P.M</t>
  </si>
  <si>
    <t xml:space="preserve">Grating Class E-600 </t>
  </si>
  <si>
    <t>Transformador seco 15 kVA</t>
  </si>
  <si>
    <t>Dry-type pad-mounted transformers 15 kVA</t>
  </si>
  <si>
    <t>UPS (obstruction lighting) minimum 12h power supply</t>
  </si>
  <si>
    <t>UPS (iluminación de obstrucción) mínimo 12h suministro energía</t>
  </si>
  <si>
    <t>Unforeseen site conditions (2% Total direct cost)</t>
  </si>
  <si>
    <t>Condiciones imprevistas del emplazamiento (2% Coste directo total)</t>
  </si>
  <si>
    <t>30cm lime stabilized subgrade 95% Modified Proctor</t>
  </si>
  <si>
    <t xml:space="preserve">30cm suelo explanada estabilizado con cal 95% Proctor Modificado </t>
  </si>
  <si>
    <t>Application of prime coat C60BF4IMP type, including sweeping and surface preparation.</t>
  </si>
  <si>
    <t>Aplicación de riego de imprimación tipo C60BF4IMP, incluyendo barrido y preparación de superficie.</t>
  </si>
  <si>
    <t>Painting of  line road symbol, white, type II(RR), reflective, acrylic, including surface prepraration and premarking.</t>
  </si>
  <si>
    <t>Pintado de  señal de líneas  de símbolo de vial, blanca, tipo II (RR), reflectante, acrílica, incluyendo preparación y de superfice y premarcaje.</t>
  </si>
  <si>
    <t>Selected soil for E3 platform as per PG3 CBR 20 compacted 98% PM (30cm thickness)</t>
  </si>
  <si>
    <t>Suelo seleccionado para platataforma E3 según PG3 CBR 20 compactado al 98% PM (30cm de espesor)</t>
  </si>
  <si>
    <t>Grades-crash aggregate compacted to 100% PM (20cm thickness)</t>
  </si>
  <si>
    <t>Zahorra compactado al 100% PM (20cm de espesor)</t>
  </si>
  <si>
    <t>Placing and compaction 5 cm of bituminous hot mix asphalt AC16 SURF 35/50 type.</t>
  </si>
  <si>
    <t>Extensión y compactación de capa bituminosa de 5 cm de espesor de asfalto en caliente tipo AC16 SURF 35/50.</t>
  </si>
  <si>
    <t xml:space="preserve">PREPARED BY: </t>
  </si>
  <si>
    <t>FIRM NAME:</t>
  </si>
  <si>
    <t xml:space="preserve">DATE: </t>
  </si>
  <si>
    <t>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</si>
</sst>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_-* #,##0\ _P_t_s_-;\-* #,##0\ _P_t_s_-;_-* &quot;-&quot;\ _P_t_s_-;_-@_-"/>
    <numFmt numFmtId="165" formatCode="_-* #,##0.00\ &quot;Pts&quot;_-;\-* #,##0.00\ &quot;Pts&quot;_-;_-* &quot;-&quot;??\ &quot;Pts&quot;_-;_-@_-"/>
    <numFmt numFmtId="166" formatCode="0.0000"/>
  </numFmts>
  <fonts count="13" x14ac:knownFonts="1">
    <font>
      <sz val="10"/>
      <name val="Helv"/>
    </font>
    <font>
      <sz val="10"/>
      <name val="Arial"/>
      <family val="2"/>
    </font>
    <font>
      <b/>
      <sz val="12"/>
      <name val="Tms Rmn"/>
    </font>
    <font>
      <b/>
      <sz val="12"/>
      <name val="Helv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u/>
      <sz val="10"/>
      <color theme="10"/>
      <name val="Helv"/>
    </font>
    <font>
      <u/>
      <sz val="10"/>
      <color theme="11"/>
      <name val="Helv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gray125">
        <fgColor indexed="8"/>
        <bgColor indexed="9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1660">
    <xf numFmtId="37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0" fillId="0" borderId="0" applyNumberFormat="0" applyFill="0" applyBorder="0" applyAlignment="0" applyProtection="0"/>
    <xf numFmtId="37" fontId="11" fillId="0" borderId="0" applyNumberFormat="0" applyFill="0" applyBorder="0" applyAlignment="0" applyProtection="0"/>
  </cellStyleXfs>
  <cellXfs count="199">
    <xf numFmtId="37" fontId="0" fillId="0" borderId="0" xfId="0"/>
    <xf numFmtId="164" fontId="7" fillId="2" borderId="1" xfId="1" applyFont="1" applyFill="1" applyBorder="1" applyAlignment="1" applyProtection="1">
      <alignment horizontal="centerContinuous"/>
    </xf>
    <xf numFmtId="37" fontId="3" fillId="2" borderId="2" xfId="0" applyFont="1" applyFill="1" applyBorder="1" applyAlignment="1">
      <alignment horizontal="centerContinuous"/>
    </xf>
    <xf numFmtId="37" fontId="2" fillId="2" borderId="3" xfId="0" applyFont="1" applyFill="1" applyBorder="1" applyAlignment="1">
      <alignment horizontal="centerContinuous"/>
    </xf>
    <xf numFmtId="37" fontId="6" fillId="3" borderId="15" xfId="0" applyFont="1" applyFill="1" applyBorder="1" applyAlignment="1">
      <alignment horizontal="center"/>
    </xf>
    <xf numFmtId="37" fontId="6" fillId="3" borderId="5" xfId="0" applyFont="1" applyFill="1" applyBorder="1" applyAlignment="1">
      <alignment horizontal="right"/>
    </xf>
    <xf numFmtId="39" fontId="6" fillId="3" borderId="15" xfId="0" quotePrefix="1" applyNumberFormat="1" applyFont="1" applyFill="1" applyBorder="1" applyAlignment="1">
      <alignment horizontal="right"/>
    </xf>
    <xf numFmtId="37" fontId="6" fillId="3" borderId="16" xfId="0" applyFont="1" applyFill="1" applyBorder="1" applyAlignment="1">
      <alignment horizontal="right"/>
    </xf>
    <xf numFmtId="4" fontId="6" fillId="3" borderId="12" xfId="0" applyNumberFormat="1" applyFont="1" applyFill="1" applyBorder="1" applyAlignment="1">
      <alignment horizontal="right"/>
    </xf>
    <xf numFmtId="39" fontId="6" fillId="3" borderId="12" xfId="0" applyNumberFormat="1" applyFont="1" applyFill="1" applyBorder="1" applyAlignment="1">
      <alignment horizontal="right"/>
    </xf>
    <xf numFmtId="39" fontId="6" fillId="3" borderId="9" xfId="0" applyNumberFormat="1" applyFont="1" applyFill="1" applyBorder="1" applyAlignment="1">
      <alignment horizontal="right"/>
    </xf>
    <xf numFmtId="39" fontId="6" fillId="3" borderId="8" xfId="0" applyNumberFormat="1" applyFont="1" applyFill="1" applyBorder="1" applyAlignment="1">
      <alignment horizontal="right"/>
    </xf>
    <xf numFmtId="39" fontId="6" fillId="3" borderId="7" xfId="0" quotePrefix="1" applyNumberFormat="1" applyFont="1" applyFill="1" applyBorder="1" applyAlignment="1">
      <alignment horizontal="right"/>
    </xf>
    <xf numFmtId="37" fontId="6" fillId="3" borderId="10" xfId="0" applyFont="1" applyFill="1" applyBorder="1" applyAlignment="1">
      <alignment horizontal="right"/>
    </xf>
    <xf numFmtId="4" fontId="6" fillId="3" borderId="8" xfId="0" applyNumberFormat="1" applyFont="1" applyFill="1" applyBorder="1" applyAlignment="1">
      <alignment horizontal="right"/>
    </xf>
    <xf numFmtId="39" fontId="6" fillId="3" borderId="10" xfId="0" applyNumberFormat="1" applyFont="1" applyFill="1" applyBorder="1" applyAlignment="1">
      <alignment horizontal="right"/>
    </xf>
    <xf numFmtId="4" fontId="6" fillId="3" borderId="16" xfId="0" applyNumberFormat="1" applyFont="1" applyFill="1" applyBorder="1" applyAlignment="1">
      <alignment horizontal="right"/>
    </xf>
    <xf numFmtId="37" fontId="5" fillId="3" borderId="0" xfId="0" applyFont="1" applyFill="1"/>
    <xf numFmtId="3" fontId="5" fillId="3" borderId="0" xfId="0" applyNumberFormat="1" applyFont="1" applyFill="1"/>
    <xf numFmtId="37" fontId="5" fillId="3" borderId="7" xfId="0" applyFont="1" applyFill="1" applyBorder="1" applyAlignment="1">
      <alignment horizontal="center"/>
    </xf>
    <xf numFmtId="39" fontId="6" fillId="3" borderId="11" xfId="0" applyNumberFormat="1" applyFont="1" applyFill="1" applyBorder="1" applyAlignment="1">
      <alignment horizontal="right"/>
    </xf>
    <xf numFmtId="39" fontId="4" fillId="3" borderId="11" xfId="0" applyNumberFormat="1" applyFont="1" applyFill="1" applyBorder="1" applyAlignment="1">
      <alignment horizontal="right"/>
    </xf>
    <xf numFmtId="37" fontId="4" fillId="3" borderId="6" xfId="0" applyFont="1" applyFill="1" applyBorder="1" applyAlignment="1">
      <alignment horizontal="left"/>
    </xf>
    <xf numFmtId="37" fontId="6" fillId="3" borderId="0" xfId="0" applyFont="1" applyFill="1"/>
    <xf numFmtId="37" fontId="5" fillId="3" borderId="0" xfId="0" applyFont="1" applyFill="1" applyAlignment="1">
      <alignment horizontal="center"/>
    </xf>
    <xf numFmtId="39" fontId="6" fillId="3" borderId="0" xfId="0" quotePrefix="1" applyNumberFormat="1" applyFont="1" applyFill="1" applyAlignment="1">
      <alignment horizontal="right"/>
    </xf>
    <xf numFmtId="37" fontId="5" fillId="0" borderId="0" xfId="0" applyFont="1"/>
    <xf numFmtId="37" fontId="6" fillId="0" borderId="0" xfId="0" applyFont="1"/>
    <xf numFmtId="39" fontId="0" fillId="0" borderId="0" xfId="0" applyNumberFormat="1"/>
    <xf numFmtId="39" fontId="6" fillId="0" borderId="0" xfId="0" applyNumberFormat="1" applyFont="1" applyAlignment="1">
      <alignment horizontal="center"/>
    </xf>
    <xf numFmtId="3" fontId="6" fillId="0" borderId="0" xfId="0" applyNumberFormat="1" applyFont="1"/>
    <xf numFmtId="37" fontId="6" fillId="0" borderId="0" xfId="0" applyFont="1" applyAlignment="1">
      <alignment horizontal="right"/>
    </xf>
    <xf numFmtId="3" fontId="4" fillId="0" borderId="0" xfId="0" applyNumberFormat="1" applyFont="1"/>
    <xf numFmtId="3" fontId="6" fillId="0" borderId="0" xfId="0" applyNumberFormat="1" applyFont="1" applyAlignment="1">
      <alignment horizontal="left"/>
    </xf>
    <xf numFmtId="10" fontId="4" fillId="0" borderId="0" xfId="0" applyNumberFormat="1" applyFont="1"/>
    <xf numFmtId="39" fontId="6" fillId="0" borderId="0" xfId="0" applyNumberFormat="1" applyFont="1"/>
    <xf numFmtId="37" fontId="5" fillId="0" borderId="0" xfId="0" applyFont="1" applyAlignment="1">
      <alignment horizontal="right"/>
    </xf>
    <xf numFmtId="39" fontId="5" fillId="0" borderId="0" xfId="0" applyNumberFormat="1" applyFont="1" applyAlignment="1">
      <alignment horizontal="center"/>
    </xf>
    <xf numFmtId="3" fontId="5" fillId="0" borderId="0" xfId="0" applyNumberFormat="1" applyFont="1"/>
    <xf numFmtId="37" fontId="5" fillId="0" borderId="0" xfId="0" applyFont="1" applyAlignment="1">
      <alignment horizontal="left"/>
    </xf>
    <xf numFmtId="39" fontId="6" fillId="0" borderId="0" xfId="0" applyNumberFormat="1" applyFont="1" applyAlignment="1">
      <alignment horizontal="right"/>
    </xf>
    <xf numFmtId="39" fontId="6" fillId="0" borderId="0" xfId="0" quotePrefix="1" applyNumberFormat="1" applyFont="1" applyAlignment="1">
      <alignment horizontal="right"/>
    </xf>
    <xf numFmtId="37" fontId="6" fillId="0" borderId="0" xfId="0" applyFont="1" applyAlignment="1">
      <alignment horizontal="center"/>
    </xf>
    <xf numFmtId="37" fontId="4" fillId="0" borderId="0" xfId="0" applyFont="1" applyAlignment="1">
      <alignment horizontal="right"/>
    </xf>
    <xf numFmtId="37" fontId="6" fillId="0" borderId="0" xfId="0" applyFont="1" applyAlignment="1">
      <alignment horizontal="justify"/>
    </xf>
    <xf numFmtId="37" fontId="9" fillId="0" borderId="0" xfId="0" applyFont="1" applyAlignment="1">
      <alignment horizontal="right"/>
    </xf>
    <xf numFmtId="39" fontId="4" fillId="0" borderId="0" xfId="0" quotePrefix="1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37" fontId="7" fillId="0" borderId="0" xfId="0" applyFont="1"/>
    <xf numFmtId="37" fontId="5" fillId="3" borderId="4" xfId="0" applyFont="1" applyFill="1" applyBorder="1" applyAlignment="1">
      <alignment horizontal="left"/>
    </xf>
    <xf numFmtId="37" fontId="4" fillId="3" borderId="0" xfId="0" applyFont="1" applyFill="1"/>
    <xf numFmtId="39" fontId="4" fillId="3" borderId="0" xfId="0" applyNumberFormat="1" applyFont="1" applyFill="1"/>
    <xf numFmtId="37" fontId="4" fillId="3" borderId="5" xfId="0" applyFont="1" applyFill="1" applyBorder="1"/>
    <xf numFmtId="37" fontId="6" fillId="3" borderId="7" xfId="0" applyFont="1" applyFill="1" applyBorder="1"/>
    <xf numFmtId="37" fontId="4" fillId="3" borderId="7" xfId="0" applyFont="1" applyFill="1" applyBorder="1"/>
    <xf numFmtId="39" fontId="4" fillId="3" borderId="7" xfId="0" applyNumberFormat="1" applyFont="1" applyFill="1" applyBorder="1"/>
    <xf numFmtId="37" fontId="4" fillId="3" borderId="8" xfId="0" applyFont="1" applyFill="1" applyBorder="1"/>
    <xf numFmtId="37" fontId="4" fillId="3" borderId="0" xfId="0" applyFont="1" applyFill="1" applyAlignment="1">
      <alignment horizontal="left"/>
    </xf>
    <xf numFmtId="37" fontId="4" fillId="3" borderId="6" xfId="0" applyFont="1" applyFill="1" applyBorder="1"/>
    <xf numFmtId="4" fontId="4" fillId="3" borderId="7" xfId="2" applyNumberFormat="1" applyFont="1" applyFill="1" applyBorder="1"/>
    <xf numFmtId="7" fontId="4" fillId="3" borderId="14" xfId="0" applyNumberFormat="1" applyFont="1" applyFill="1" applyBorder="1"/>
    <xf numFmtId="39" fontId="5" fillId="3" borderId="4" xfId="0" applyNumberFormat="1" applyFont="1" applyFill="1" applyBorder="1" applyAlignment="1">
      <alignment horizontal="left"/>
    </xf>
    <xf numFmtId="39" fontId="4" fillId="3" borderId="6" xfId="0" applyNumberFormat="1" applyFont="1" applyFill="1" applyBorder="1" applyAlignment="1">
      <alignment horizontal="centerContinuous"/>
    </xf>
    <xf numFmtId="37" fontId="4" fillId="3" borderId="7" xfId="0" applyFont="1" applyFill="1" applyBorder="1" applyAlignment="1">
      <alignment horizontal="centerContinuous"/>
    </xf>
    <xf numFmtId="37" fontId="4" fillId="3" borderId="7" xfId="0" applyFont="1" applyFill="1" applyBorder="1" applyAlignment="1">
      <alignment horizontal="left"/>
    </xf>
    <xf numFmtId="37" fontId="4" fillId="3" borderId="9" xfId="0" applyFont="1" applyFill="1" applyBorder="1"/>
    <xf numFmtId="37" fontId="4" fillId="3" borderId="0" xfId="0" applyFont="1" applyFill="1" applyAlignment="1">
      <alignment horizontal="center"/>
    </xf>
    <xf numFmtId="39" fontId="4" fillId="3" borderId="6" xfId="0" applyNumberFormat="1" applyFont="1" applyFill="1" applyBorder="1"/>
    <xf numFmtId="37" fontId="4" fillId="3" borderId="7" xfId="0" applyFont="1" applyFill="1" applyBorder="1" applyAlignment="1">
      <alignment horizontal="center"/>
    </xf>
    <xf numFmtId="37" fontId="4" fillId="3" borderId="9" xfId="0" applyFont="1" applyFill="1" applyBorder="1" applyAlignment="1">
      <alignment horizontal="center"/>
    </xf>
    <xf numFmtId="37" fontId="4" fillId="3" borderId="5" xfId="0" applyFont="1" applyFill="1" applyBorder="1" applyAlignment="1">
      <alignment horizontal="center"/>
    </xf>
    <xf numFmtId="39" fontId="4" fillId="3" borderId="9" xfId="0" applyNumberFormat="1" applyFont="1" applyFill="1" applyBorder="1"/>
    <xf numFmtId="39" fontId="4" fillId="3" borderId="9" xfId="0" applyNumberFormat="1" applyFont="1" applyFill="1" applyBorder="1" applyAlignment="1">
      <alignment horizontal="center"/>
    </xf>
    <xf numFmtId="37" fontId="4" fillId="3" borderId="8" xfId="0" applyFont="1" applyFill="1" applyBorder="1" applyAlignment="1">
      <alignment horizontal="center"/>
    </xf>
    <xf numFmtId="39" fontId="4" fillId="3" borderId="10" xfId="0" applyNumberFormat="1" applyFont="1" applyFill="1" applyBorder="1" applyAlignment="1">
      <alignment horizontal="center"/>
    </xf>
    <xf numFmtId="37" fontId="4" fillId="3" borderId="10" xfId="0" applyFont="1" applyFill="1" applyBorder="1" applyAlignment="1">
      <alignment horizontal="center"/>
    </xf>
    <xf numFmtId="39" fontId="6" fillId="3" borderId="16" xfId="0" applyNumberFormat="1" applyFont="1" applyFill="1" applyBorder="1" applyAlignment="1">
      <alignment horizontal="right"/>
    </xf>
    <xf numFmtId="37" fontId="6" fillId="3" borderId="10" xfId="0" applyFont="1" applyFill="1" applyBorder="1" applyAlignment="1">
      <alignment horizontal="justify"/>
    </xf>
    <xf numFmtId="37" fontId="6" fillId="3" borderId="7" xfId="0" applyFont="1" applyFill="1" applyBorder="1" applyAlignment="1">
      <alignment horizontal="center"/>
    </xf>
    <xf numFmtId="4" fontId="5" fillId="3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39" fontId="5" fillId="3" borderId="10" xfId="0" applyNumberFormat="1" applyFont="1" applyFill="1" applyBorder="1" applyAlignment="1">
      <alignment horizontal="right"/>
    </xf>
    <xf numFmtId="37" fontId="5" fillId="3" borderId="12" xfId="0" applyFont="1" applyFill="1" applyBorder="1" applyAlignment="1">
      <alignment horizontal="left" wrapText="1"/>
    </xf>
    <xf numFmtId="37" fontId="8" fillId="3" borderId="8" xfId="0" applyFont="1" applyFill="1" applyBorder="1" applyAlignment="1">
      <alignment horizontal="left" wrapText="1"/>
    </xf>
    <xf numFmtId="39" fontId="6" fillId="3" borderId="16" xfId="0" applyNumberFormat="1" applyFont="1" applyFill="1" applyBorder="1"/>
    <xf numFmtId="39" fontId="6" fillId="3" borderId="10" xfId="0" applyNumberFormat="1" applyFont="1" applyFill="1" applyBorder="1"/>
    <xf numFmtId="39" fontId="5" fillId="3" borderId="9" xfId="0" applyNumberFormat="1" applyFont="1" applyFill="1" applyBorder="1" applyAlignment="1">
      <alignment horizontal="right"/>
    </xf>
    <xf numFmtId="39" fontId="6" fillId="3" borderId="6" xfId="0" applyNumberFormat="1" applyFont="1" applyFill="1" applyBorder="1" applyAlignment="1">
      <alignment horizontal="right"/>
    </xf>
    <xf numFmtId="39" fontId="5" fillId="3" borderId="18" xfId="0" applyNumberFormat="1" applyFont="1" applyFill="1" applyBorder="1" applyAlignment="1">
      <alignment horizontal="right"/>
    </xf>
    <xf numFmtId="4" fontId="6" fillId="3" borderId="9" xfId="0" applyNumberFormat="1" applyFont="1" applyFill="1" applyBorder="1" applyAlignment="1">
      <alignment horizontal="right"/>
    </xf>
    <xf numFmtId="37" fontId="6" fillId="3" borderId="10" xfId="0" applyFont="1" applyFill="1" applyBorder="1"/>
    <xf numFmtId="37" fontId="6" fillId="3" borderId="16" xfId="0" applyFont="1" applyFill="1" applyBorder="1"/>
    <xf numFmtId="4" fontId="6" fillId="3" borderId="16" xfId="0" applyNumberFormat="1" applyFont="1" applyFill="1" applyBorder="1"/>
    <xf numFmtId="39" fontId="6" fillId="3" borderId="9" xfId="0" applyNumberFormat="1" applyFont="1" applyFill="1" applyBorder="1"/>
    <xf numFmtId="37" fontId="5" fillId="3" borderId="10" xfId="0" applyFont="1" applyFill="1" applyBorder="1" applyAlignment="1">
      <alignment horizontal="right"/>
    </xf>
    <xf numFmtId="37" fontId="6" fillId="3" borderId="13" xfId="0" applyFont="1" applyFill="1" applyBorder="1"/>
    <xf numFmtId="39" fontId="6" fillId="3" borderId="0" xfId="0" applyNumberFormat="1" applyFont="1" applyFill="1" applyAlignment="1">
      <alignment horizontal="center"/>
    </xf>
    <xf numFmtId="3" fontId="6" fillId="3" borderId="0" xfId="0" applyNumberFormat="1" applyFont="1" applyFill="1"/>
    <xf numFmtId="37" fontId="6" fillId="3" borderId="0" xfId="0" applyFont="1" applyFill="1" applyAlignment="1">
      <alignment horizontal="right"/>
    </xf>
    <xf numFmtId="4" fontId="6" fillId="3" borderId="11" xfId="0" applyNumberFormat="1" applyFont="1" applyFill="1" applyBorder="1" applyAlignment="1">
      <alignment horizontal="right"/>
    </xf>
    <xf numFmtId="3" fontId="4" fillId="3" borderId="0" xfId="0" applyNumberFormat="1" applyFont="1" applyFill="1"/>
    <xf numFmtId="3" fontId="6" fillId="3" borderId="0" xfId="0" applyNumberFormat="1" applyFont="1" applyFill="1" applyAlignment="1">
      <alignment horizontal="left"/>
    </xf>
    <xf numFmtId="10" fontId="4" fillId="3" borderId="0" xfId="0" applyNumberFormat="1" applyFont="1" applyFill="1"/>
    <xf numFmtId="39" fontId="6" fillId="3" borderId="0" xfId="0" applyNumberFormat="1" applyFont="1" applyFill="1"/>
    <xf numFmtId="37" fontId="6" fillId="3" borderId="0" xfId="0" applyFont="1" applyFill="1" applyAlignment="1">
      <alignment horizontal="left"/>
    </xf>
    <xf numFmtId="37" fontId="5" fillId="3" borderId="0" xfId="0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39" fontId="5" fillId="3" borderId="0" xfId="0" applyNumberFormat="1" applyFont="1" applyFill="1" applyAlignment="1">
      <alignment horizontal="center"/>
    </xf>
    <xf numFmtId="37" fontId="5" fillId="3" borderId="0" xfId="0" applyFont="1" applyFill="1" applyAlignment="1">
      <alignment horizontal="left"/>
    </xf>
    <xf numFmtId="37" fontId="7" fillId="3" borderId="19" xfId="0" applyFont="1" applyFill="1" applyBorder="1"/>
    <xf numFmtId="37" fontId="6" fillId="3" borderId="19" xfId="0" applyFont="1" applyFill="1" applyBorder="1"/>
    <xf numFmtId="39" fontId="6" fillId="3" borderId="19" xfId="0" applyNumberFormat="1" applyFont="1" applyFill="1" applyBorder="1" applyAlignment="1">
      <alignment horizontal="center"/>
    </xf>
    <xf numFmtId="3" fontId="6" fillId="3" borderId="19" xfId="0" applyNumberFormat="1" applyFont="1" applyFill="1" applyBorder="1"/>
    <xf numFmtId="37" fontId="6" fillId="3" borderId="19" xfId="0" applyFont="1" applyFill="1" applyBorder="1" applyAlignment="1">
      <alignment horizontal="right"/>
    </xf>
    <xf numFmtId="37" fontId="5" fillId="3" borderId="19" xfId="0" applyFont="1" applyFill="1" applyBorder="1" applyAlignment="1">
      <alignment horizontal="left"/>
    </xf>
    <xf numFmtId="39" fontId="4" fillId="3" borderId="14" xfId="0" applyNumberFormat="1" applyFont="1" applyFill="1" applyBorder="1" applyAlignment="1">
      <alignment horizontal="right"/>
    </xf>
    <xf numFmtId="37" fontId="5" fillId="3" borderId="15" xfId="0" applyFont="1" applyFill="1" applyBorder="1" applyAlignment="1">
      <alignment horizontal="center"/>
    </xf>
    <xf numFmtId="37" fontId="5" fillId="3" borderId="5" xfId="0" applyFont="1" applyFill="1" applyBorder="1" applyAlignment="1">
      <alignment horizontal="right"/>
    </xf>
    <xf numFmtId="39" fontId="5" fillId="3" borderId="15" xfId="0" quotePrefix="1" applyNumberFormat="1" applyFont="1" applyFill="1" applyBorder="1" applyAlignment="1">
      <alignment horizontal="right"/>
    </xf>
    <xf numFmtId="37" fontId="5" fillId="3" borderId="16" xfId="0" applyFont="1" applyFill="1" applyBorder="1" applyAlignment="1">
      <alignment horizontal="right"/>
    </xf>
    <xf numFmtId="4" fontId="5" fillId="3" borderId="12" xfId="0" applyNumberFormat="1" applyFont="1" applyFill="1" applyBorder="1" applyAlignment="1">
      <alignment horizontal="right"/>
    </xf>
    <xf numFmtId="39" fontId="5" fillId="3" borderId="12" xfId="0" applyNumberFormat="1" applyFont="1" applyFill="1" applyBorder="1" applyAlignment="1">
      <alignment horizontal="right"/>
    </xf>
    <xf numFmtId="4" fontId="5" fillId="3" borderId="16" xfId="0" applyNumberFormat="1" applyFont="1" applyFill="1" applyBorder="1" applyAlignment="1">
      <alignment horizontal="right"/>
    </xf>
    <xf numFmtId="39" fontId="5" fillId="3" borderId="7" xfId="0" quotePrefix="1" applyNumberFormat="1" applyFont="1" applyFill="1" applyBorder="1" applyAlignment="1">
      <alignment horizontal="right"/>
    </xf>
    <xf numFmtId="39" fontId="5" fillId="3" borderId="16" xfId="0" applyNumberFormat="1" applyFont="1" applyFill="1" applyBorder="1" applyAlignment="1">
      <alignment horizontal="right"/>
    </xf>
    <xf numFmtId="37" fontId="4" fillId="3" borderId="12" xfId="0" applyFont="1" applyFill="1" applyBorder="1" applyAlignment="1">
      <alignment horizontal="left" wrapText="1"/>
    </xf>
    <xf numFmtId="37" fontId="9" fillId="3" borderId="8" xfId="0" applyFont="1" applyFill="1" applyBorder="1" applyAlignment="1">
      <alignment horizontal="left" wrapText="1"/>
    </xf>
    <xf numFmtId="37" fontId="4" fillId="3" borderId="12" xfId="0" applyFont="1" applyFill="1" applyBorder="1" applyAlignment="1">
      <alignment horizontal="right" wrapText="1"/>
    </xf>
    <xf numFmtId="37" fontId="9" fillId="3" borderId="8" xfId="0" applyFont="1" applyFill="1" applyBorder="1" applyAlignment="1">
      <alignment horizontal="right" wrapText="1"/>
    </xf>
    <xf numFmtId="37" fontId="5" fillId="0" borderId="12" xfId="0" applyFont="1" applyBorder="1" applyAlignment="1">
      <alignment horizontal="left" wrapText="1"/>
    </xf>
    <xf numFmtId="37" fontId="8" fillId="0" borderId="8" xfId="0" applyFont="1" applyBorder="1" applyAlignment="1">
      <alignment horizontal="left" wrapText="1"/>
    </xf>
    <xf numFmtId="37" fontId="4" fillId="0" borderId="12" xfId="0" applyFont="1" applyBorder="1" applyAlignment="1">
      <alignment horizontal="left" wrapText="1"/>
    </xf>
    <xf numFmtId="37" fontId="9" fillId="0" borderId="8" xfId="0" applyFont="1" applyBorder="1" applyAlignment="1">
      <alignment horizontal="left" wrapText="1"/>
    </xf>
    <xf numFmtId="39" fontId="4" fillId="3" borderId="10" xfId="0" applyNumberFormat="1" applyFont="1" applyFill="1" applyBorder="1" applyAlignment="1">
      <alignment horizontal="right"/>
    </xf>
    <xf numFmtId="37" fontId="9" fillId="3" borderId="5" xfId="0" applyFont="1" applyFill="1" applyBorder="1" applyAlignment="1">
      <alignment horizontal="right" wrapText="1"/>
    </xf>
    <xf numFmtId="4" fontId="6" fillId="3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4" fillId="3" borderId="9" xfId="0" applyNumberFormat="1" applyFont="1" applyFill="1" applyBorder="1" applyAlignment="1">
      <alignment horizontal="right"/>
    </xf>
    <xf numFmtId="37" fontId="6" fillId="3" borderId="9" xfId="0" applyFont="1" applyFill="1" applyBorder="1" applyAlignment="1">
      <alignment horizontal="right"/>
    </xf>
    <xf numFmtId="39" fontId="5" fillId="3" borderId="0" xfId="0" applyNumberFormat="1" applyFont="1" applyFill="1" applyAlignment="1">
      <alignment horizontal="right"/>
    </xf>
    <xf numFmtId="39" fontId="6" fillId="3" borderId="20" xfId="0" applyNumberFormat="1" applyFont="1" applyFill="1" applyBorder="1" applyAlignment="1">
      <alignment horizontal="right"/>
    </xf>
    <xf numFmtId="37" fontId="8" fillId="3" borderId="5" xfId="0" applyFont="1" applyFill="1" applyBorder="1" applyAlignment="1">
      <alignment horizontal="left" wrapText="1"/>
    </xf>
    <xf numFmtId="37" fontId="5" fillId="3" borderId="12" xfId="0" applyFont="1" applyFill="1" applyBorder="1" applyAlignment="1">
      <alignment horizontal="left" vertical="center" wrapText="1"/>
    </xf>
    <xf numFmtId="37" fontId="5" fillId="0" borderId="12" xfId="0" applyFont="1" applyBorder="1" applyAlignment="1">
      <alignment horizontal="left" vertical="center" wrapText="1"/>
    </xf>
    <xf numFmtId="39" fontId="6" fillId="3" borderId="17" xfId="0" applyNumberFormat="1" applyFont="1" applyFill="1" applyBorder="1" applyAlignment="1">
      <alignment horizontal="right"/>
    </xf>
    <xf numFmtId="39" fontId="6" fillId="3" borderId="18" xfId="0" applyNumberFormat="1" applyFont="1" applyFill="1" applyBorder="1" applyAlignment="1">
      <alignment horizontal="right"/>
    </xf>
    <xf numFmtId="39" fontId="6" fillId="3" borderId="4" xfId="0" applyNumberFormat="1" applyFont="1" applyFill="1" applyBorder="1"/>
    <xf numFmtId="39" fontId="6" fillId="3" borderId="4" xfId="0" applyNumberFormat="1" applyFont="1" applyFill="1" applyBorder="1" applyAlignment="1">
      <alignment horizontal="right"/>
    </xf>
    <xf numFmtId="39" fontId="5" fillId="0" borderId="17" xfId="0" applyNumberFormat="1" applyFont="1" applyBorder="1" applyAlignment="1">
      <alignment horizontal="right"/>
    </xf>
    <xf numFmtId="39" fontId="4" fillId="0" borderId="18" xfId="0" applyNumberFormat="1" applyFont="1" applyBorder="1" applyAlignment="1">
      <alignment horizontal="right"/>
    </xf>
    <xf numFmtId="39" fontId="5" fillId="0" borderId="18" xfId="0" applyNumberFormat="1" applyFont="1" applyBorder="1" applyAlignment="1">
      <alignment horizontal="right"/>
    </xf>
    <xf numFmtId="39" fontId="5" fillId="0" borderId="8" xfId="0" applyNumberFormat="1" applyFont="1" applyBorder="1" applyAlignment="1">
      <alignment horizontal="right"/>
    </xf>
    <xf numFmtId="37" fontId="5" fillId="0" borderId="5" xfId="0" applyFont="1" applyBorder="1" applyAlignment="1">
      <alignment horizontal="right"/>
    </xf>
    <xf numFmtId="37" fontId="5" fillId="3" borderId="12" xfId="0" applyFont="1" applyFill="1" applyBorder="1" applyAlignment="1">
      <alignment horizontal="left" vertical="top" wrapText="1"/>
    </xf>
    <xf numFmtId="37" fontId="6" fillId="0" borderId="15" xfId="0" applyFont="1" applyBorder="1" applyAlignment="1">
      <alignment horizontal="center"/>
    </xf>
    <xf numFmtId="39" fontId="6" fillId="0" borderId="16" xfId="0" applyNumberFormat="1" applyFont="1" applyBorder="1" applyAlignment="1">
      <alignment horizontal="right"/>
    </xf>
    <xf numFmtId="37" fontId="6" fillId="0" borderId="5" xfId="0" applyFont="1" applyBorder="1" applyAlignment="1">
      <alignment horizontal="right"/>
    </xf>
    <xf numFmtId="39" fontId="6" fillId="0" borderId="15" xfId="0" quotePrefix="1" applyNumberFormat="1" applyFont="1" applyBorder="1" applyAlignment="1">
      <alignment horizontal="right"/>
    </xf>
    <xf numFmtId="37" fontId="6" fillId="0" borderId="16" xfId="0" applyFont="1" applyBorder="1" applyAlignment="1">
      <alignment horizontal="right"/>
    </xf>
    <xf numFmtId="4" fontId="6" fillId="0" borderId="12" xfId="0" applyNumberFormat="1" applyFont="1" applyBorder="1" applyAlignment="1">
      <alignment horizontal="right"/>
    </xf>
    <xf numFmtId="39" fontId="6" fillId="0" borderId="12" xfId="0" applyNumberFormat="1" applyFont="1" applyBorder="1" applyAlignment="1">
      <alignment horizontal="right"/>
    </xf>
    <xf numFmtId="4" fontId="6" fillId="0" borderId="16" xfId="0" applyNumberFormat="1" applyFont="1" applyBorder="1" applyAlignment="1">
      <alignment horizontal="right"/>
    </xf>
    <xf numFmtId="37" fontId="5" fillId="0" borderId="7" xfId="0" applyFont="1" applyBorder="1" applyAlignment="1">
      <alignment horizontal="center"/>
    </xf>
    <xf numFmtId="39" fontId="6" fillId="0" borderId="10" xfId="0" applyNumberFormat="1" applyFont="1" applyBorder="1" applyAlignment="1">
      <alignment horizontal="right"/>
    </xf>
    <xf numFmtId="39" fontId="6" fillId="0" borderId="8" xfId="0" applyNumberFormat="1" applyFont="1" applyBorder="1" applyAlignment="1">
      <alignment horizontal="right"/>
    </xf>
    <xf numFmtId="39" fontId="6" fillId="0" borderId="7" xfId="0" quotePrefix="1" applyNumberFormat="1" applyFont="1" applyBorder="1" applyAlignment="1">
      <alignment horizontal="right"/>
    </xf>
    <xf numFmtId="37" fontId="5" fillId="0" borderId="10" xfId="0" applyFont="1" applyBorder="1" applyAlignment="1">
      <alignment horizontal="right"/>
    </xf>
    <xf numFmtId="4" fontId="6" fillId="0" borderId="8" xfId="0" applyNumberFormat="1" applyFont="1" applyBorder="1" applyAlignment="1">
      <alignment horizontal="right"/>
    </xf>
    <xf numFmtId="39" fontId="5" fillId="0" borderId="10" xfId="0" applyNumberFormat="1" applyFont="1" applyBorder="1" applyAlignment="1">
      <alignment horizontal="right"/>
    </xf>
    <xf numFmtId="37" fontId="4" fillId="3" borderId="12" xfId="0" applyFont="1" applyFill="1" applyBorder="1" applyAlignment="1">
      <alignment horizontal="right"/>
    </xf>
    <xf numFmtId="37" fontId="9" fillId="3" borderId="21" xfId="0" applyFont="1" applyFill="1" applyBorder="1" applyAlignment="1">
      <alignment horizontal="right"/>
    </xf>
    <xf numFmtId="37" fontId="4" fillId="3" borderId="4" xfId="0" applyFont="1" applyFill="1" applyBorder="1"/>
    <xf numFmtId="37" fontId="4" fillId="3" borderId="4" xfId="0" applyFont="1" applyFill="1" applyBorder="1" applyAlignment="1">
      <alignment horizontal="center"/>
    </xf>
    <xf numFmtId="37" fontId="6" fillId="3" borderId="5" xfId="0" applyFont="1" applyFill="1" applyBorder="1" applyAlignment="1">
      <alignment horizontal="center" vertical="center"/>
    </xf>
    <xf numFmtId="37" fontId="6" fillId="3" borderId="22" xfId="0" applyFont="1" applyFill="1" applyBorder="1" applyAlignment="1">
      <alignment horizontal="center"/>
    </xf>
    <xf numFmtId="4" fontId="5" fillId="0" borderId="10" xfId="0" applyNumberFormat="1" applyFont="1" applyBorder="1" applyAlignment="1">
      <alignment horizontal="right"/>
    </xf>
    <xf numFmtId="39" fontId="6" fillId="0" borderId="16" xfId="0" applyNumberFormat="1" applyFont="1" applyBorder="1"/>
    <xf numFmtId="37" fontId="6" fillId="0" borderId="16" xfId="0" applyFont="1" applyBorder="1"/>
    <xf numFmtId="4" fontId="6" fillId="0" borderId="16" xfId="0" applyNumberFormat="1" applyFont="1" applyBorder="1"/>
    <xf numFmtId="39" fontId="6" fillId="0" borderId="10" xfId="0" applyNumberFormat="1" applyFont="1" applyBorder="1"/>
    <xf numFmtId="37" fontId="6" fillId="0" borderId="10" xfId="0" applyFont="1" applyBorder="1"/>
    <xf numFmtId="39" fontId="6" fillId="0" borderId="9" xfId="0" applyNumberFormat="1" applyFont="1" applyBorder="1"/>
    <xf numFmtId="39" fontId="5" fillId="3" borderId="17" xfId="0" applyNumberFormat="1" applyFont="1" applyFill="1" applyBorder="1" applyAlignment="1">
      <alignment horizontal="right"/>
    </xf>
    <xf numFmtId="39" fontId="5" fillId="3" borderId="23" xfId="0" applyNumberFormat="1" applyFont="1" applyFill="1" applyBorder="1" applyAlignment="1">
      <alignment horizontal="right"/>
    </xf>
    <xf numFmtId="39" fontId="6" fillId="3" borderId="24" xfId="0" applyNumberFormat="1" applyFont="1" applyFill="1" applyBorder="1" applyAlignment="1">
      <alignment horizontal="right"/>
    </xf>
    <xf numFmtId="39" fontId="4" fillId="0" borderId="24" xfId="0" applyNumberFormat="1" applyFont="1" applyBorder="1" applyAlignment="1">
      <alignment horizontal="right"/>
    </xf>
    <xf numFmtId="37" fontId="5" fillId="3" borderId="26" xfId="0" applyFont="1" applyFill="1" applyBorder="1" applyAlignment="1">
      <alignment horizontal="center"/>
    </xf>
    <xf numFmtId="39" fontId="6" fillId="3" borderId="27" xfId="0" applyNumberFormat="1" applyFont="1" applyFill="1" applyBorder="1"/>
    <xf numFmtId="39" fontId="6" fillId="3" borderId="26" xfId="0" quotePrefix="1" applyNumberFormat="1" applyFont="1" applyFill="1" applyBorder="1" applyAlignment="1">
      <alignment horizontal="right"/>
    </xf>
    <xf numFmtId="37" fontId="6" fillId="3" borderId="28" xfId="0" applyFont="1" applyFill="1" applyBorder="1" applyAlignment="1">
      <alignment horizontal="right"/>
    </xf>
    <xf numFmtId="4" fontId="6" fillId="3" borderId="25" xfId="0" applyNumberFormat="1" applyFont="1" applyFill="1" applyBorder="1" applyAlignment="1">
      <alignment horizontal="right"/>
    </xf>
    <xf numFmtId="39" fontId="5" fillId="3" borderId="26" xfId="0" applyNumberFormat="1" applyFont="1" applyFill="1" applyBorder="1" applyAlignment="1">
      <alignment horizontal="right"/>
    </xf>
    <xf numFmtId="37" fontId="6" fillId="3" borderId="12" xfId="0" applyFont="1" applyFill="1" applyBorder="1" applyAlignment="1">
      <alignment horizontal="center" vertical="center"/>
    </xf>
    <xf numFmtId="37" fontId="6" fillId="3" borderId="21" xfId="0" applyFont="1" applyFill="1" applyBorder="1" applyAlignment="1">
      <alignment horizontal="center" vertical="center"/>
    </xf>
    <xf numFmtId="37" fontId="6" fillId="0" borderId="12" xfId="0" applyFont="1" applyBorder="1" applyAlignment="1">
      <alignment horizontal="center" vertical="center"/>
    </xf>
    <xf numFmtId="37" fontId="6" fillId="0" borderId="21" xfId="0" applyFont="1" applyBorder="1" applyAlignment="1">
      <alignment horizontal="center" vertical="center"/>
    </xf>
    <xf numFmtId="37" fontId="5" fillId="3" borderId="0" xfId="0" applyFont="1" applyFill="1" applyAlignment="1">
      <alignment horizontal="center"/>
    </xf>
    <xf numFmtId="37" fontId="6" fillId="3" borderId="25" xfId="0" applyFont="1" applyFill="1" applyBorder="1" applyAlignment="1">
      <alignment horizontal="center" vertical="center"/>
    </xf>
  </cellXfs>
  <cellStyles count="1660">
    <cellStyle name="Comma [0]" xfId="1" builtinId="6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Moneda 2" xfId="3" xr:uid="{00000000-0005-0000-0000-00007A06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578190</xdr:colOff>
      <xdr:row>3</xdr:row>
      <xdr:rowOff>142120</xdr:rowOff>
    </xdr:from>
    <xdr:to>
      <xdr:col>8</xdr:col>
      <xdr:colOff>241916</xdr:colOff>
      <xdr:row>5</xdr:row>
      <xdr:rowOff>104020</xdr:rowOff>
    </xdr:to>
    <xdr:pic>
      <xdr:nvPicPr>
        <xdr:cNvPr id="2" name="Picture 1" descr="euro">
          <a:extLst>
            <a:ext uri="{FF2B5EF4-FFF2-40B4-BE49-F238E27FC236}">
              <a16:creationId xmlns:a16="http://schemas.microsoft.com/office/drawing/2014/main" id="{B086781C-67E0-4B8D-84C5-40E1629E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0415" y="723145"/>
          <a:ext cx="42572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F9EA-9A04-4FDA-9331-4778EE9FAF00}">
  <sheetPr>
    <pageSetUpPr fitToPage="1"/>
  </sheetPr>
  <dimension ref="A1:L278"/>
  <sheetViews>
    <sheetView tabSelected="1" showWhiteSpace="0" zoomScale="115" zoomScaleNormal="115" zoomScaleSheetLayoutView="100" zoomScalePageLayoutView="110" workbookViewId="0">
      <selection activeCell="H5" sqref="H5"/>
    </sheetView>
  </sheetViews>
  <sheetFormatPr defaultColWidth="11.42578125" defaultRowHeight="13.5" customHeight="1" x14ac:dyDescent="0.2"/>
  <cols>
    <col min="1" max="1" width="5" customWidth="1"/>
    <col min="2" max="2" width="40.7109375" customWidth="1"/>
    <col min="3" max="3" width="7.28515625" customWidth="1"/>
    <col min="4" max="4" width="9.140625" style="28" customWidth="1"/>
    <col min="5" max="5" width="12.140625" customWidth="1"/>
    <col min="6" max="6" width="12.7109375" customWidth="1"/>
    <col min="7" max="7" width="8.5703125" customWidth="1"/>
    <col min="8" max="8" width="11.42578125" customWidth="1"/>
    <col min="9" max="11" width="12.7109375" customWidth="1"/>
    <col min="12" max="12" width="12.7109375" bestFit="1" customWidth="1"/>
  </cols>
  <sheetData>
    <row r="1" spans="1:12" ht="18.75" x14ac:dyDescent="0.3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13.5" customHeight="1" x14ac:dyDescent="0.2">
      <c r="A2" s="50" t="s">
        <v>0</v>
      </c>
      <c r="B2" s="51"/>
      <c r="C2" s="51"/>
      <c r="D2" s="52"/>
      <c r="E2" s="51"/>
      <c r="F2" s="50" t="s">
        <v>1</v>
      </c>
      <c r="G2" s="51"/>
      <c r="H2" s="51"/>
      <c r="I2" s="51"/>
      <c r="J2" s="51"/>
      <c r="K2" s="53"/>
    </row>
    <row r="3" spans="1:12" ht="13.5" customHeight="1" x14ac:dyDescent="0.2">
      <c r="A3" s="22"/>
      <c r="B3" s="54"/>
      <c r="C3" s="55"/>
      <c r="D3" s="56"/>
      <c r="E3" s="55"/>
      <c r="F3" s="22"/>
      <c r="G3" s="55"/>
      <c r="H3" s="55"/>
      <c r="I3" s="55"/>
      <c r="J3" s="55"/>
      <c r="K3" s="57"/>
    </row>
    <row r="4" spans="1:12" ht="13.5" customHeight="1" x14ac:dyDescent="0.2">
      <c r="A4" s="50" t="s">
        <v>3</v>
      </c>
      <c r="B4" s="51"/>
      <c r="C4" s="51"/>
      <c r="D4" s="52"/>
      <c r="E4" s="51"/>
      <c r="F4" s="51"/>
      <c r="G4" s="50" t="s">
        <v>4</v>
      </c>
      <c r="H4" s="51"/>
      <c r="I4" s="51"/>
      <c r="J4" s="58"/>
      <c r="K4" s="53"/>
    </row>
    <row r="5" spans="1:12" ht="13.5" customHeight="1" x14ac:dyDescent="0.2">
      <c r="A5" s="22" t="s">
        <v>99</v>
      </c>
      <c r="B5" s="55"/>
      <c r="C5" s="55"/>
      <c r="D5" s="56"/>
      <c r="E5" s="56"/>
      <c r="F5" s="55"/>
      <c r="G5" s="59"/>
      <c r="H5" s="55"/>
      <c r="I5" s="60"/>
      <c r="J5" s="55"/>
      <c r="K5" s="61"/>
    </row>
    <row r="6" spans="1:12" ht="13.5" customHeight="1" x14ac:dyDescent="0.2">
      <c r="A6" s="50" t="s">
        <v>5</v>
      </c>
      <c r="B6" s="51"/>
      <c r="C6" s="51"/>
      <c r="D6" s="62" t="s">
        <v>6</v>
      </c>
      <c r="E6" s="51"/>
      <c r="F6" s="51"/>
      <c r="G6" s="50" t="s">
        <v>7</v>
      </c>
      <c r="H6" s="51"/>
      <c r="I6" s="51"/>
      <c r="J6" s="51"/>
      <c r="K6" s="53"/>
    </row>
    <row r="7" spans="1:12" ht="13.5" customHeight="1" x14ac:dyDescent="0.2">
      <c r="A7" s="59" t="s">
        <v>2</v>
      </c>
      <c r="B7" s="55"/>
      <c r="C7" s="55"/>
      <c r="D7" s="63" t="s">
        <v>100</v>
      </c>
      <c r="E7" s="64"/>
      <c r="F7" s="64"/>
      <c r="G7" s="59"/>
      <c r="H7" s="55"/>
      <c r="I7" s="65"/>
      <c r="J7" s="55"/>
      <c r="K7" s="57"/>
    </row>
    <row r="8" spans="1:12" ht="13.5" customHeight="1" x14ac:dyDescent="0.2">
      <c r="A8" s="172"/>
      <c r="B8" s="53"/>
      <c r="C8" s="67" t="s">
        <v>8</v>
      </c>
      <c r="D8" s="68"/>
      <c r="E8" s="69" t="s">
        <v>9</v>
      </c>
      <c r="F8" s="55"/>
      <c r="G8" s="59"/>
      <c r="H8" s="69" t="s">
        <v>10</v>
      </c>
      <c r="I8" s="57"/>
      <c r="J8" s="67" t="s">
        <v>11</v>
      </c>
      <c r="K8" s="66"/>
    </row>
    <row r="9" spans="1:12" ht="13.5" customHeight="1" x14ac:dyDescent="0.2">
      <c r="A9" s="173" t="s">
        <v>12</v>
      </c>
      <c r="B9" s="71" t="s">
        <v>13</v>
      </c>
      <c r="C9" s="67" t="s">
        <v>14</v>
      </c>
      <c r="D9" s="72"/>
      <c r="E9" s="53"/>
      <c r="F9" s="51"/>
      <c r="G9" s="66"/>
      <c r="H9" s="53"/>
      <c r="I9" s="53"/>
      <c r="J9" s="67" t="s">
        <v>15</v>
      </c>
      <c r="K9" s="70" t="s">
        <v>16</v>
      </c>
    </row>
    <row r="10" spans="1:12" ht="13.5" customHeight="1" x14ac:dyDescent="0.2">
      <c r="A10" s="173" t="s">
        <v>17</v>
      </c>
      <c r="B10" s="53"/>
      <c r="C10" s="67" t="s">
        <v>18</v>
      </c>
      <c r="D10" s="73" t="s">
        <v>19</v>
      </c>
      <c r="E10" s="71" t="s">
        <v>8</v>
      </c>
      <c r="F10" s="67" t="s">
        <v>20</v>
      </c>
      <c r="G10" s="70" t="s">
        <v>21</v>
      </c>
      <c r="H10" s="71" t="s">
        <v>22</v>
      </c>
      <c r="I10" s="71" t="s">
        <v>20</v>
      </c>
      <c r="J10" s="67" t="s">
        <v>23</v>
      </c>
      <c r="K10" s="70" t="s">
        <v>20</v>
      </c>
    </row>
    <row r="11" spans="1:12" ht="13.5" customHeight="1" x14ac:dyDescent="0.2">
      <c r="A11" s="59"/>
      <c r="B11" s="74" t="s">
        <v>24</v>
      </c>
      <c r="C11" s="69" t="s">
        <v>25</v>
      </c>
      <c r="D11" s="75" t="s">
        <v>26</v>
      </c>
      <c r="E11" s="74" t="s">
        <v>27</v>
      </c>
      <c r="F11" s="69" t="s">
        <v>28</v>
      </c>
      <c r="G11" s="76" t="s">
        <v>29</v>
      </c>
      <c r="H11" s="74" t="s">
        <v>30</v>
      </c>
      <c r="I11" s="74" t="s">
        <v>31</v>
      </c>
      <c r="J11" s="69" t="s">
        <v>32</v>
      </c>
      <c r="K11" s="76" t="s">
        <v>33</v>
      </c>
    </row>
    <row r="12" spans="1:12" ht="15.75" customHeight="1" x14ac:dyDescent="0.2">
      <c r="A12" s="193"/>
      <c r="B12" s="126" t="s">
        <v>54</v>
      </c>
      <c r="C12" s="4"/>
      <c r="D12" s="77"/>
      <c r="E12" s="5"/>
      <c r="F12" s="6"/>
      <c r="G12" s="7"/>
      <c r="H12" s="8"/>
      <c r="I12" s="9"/>
      <c r="J12" s="16"/>
      <c r="K12" s="16"/>
      <c r="L12" s="28"/>
    </row>
    <row r="13" spans="1:12" ht="15.75" customHeight="1" x14ac:dyDescent="0.2">
      <c r="A13" s="194"/>
      <c r="B13" s="127" t="s">
        <v>55</v>
      </c>
      <c r="C13" s="19"/>
      <c r="D13" s="15"/>
      <c r="E13" s="11"/>
      <c r="F13" s="12"/>
      <c r="G13" s="13"/>
      <c r="H13" s="14"/>
      <c r="I13" s="81"/>
      <c r="J13" s="15"/>
      <c r="K13" s="82"/>
      <c r="L13" s="28"/>
    </row>
    <row r="14" spans="1:12" ht="18.75" customHeight="1" x14ac:dyDescent="0.2">
      <c r="A14" s="193"/>
      <c r="B14" s="126" t="s">
        <v>49</v>
      </c>
      <c r="C14" s="4"/>
      <c r="D14" s="77"/>
      <c r="E14" s="5"/>
      <c r="F14" s="6"/>
      <c r="G14" s="7"/>
      <c r="H14" s="8"/>
      <c r="I14" s="9"/>
      <c r="J14" s="16"/>
      <c r="K14" s="16"/>
      <c r="L14" s="28"/>
    </row>
    <row r="15" spans="1:12" ht="17.25" customHeight="1" x14ac:dyDescent="0.2">
      <c r="A15" s="194"/>
      <c r="B15" s="127" t="s">
        <v>50</v>
      </c>
      <c r="C15" s="19"/>
      <c r="D15" s="15"/>
      <c r="E15" s="11"/>
      <c r="F15" s="12"/>
      <c r="G15" s="13"/>
      <c r="H15" s="14"/>
      <c r="I15" s="81"/>
      <c r="J15" s="15"/>
      <c r="K15" s="82"/>
      <c r="L15" s="28"/>
    </row>
    <row r="16" spans="1:12" ht="16.5" customHeight="1" x14ac:dyDescent="0.2">
      <c r="A16" s="195">
        <f>1</f>
        <v>1</v>
      </c>
      <c r="B16" s="83" t="s">
        <v>102</v>
      </c>
      <c r="C16" s="4"/>
      <c r="D16" s="85"/>
      <c r="E16" s="5"/>
      <c r="F16" s="6"/>
      <c r="G16" s="7"/>
      <c r="H16" s="8"/>
      <c r="I16" s="9"/>
      <c r="J16" s="16"/>
      <c r="K16" s="87"/>
      <c r="L16" s="28"/>
    </row>
    <row r="17" spans="1:12" ht="16.5" customHeight="1" x14ac:dyDescent="0.2">
      <c r="A17" s="196"/>
      <c r="B17" s="84" t="s">
        <v>133</v>
      </c>
      <c r="C17" s="19" t="s">
        <v>71</v>
      </c>
      <c r="D17" s="86"/>
      <c r="E17" s="11"/>
      <c r="F17" s="12"/>
      <c r="G17" s="13"/>
      <c r="H17" s="14"/>
      <c r="I17" s="81"/>
      <c r="J17" s="88"/>
      <c r="K17" s="89"/>
      <c r="L17" s="28"/>
    </row>
    <row r="18" spans="1:12" ht="39.75" customHeight="1" x14ac:dyDescent="0.2">
      <c r="A18" s="193">
        <f>A16+1</f>
        <v>2</v>
      </c>
      <c r="B18" s="83" t="s">
        <v>59</v>
      </c>
      <c r="C18" s="4"/>
      <c r="D18" s="85"/>
      <c r="E18" s="5"/>
      <c r="F18" s="6"/>
      <c r="G18" s="7"/>
      <c r="H18" s="8"/>
      <c r="I18" s="9"/>
      <c r="J18" s="16"/>
      <c r="K18" s="87"/>
      <c r="L18" s="28"/>
    </row>
    <row r="19" spans="1:12" ht="35.25" customHeight="1" x14ac:dyDescent="0.2">
      <c r="A19" s="194"/>
      <c r="B19" s="84" t="s">
        <v>60</v>
      </c>
      <c r="C19" s="19" t="s">
        <v>101</v>
      </c>
      <c r="D19" s="86"/>
      <c r="E19" s="11"/>
      <c r="F19" s="12"/>
      <c r="G19" s="13"/>
      <c r="H19" s="14"/>
      <c r="I19" s="81"/>
      <c r="J19" s="88"/>
      <c r="K19" s="89"/>
      <c r="L19" s="28"/>
    </row>
    <row r="20" spans="1:12" ht="19.5" customHeight="1" x14ac:dyDescent="0.2">
      <c r="A20" s="193">
        <f t="shared" ref="A20" si="0">A18+1</f>
        <v>3</v>
      </c>
      <c r="B20" s="83" t="s">
        <v>103</v>
      </c>
      <c r="C20" s="4"/>
      <c r="D20" s="77"/>
      <c r="E20" s="5"/>
      <c r="F20" s="6"/>
      <c r="G20" s="7"/>
      <c r="H20" s="8"/>
      <c r="I20" s="9"/>
      <c r="J20" s="16"/>
      <c r="K20" s="16"/>
      <c r="L20" s="28"/>
    </row>
    <row r="21" spans="1:12" ht="24.75" customHeight="1" x14ac:dyDescent="0.2">
      <c r="A21" s="194"/>
      <c r="B21" s="84" t="s">
        <v>104</v>
      </c>
      <c r="C21" s="19" t="s">
        <v>101</v>
      </c>
      <c r="D21" s="15"/>
      <c r="E21" s="11"/>
      <c r="F21" s="12"/>
      <c r="G21" s="13"/>
      <c r="H21" s="14"/>
      <c r="I21" s="81"/>
      <c r="J21" s="15"/>
      <c r="K21" s="82"/>
      <c r="L21" s="28"/>
    </row>
    <row r="22" spans="1:12" ht="17.25" customHeight="1" x14ac:dyDescent="0.2">
      <c r="A22" s="193"/>
      <c r="B22" s="126" t="s">
        <v>51</v>
      </c>
      <c r="C22" s="4"/>
      <c r="D22" s="94"/>
      <c r="E22" s="5"/>
      <c r="F22" s="6"/>
      <c r="G22" s="7"/>
      <c r="H22" s="8"/>
      <c r="I22" s="9"/>
      <c r="J22" s="16"/>
      <c r="K22" s="90"/>
      <c r="L22" s="28"/>
    </row>
    <row r="23" spans="1:12" ht="13.5" customHeight="1" x14ac:dyDescent="0.2">
      <c r="A23" s="194"/>
      <c r="B23" s="127" t="s">
        <v>52</v>
      </c>
      <c r="C23" s="79"/>
      <c r="D23" s="86"/>
      <c r="E23" s="11"/>
      <c r="F23" s="12"/>
      <c r="G23" s="13"/>
      <c r="H23" s="14"/>
      <c r="I23" s="81"/>
      <c r="J23" s="15"/>
      <c r="K23" s="89"/>
      <c r="L23" s="28"/>
    </row>
    <row r="24" spans="1:12" ht="15.75" customHeight="1" x14ac:dyDescent="0.2">
      <c r="A24" s="193">
        <f>A20+1</f>
        <v>4</v>
      </c>
      <c r="B24" s="83" t="s">
        <v>56</v>
      </c>
      <c r="C24" s="4"/>
      <c r="D24" s="85"/>
      <c r="E24" s="5"/>
      <c r="F24" s="6"/>
      <c r="G24" s="7"/>
      <c r="H24" s="8"/>
      <c r="I24" s="9"/>
      <c r="J24" s="16"/>
      <c r="K24" s="16"/>
      <c r="L24" s="28"/>
    </row>
    <row r="25" spans="1:12" ht="19.5" customHeight="1" x14ac:dyDescent="0.2">
      <c r="A25" s="194"/>
      <c r="B25" s="84" t="s">
        <v>53</v>
      </c>
      <c r="C25" s="19" t="s">
        <v>70</v>
      </c>
      <c r="D25" s="86"/>
      <c r="E25" s="11"/>
      <c r="F25" s="12"/>
      <c r="G25" s="91"/>
      <c r="H25" s="14"/>
      <c r="I25" s="81"/>
      <c r="J25" s="15"/>
      <c r="K25" s="89"/>
      <c r="L25" s="28"/>
    </row>
    <row r="26" spans="1:12" ht="23.25" customHeight="1" x14ac:dyDescent="0.2">
      <c r="A26" s="193">
        <f t="shared" ref="A26" si="1">A24+1</f>
        <v>5</v>
      </c>
      <c r="B26" s="83" t="s">
        <v>58</v>
      </c>
      <c r="C26" s="4"/>
      <c r="D26" s="85"/>
      <c r="E26" s="5"/>
      <c r="F26" s="6"/>
      <c r="G26" s="92"/>
      <c r="H26" s="8"/>
      <c r="I26" s="9"/>
      <c r="J26" s="93"/>
      <c r="K26" s="16"/>
    </row>
    <row r="27" spans="1:12" ht="27" customHeight="1" x14ac:dyDescent="0.2">
      <c r="A27" s="194"/>
      <c r="B27" s="84" t="s">
        <v>57</v>
      </c>
      <c r="C27" s="19" t="s">
        <v>71</v>
      </c>
      <c r="D27" s="86"/>
      <c r="E27" s="11"/>
      <c r="F27" s="12"/>
      <c r="G27" s="91"/>
      <c r="H27" s="14"/>
      <c r="I27" s="81"/>
      <c r="J27" s="94"/>
      <c r="K27" s="89"/>
      <c r="L27" s="28"/>
    </row>
    <row r="28" spans="1:12" ht="18.75" customHeight="1" x14ac:dyDescent="0.2">
      <c r="A28" s="193"/>
      <c r="B28" s="128" t="s">
        <v>93</v>
      </c>
      <c r="C28" s="4"/>
      <c r="D28" s="77"/>
      <c r="E28" s="5"/>
      <c r="F28" s="6"/>
      <c r="G28" s="7"/>
      <c r="H28" s="8"/>
      <c r="I28" s="9"/>
      <c r="J28" s="16"/>
      <c r="K28" s="16"/>
      <c r="L28" s="28"/>
    </row>
    <row r="29" spans="1:12" ht="17.25" customHeight="1" x14ac:dyDescent="0.2">
      <c r="A29" s="194"/>
      <c r="B29" s="129" t="s">
        <v>94</v>
      </c>
      <c r="C29" s="19"/>
      <c r="D29" s="15"/>
      <c r="E29" s="11"/>
      <c r="F29" s="12"/>
      <c r="G29" s="13"/>
      <c r="H29" s="14"/>
      <c r="I29" s="81"/>
      <c r="J29" s="15"/>
      <c r="K29" s="134"/>
      <c r="L29" s="28"/>
    </row>
    <row r="30" spans="1:12" ht="31.5" customHeight="1" x14ac:dyDescent="0.2">
      <c r="A30" s="174"/>
      <c r="B30" s="135"/>
      <c r="C30" s="24"/>
      <c r="D30" s="10"/>
      <c r="E30" s="141"/>
      <c r="F30" s="25"/>
      <c r="G30" s="139"/>
      <c r="H30" s="136"/>
      <c r="I30" s="137"/>
      <c r="J30" s="10"/>
      <c r="K30" s="138"/>
      <c r="L30" s="28"/>
    </row>
    <row r="31" spans="1:12" ht="18.75" customHeight="1" x14ac:dyDescent="0.2">
      <c r="A31" s="193"/>
      <c r="B31" s="126" t="s">
        <v>80</v>
      </c>
      <c r="C31" s="4"/>
      <c r="D31" s="77"/>
      <c r="E31" s="5"/>
      <c r="F31" s="6"/>
      <c r="G31" s="7"/>
      <c r="H31" s="8"/>
      <c r="I31" s="9"/>
      <c r="J31" s="16"/>
      <c r="K31" s="16"/>
    </row>
    <row r="32" spans="1:12" ht="18.75" customHeight="1" x14ac:dyDescent="0.2">
      <c r="A32" s="194"/>
      <c r="B32" s="127" t="s">
        <v>81</v>
      </c>
      <c r="C32" s="79"/>
      <c r="D32" s="15"/>
      <c r="E32" s="11"/>
      <c r="F32" s="12"/>
      <c r="G32" s="95"/>
      <c r="H32" s="14"/>
      <c r="I32" s="81"/>
      <c r="J32" s="15"/>
      <c r="K32" s="82"/>
      <c r="L32" s="28"/>
    </row>
    <row r="33" spans="1:12" ht="18.75" customHeight="1" x14ac:dyDescent="0.2">
      <c r="A33" s="193"/>
      <c r="B33" s="126" t="s">
        <v>47</v>
      </c>
      <c r="C33" s="4"/>
      <c r="D33" s="77"/>
      <c r="E33" s="5"/>
      <c r="F33" s="6"/>
      <c r="G33" s="7"/>
      <c r="H33" s="8"/>
      <c r="I33" s="9"/>
      <c r="J33" s="16"/>
      <c r="K33" s="16"/>
      <c r="L33" s="28"/>
    </row>
    <row r="34" spans="1:12" ht="17.25" customHeight="1" x14ac:dyDescent="0.2">
      <c r="A34" s="194"/>
      <c r="B34" s="127" t="s">
        <v>48</v>
      </c>
      <c r="C34" s="19"/>
      <c r="D34" s="15"/>
      <c r="E34" s="11"/>
      <c r="F34" s="12"/>
      <c r="G34" s="13"/>
      <c r="H34" s="14"/>
      <c r="I34" s="81"/>
      <c r="J34" s="15"/>
      <c r="K34" s="82"/>
      <c r="L34" s="28"/>
    </row>
    <row r="35" spans="1:12" ht="53.25" customHeight="1" x14ac:dyDescent="0.2">
      <c r="A35" s="195">
        <f>A26+1</f>
        <v>6</v>
      </c>
      <c r="B35" s="83" t="s">
        <v>239</v>
      </c>
      <c r="C35" s="4"/>
      <c r="D35" s="77"/>
      <c r="E35" s="5"/>
      <c r="F35" s="6"/>
      <c r="G35" s="7"/>
      <c r="H35" s="8"/>
      <c r="I35" s="9"/>
      <c r="J35" s="16"/>
      <c r="K35" s="16"/>
    </row>
    <row r="36" spans="1:12" ht="46.5" customHeight="1" x14ac:dyDescent="0.2">
      <c r="A36" s="196"/>
      <c r="B36" s="84" t="s">
        <v>240</v>
      </c>
      <c r="C36" s="19" t="s">
        <v>101</v>
      </c>
      <c r="D36" s="169"/>
      <c r="E36" s="165"/>
      <c r="F36" s="166"/>
      <c r="G36" s="167"/>
      <c r="H36" s="168"/>
      <c r="I36" s="152"/>
      <c r="J36" s="164"/>
      <c r="K36" s="169"/>
      <c r="L36" s="28"/>
    </row>
    <row r="37" spans="1:12" ht="25.5" customHeight="1" x14ac:dyDescent="0.2">
      <c r="A37" s="193">
        <f>A35+1</f>
        <v>7</v>
      </c>
      <c r="B37" s="83" t="s">
        <v>250</v>
      </c>
      <c r="C37" s="4"/>
      <c r="D37" s="156"/>
      <c r="E37" s="157"/>
      <c r="F37" s="158"/>
      <c r="G37" s="159"/>
      <c r="H37" s="160"/>
      <c r="I37" s="161"/>
      <c r="J37" s="162"/>
      <c r="K37" s="162"/>
    </row>
    <row r="38" spans="1:12" ht="23.25" customHeight="1" x14ac:dyDescent="0.2">
      <c r="A38" s="194"/>
      <c r="B38" s="84" t="s">
        <v>251</v>
      </c>
      <c r="C38" s="19" t="s">
        <v>101</v>
      </c>
      <c r="D38" s="164"/>
      <c r="E38" s="165"/>
      <c r="F38" s="166"/>
      <c r="G38" s="167"/>
      <c r="H38" s="168"/>
      <c r="I38" s="152"/>
      <c r="J38" s="164"/>
      <c r="K38" s="169"/>
      <c r="L38" s="28"/>
    </row>
    <row r="39" spans="1:12" ht="34.5" customHeight="1" x14ac:dyDescent="0.2">
      <c r="A39" s="195">
        <f t="shared" ref="A39" si="2">A37+1</f>
        <v>8</v>
      </c>
      <c r="B39" s="83" t="s">
        <v>165</v>
      </c>
      <c r="C39" s="4"/>
      <c r="D39" s="156"/>
      <c r="E39" s="157"/>
      <c r="F39" s="158"/>
      <c r="G39" s="159"/>
      <c r="H39" s="160"/>
      <c r="I39" s="161"/>
      <c r="J39" s="162"/>
      <c r="K39" s="162"/>
    </row>
    <row r="40" spans="1:12" ht="25.5" customHeight="1" x14ac:dyDescent="0.2">
      <c r="A40" s="196"/>
      <c r="B40" s="84" t="s">
        <v>166</v>
      </c>
      <c r="C40" s="19" t="s">
        <v>73</v>
      </c>
      <c r="D40" s="164"/>
      <c r="E40" s="165"/>
      <c r="F40" s="166"/>
      <c r="G40" s="167"/>
      <c r="H40" s="168"/>
      <c r="I40" s="152"/>
      <c r="J40" s="164"/>
      <c r="K40" s="169"/>
      <c r="L40" s="28"/>
    </row>
    <row r="41" spans="1:12" ht="19.5" customHeight="1" x14ac:dyDescent="0.2">
      <c r="A41" s="195">
        <f t="shared" ref="A41" si="3">A39+1</f>
        <v>9</v>
      </c>
      <c r="B41" s="83" t="s">
        <v>163</v>
      </c>
      <c r="C41" s="4"/>
      <c r="D41" s="156"/>
      <c r="E41" s="159"/>
      <c r="F41" s="158"/>
      <c r="G41" s="159"/>
      <c r="H41" s="160"/>
      <c r="I41" s="161"/>
      <c r="J41" s="162"/>
      <c r="K41" s="162"/>
    </row>
    <row r="42" spans="1:12" ht="23.25" customHeight="1" x14ac:dyDescent="0.2">
      <c r="A42" s="196"/>
      <c r="B42" s="84" t="s">
        <v>164</v>
      </c>
      <c r="C42" s="19" t="s">
        <v>73</v>
      </c>
      <c r="D42" s="164"/>
      <c r="E42" s="176"/>
      <c r="F42" s="166"/>
      <c r="G42" s="167"/>
      <c r="H42" s="168"/>
      <c r="I42" s="152"/>
      <c r="J42" s="164"/>
      <c r="K42" s="169"/>
      <c r="L42" s="28"/>
    </row>
    <row r="43" spans="1:12" ht="35.25" customHeight="1" x14ac:dyDescent="0.2">
      <c r="A43" s="195">
        <f t="shared" ref="A43" si="4">A41+1</f>
        <v>10</v>
      </c>
      <c r="B43" s="83" t="s">
        <v>256</v>
      </c>
      <c r="C43" s="4"/>
      <c r="D43" s="156"/>
      <c r="E43" s="157"/>
      <c r="F43" s="158"/>
      <c r="G43" s="159"/>
      <c r="H43" s="160"/>
      <c r="I43" s="161"/>
      <c r="J43" s="162"/>
      <c r="K43" s="162"/>
    </row>
    <row r="44" spans="1:12" ht="29.25" customHeight="1" x14ac:dyDescent="0.2">
      <c r="A44" s="196"/>
      <c r="B44" s="84" t="s">
        <v>257</v>
      </c>
      <c r="C44" s="19" t="s">
        <v>101</v>
      </c>
      <c r="D44" s="164"/>
      <c r="E44" s="165"/>
      <c r="F44" s="166"/>
      <c r="G44" s="167"/>
      <c r="H44" s="168"/>
      <c r="I44" s="152"/>
      <c r="J44" s="164"/>
      <c r="K44" s="169"/>
      <c r="L44" s="28"/>
    </row>
    <row r="45" spans="1:12" ht="34.5" customHeight="1" x14ac:dyDescent="0.2">
      <c r="A45" s="195">
        <f t="shared" ref="A45" si="5">A43+1</f>
        <v>11</v>
      </c>
      <c r="B45" s="83" t="s">
        <v>258</v>
      </c>
      <c r="C45" s="4"/>
      <c r="D45" s="156"/>
      <c r="E45" s="157"/>
      <c r="F45" s="158"/>
      <c r="G45" s="159"/>
      <c r="H45" s="160"/>
      <c r="I45" s="161"/>
      <c r="J45" s="162"/>
      <c r="K45" s="162"/>
    </row>
    <row r="46" spans="1:12" ht="23.25" customHeight="1" x14ac:dyDescent="0.2">
      <c r="A46" s="196"/>
      <c r="B46" s="84" t="s">
        <v>259</v>
      </c>
      <c r="C46" s="19" t="s">
        <v>101</v>
      </c>
      <c r="D46" s="164"/>
      <c r="E46" s="165"/>
      <c r="F46" s="166"/>
      <c r="G46" s="167"/>
      <c r="H46" s="168"/>
      <c r="I46" s="152"/>
      <c r="J46" s="164"/>
      <c r="K46" s="169"/>
      <c r="L46" s="28"/>
    </row>
    <row r="47" spans="1:12" ht="34.5" customHeight="1" x14ac:dyDescent="0.2">
      <c r="A47" s="193">
        <f t="shared" ref="A47:A75" si="6">A45+1</f>
        <v>12</v>
      </c>
      <c r="B47" s="83" t="s">
        <v>252</v>
      </c>
      <c r="C47" s="4"/>
      <c r="D47" s="156"/>
      <c r="E47" s="157"/>
      <c r="F47" s="158"/>
      <c r="G47" s="159"/>
      <c r="H47" s="160"/>
      <c r="I47" s="161"/>
      <c r="J47" s="162"/>
      <c r="K47" s="162"/>
    </row>
    <row r="48" spans="1:12" ht="25.5" customHeight="1" x14ac:dyDescent="0.2">
      <c r="A48" s="194"/>
      <c r="B48" s="84" t="s">
        <v>253</v>
      </c>
      <c r="C48" s="19" t="s">
        <v>124</v>
      </c>
      <c r="D48" s="164"/>
      <c r="E48" s="165"/>
      <c r="F48" s="166"/>
      <c r="G48" s="167"/>
      <c r="H48" s="168"/>
      <c r="I48" s="152"/>
      <c r="J48" s="164"/>
      <c r="K48" s="169"/>
      <c r="L48" s="28"/>
    </row>
    <row r="49" spans="1:12" ht="34.5" customHeight="1" x14ac:dyDescent="0.2">
      <c r="A49" s="193">
        <f>A47+1</f>
        <v>13</v>
      </c>
      <c r="B49" s="83" t="s">
        <v>260</v>
      </c>
      <c r="C49" s="4"/>
      <c r="D49" s="156"/>
      <c r="E49" s="157"/>
      <c r="F49" s="158"/>
      <c r="G49" s="159"/>
      <c r="H49" s="160"/>
      <c r="I49" s="161"/>
      <c r="J49" s="162"/>
      <c r="K49" s="162"/>
    </row>
    <row r="50" spans="1:12" ht="25.5" customHeight="1" x14ac:dyDescent="0.2">
      <c r="A50" s="194"/>
      <c r="B50" s="84" t="s">
        <v>261</v>
      </c>
      <c r="C50" s="19" t="s">
        <v>124</v>
      </c>
      <c r="D50" s="164"/>
      <c r="E50" s="165"/>
      <c r="F50" s="166"/>
      <c r="G50" s="167"/>
      <c r="H50" s="168"/>
      <c r="I50" s="152"/>
      <c r="J50" s="164"/>
      <c r="K50" s="169"/>
      <c r="L50" s="28"/>
    </row>
    <row r="51" spans="1:12" ht="42.75" customHeight="1" x14ac:dyDescent="0.2">
      <c r="A51" s="193">
        <f t="shared" si="6"/>
        <v>14</v>
      </c>
      <c r="B51" s="83" t="s">
        <v>254</v>
      </c>
      <c r="C51" s="4"/>
      <c r="D51" s="156"/>
      <c r="E51" s="157"/>
      <c r="F51" s="158"/>
      <c r="G51" s="159"/>
      <c r="H51" s="160"/>
      <c r="I51" s="161"/>
      <c r="J51" s="162"/>
      <c r="K51" s="162"/>
    </row>
    <row r="52" spans="1:12" ht="46.5" customHeight="1" x14ac:dyDescent="0.2">
      <c r="A52" s="194"/>
      <c r="B52" s="84" t="s">
        <v>255</v>
      </c>
      <c r="C52" s="19" t="s">
        <v>71</v>
      </c>
      <c r="D52" s="164"/>
      <c r="E52" s="165"/>
      <c r="F52" s="166"/>
      <c r="G52" s="167"/>
      <c r="H52" s="168"/>
      <c r="I52" s="152"/>
      <c r="J52" s="164"/>
      <c r="K52" s="169"/>
      <c r="L52" s="28"/>
    </row>
    <row r="53" spans="1:12" ht="34.5" customHeight="1" x14ac:dyDescent="0.2">
      <c r="A53" s="195">
        <f>A51+1</f>
        <v>15</v>
      </c>
      <c r="B53" s="83" t="s">
        <v>87</v>
      </c>
      <c r="C53" s="4"/>
      <c r="D53" s="77"/>
      <c r="E53" s="5"/>
      <c r="F53" s="6"/>
      <c r="G53" s="7"/>
      <c r="H53" s="8"/>
      <c r="I53" s="9"/>
      <c r="J53" s="16"/>
      <c r="K53" s="16"/>
    </row>
    <row r="54" spans="1:12" ht="23.25" customHeight="1" x14ac:dyDescent="0.2">
      <c r="A54" s="196"/>
      <c r="B54" s="84" t="s">
        <v>88</v>
      </c>
      <c r="C54" s="19" t="s">
        <v>71</v>
      </c>
      <c r="D54" s="15"/>
      <c r="E54" s="11"/>
      <c r="F54" s="12"/>
      <c r="G54" s="95"/>
      <c r="H54" s="14"/>
      <c r="I54" s="81"/>
      <c r="J54" s="15"/>
      <c r="K54" s="82"/>
      <c r="L54" s="28"/>
    </row>
    <row r="55" spans="1:12" ht="22.5" customHeight="1" x14ac:dyDescent="0.2">
      <c r="A55" s="195">
        <f t="shared" si="6"/>
        <v>16</v>
      </c>
      <c r="B55" s="143" t="s">
        <v>105</v>
      </c>
      <c r="C55" s="4"/>
      <c r="D55" s="77"/>
      <c r="E55" s="5"/>
      <c r="F55" s="6"/>
      <c r="G55" s="7"/>
      <c r="H55" s="8"/>
      <c r="I55" s="9"/>
      <c r="J55" s="16"/>
      <c r="K55" s="16"/>
    </row>
    <row r="56" spans="1:12" ht="22.5" customHeight="1" x14ac:dyDescent="0.2">
      <c r="A56" s="196"/>
      <c r="B56" s="84" t="s">
        <v>134</v>
      </c>
      <c r="C56" s="19" t="s">
        <v>101</v>
      </c>
      <c r="D56" s="15"/>
      <c r="E56" s="11"/>
      <c r="F56" s="12"/>
      <c r="G56" s="95"/>
      <c r="H56" s="14"/>
      <c r="I56" s="81"/>
      <c r="J56" s="15"/>
      <c r="K56" s="82"/>
      <c r="L56" s="28"/>
    </row>
    <row r="57" spans="1:12" ht="33.75" customHeight="1" x14ac:dyDescent="0.2">
      <c r="A57" s="195">
        <f t="shared" si="6"/>
        <v>17</v>
      </c>
      <c r="B57" s="83" t="s">
        <v>61</v>
      </c>
      <c r="C57" s="4"/>
      <c r="D57" s="77"/>
      <c r="E57" s="5"/>
      <c r="F57" s="6"/>
      <c r="G57" s="7"/>
      <c r="H57" s="8"/>
      <c r="I57" s="9"/>
      <c r="J57" s="16"/>
      <c r="K57" s="16"/>
    </row>
    <row r="58" spans="1:12" ht="21.75" customHeight="1" x14ac:dyDescent="0.2">
      <c r="A58" s="196"/>
      <c r="B58" s="84" t="s">
        <v>62</v>
      </c>
      <c r="C58" s="19" t="s">
        <v>101</v>
      </c>
      <c r="D58" s="15"/>
      <c r="E58" s="11"/>
      <c r="F58" s="12"/>
      <c r="G58" s="95"/>
      <c r="H58" s="14"/>
      <c r="I58" s="81"/>
      <c r="J58" s="15"/>
      <c r="K58" s="82"/>
      <c r="L58" s="28"/>
    </row>
    <row r="59" spans="1:12" ht="16.5" customHeight="1" x14ac:dyDescent="0.2">
      <c r="A59" s="195">
        <f t="shared" si="6"/>
        <v>18</v>
      </c>
      <c r="B59" s="154" t="s">
        <v>136</v>
      </c>
      <c r="C59" s="4"/>
      <c r="D59" s="77"/>
      <c r="E59" s="5"/>
      <c r="F59" s="6"/>
      <c r="G59" s="7"/>
      <c r="H59" s="8"/>
      <c r="I59" s="9"/>
      <c r="J59" s="16"/>
      <c r="K59" s="16"/>
    </row>
    <row r="60" spans="1:12" ht="21.75" customHeight="1" x14ac:dyDescent="0.2">
      <c r="A60" s="196"/>
      <c r="B60" s="84" t="s">
        <v>135</v>
      </c>
      <c r="C60" s="19" t="s">
        <v>101</v>
      </c>
      <c r="D60" s="15"/>
      <c r="E60" s="11"/>
      <c r="F60" s="12"/>
      <c r="G60" s="95"/>
      <c r="H60" s="14"/>
      <c r="I60" s="81"/>
      <c r="J60" s="15"/>
      <c r="K60" s="82"/>
      <c r="L60" s="28"/>
    </row>
    <row r="61" spans="1:12" ht="16.5" customHeight="1" x14ac:dyDescent="0.2">
      <c r="A61" s="195">
        <f t="shared" si="6"/>
        <v>19</v>
      </c>
      <c r="B61" s="154" t="s">
        <v>137</v>
      </c>
      <c r="C61" s="4"/>
      <c r="D61" s="77"/>
      <c r="E61" s="5"/>
      <c r="F61" s="6"/>
      <c r="G61" s="7"/>
      <c r="H61" s="8"/>
      <c r="I61" s="9"/>
      <c r="J61" s="16"/>
      <c r="K61" s="16"/>
    </row>
    <row r="62" spans="1:12" ht="21.75" customHeight="1" x14ac:dyDescent="0.2">
      <c r="A62" s="196"/>
      <c r="B62" s="84" t="s">
        <v>138</v>
      </c>
      <c r="C62" s="19" t="s">
        <v>101</v>
      </c>
      <c r="D62" s="15"/>
      <c r="E62" s="11"/>
      <c r="F62" s="12"/>
      <c r="G62" s="95"/>
      <c r="H62" s="14"/>
      <c r="I62" s="81"/>
      <c r="J62" s="15"/>
      <c r="K62" s="82"/>
      <c r="L62" s="28"/>
    </row>
    <row r="63" spans="1:12" ht="16.5" customHeight="1" x14ac:dyDescent="0.2">
      <c r="A63" s="195">
        <f t="shared" si="6"/>
        <v>20</v>
      </c>
      <c r="B63" s="154" t="s">
        <v>139</v>
      </c>
      <c r="C63" s="4"/>
      <c r="D63" s="77"/>
      <c r="E63" s="5"/>
      <c r="F63" s="6"/>
      <c r="G63" s="7"/>
      <c r="H63" s="8"/>
      <c r="I63" s="9"/>
      <c r="J63" s="16"/>
      <c r="K63" s="16"/>
    </row>
    <row r="64" spans="1:12" ht="21.75" customHeight="1" x14ac:dyDescent="0.2">
      <c r="A64" s="196"/>
      <c r="B64" s="84" t="s">
        <v>199</v>
      </c>
      <c r="C64" s="19" t="s">
        <v>101</v>
      </c>
      <c r="D64" s="15"/>
      <c r="E64" s="11"/>
      <c r="F64" s="12"/>
      <c r="G64" s="95"/>
      <c r="H64" s="14"/>
      <c r="I64" s="81"/>
      <c r="J64" s="15"/>
      <c r="K64" s="82"/>
      <c r="L64" s="28"/>
    </row>
    <row r="65" spans="1:12" ht="21" customHeight="1" x14ac:dyDescent="0.2">
      <c r="A65" s="195">
        <f t="shared" si="6"/>
        <v>21</v>
      </c>
      <c r="B65" s="154" t="s">
        <v>169</v>
      </c>
      <c r="C65" s="4"/>
      <c r="D65" s="77"/>
      <c r="E65" s="5"/>
      <c r="F65" s="6"/>
      <c r="G65" s="7"/>
      <c r="H65" s="8"/>
      <c r="I65" s="9"/>
      <c r="J65" s="16"/>
      <c r="K65" s="16"/>
    </row>
    <row r="66" spans="1:12" ht="27.75" customHeight="1" x14ac:dyDescent="0.2">
      <c r="A66" s="196"/>
      <c r="B66" s="84" t="s">
        <v>170</v>
      </c>
      <c r="C66" s="19" t="s">
        <v>101</v>
      </c>
      <c r="D66" s="15"/>
      <c r="E66" s="11"/>
      <c r="F66" s="12"/>
      <c r="G66" s="95"/>
      <c r="H66" s="14"/>
      <c r="I66" s="81"/>
      <c r="J66" s="15"/>
      <c r="K66" s="82"/>
      <c r="L66" s="28"/>
    </row>
    <row r="67" spans="1:12" ht="16.5" customHeight="1" x14ac:dyDescent="0.2">
      <c r="A67" s="195">
        <f t="shared" si="6"/>
        <v>22</v>
      </c>
      <c r="B67" s="154" t="s">
        <v>140</v>
      </c>
      <c r="C67" s="4"/>
      <c r="D67" s="77"/>
      <c r="E67" s="5"/>
      <c r="F67" s="6"/>
      <c r="G67" s="7"/>
      <c r="H67" s="8"/>
      <c r="I67" s="9"/>
      <c r="J67" s="16"/>
      <c r="K67" s="16"/>
    </row>
    <row r="68" spans="1:12" ht="21.75" customHeight="1" x14ac:dyDescent="0.2">
      <c r="A68" s="196"/>
      <c r="B68" s="84" t="s">
        <v>171</v>
      </c>
      <c r="C68" s="19" t="s">
        <v>70</v>
      </c>
      <c r="D68" s="15"/>
      <c r="E68" s="11"/>
      <c r="F68" s="12"/>
      <c r="G68" s="95"/>
      <c r="H68" s="14"/>
      <c r="I68" s="81"/>
      <c r="J68" s="15"/>
      <c r="K68" s="82"/>
      <c r="L68" s="28"/>
    </row>
    <row r="69" spans="1:12" ht="16.5" customHeight="1" x14ac:dyDescent="0.2">
      <c r="A69" s="195">
        <f t="shared" si="6"/>
        <v>23</v>
      </c>
      <c r="B69" s="154" t="s">
        <v>141</v>
      </c>
      <c r="C69" s="4"/>
      <c r="D69" s="77"/>
      <c r="E69" s="5"/>
      <c r="F69" s="6"/>
      <c r="G69" s="7"/>
      <c r="H69" s="8"/>
      <c r="I69" s="9"/>
      <c r="J69" s="16"/>
      <c r="K69" s="16"/>
    </row>
    <row r="70" spans="1:12" ht="15" customHeight="1" x14ac:dyDescent="0.2">
      <c r="A70" s="196"/>
      <c r="B70" s="84" t="s">
        <v>142</v>
      </c>
      <c r="C70" s="19" t="s">
        <v>73</v>
      </c>
      <c r="D70" s="15"/>
      <c r="E70" s="11"/>
      <c r="F70" s="12"/>
      <c r="G70" s="95"/>
      <c r="H70" s="14"/>
      <c r="I70" s="81"/>
      <c r="J70" s="15"/>
      <c r="K70" s="82"/>
      <c r="L70" s="28"/>
    </row>
    <row r="71" spans="1:12" ht="16.5" customHeight="1" x14ac:dyDescent="0.2">
      <c r="A71" s="195">
        <f t="shared" si="6"/>
        <v>24</v>
      </c>
      <c r="B71" s="154" t="s">
        <v>167</v>
      </c>
      <c r="C71" s="4"/>
      <c r="D71" s="77"/>
      <c r="E71" s="5"/>
      <c r="F71" s="6"/>
      <c r="G71" s="7"/>
      <c r="H71" s="8"/>
      <c r="I71" s="9"/>
      <c r="J71" s="16"/>
      <c r="K71" s="16"/>
    </row>
    <row r="72" spans="1:12" ht="15" customHeight="1" x14ac:dyDescent="0.2">
      <c r="A72" s="196"/>
      <c r="B72" s="84" t="s">
        <v>168</v>
      </c>
      <c r="C72" s="19" t="s">
        <v>73</v>
      </c>
      <c r="D72" s="15"/>
      <c r="E72" s="11"/>
      <c r="F72" s="12"/>
      <c r="G72" s="95"/>
      <c r="H72" s="14"/>
      <c r="I72" s="81"/>
      <c r="J72" s="15"/>
      <c r="K72" s="82"/>
      <c r="L72" s="28"/>
    </row>
    <row r="73" spans="1:12" ht="16.5" customHeight="1" x14ac:dyDescent="0.2">
      <c r="A73" s="195">
        <f t="shared" si="6"/>
        <v>25</v>
      </c>
      <c r="B73" s="154" t="s">
        <v>234</v>
      </c>
      <c r="C73" s="4"/>
      <c r="D73" s="77"/>
      <c r="E73" s="5"/>
      <c r="F73" s="6"/>
      <c r="G73" s="7"/>
      <c r="H73" s="8"/>
      <c r="I73" s="9"/>
      <c r="J73" s="16"/>
      <c r="K73" s="16"/>
    </row>
    <row r="74" spans="1:12" ht="15" customHeight="1" x14ac:dyDescent="0.2">
      <c r="A74" s="196"/>
      <c r="B74" s="84" t="s">
        <v>235</v>
      </c>
      <c r="C74" s="19" t="s">
        <v>101</v>
      </c>
      <c r="D74" s="15"/>
      <c r="E74" s="11"/>
      <c r="F74" s="12"/>
      <c r="G74" s="95"/>
      <c r="H74" s="14"/>
      <c r="I74" s="81"/>
      <c r="J74" s="15"/>
      <c r="K74" s="82"/>
      <c r="L74" s="28"/>
    </row>
    <row r="75" spans="1:12" ht="16.5" customHeight="1" x14ac:dyDescent="0.2">
      <c r="A75" s="195">
        <f t="shared" si="6"/>
        <v>26</v>
      </c>
      <c r="B75" s="154" t="s">
        <v>243</v>
      </c>
      <c r="C75" s="4"/>
      <c r="D75" s="77"/>
      <c r="E75" s="5"/>
      <c r="F75" s="6"/>
      <c r="G75" s="7"/>
      <c r="H75" s="8"/>
      <c r="I75" s="9"/>
      <c r="J75" s="16"/>
      <c r="K75" s="16"/>
    </row>
    <row r="76" spans="1:12" ht="15" customHeight="1" x14ac:dyDescent="0.2">
      <c r="A76" s="196"/>
      <c r="B76" s="84" t="s">
        <v>236</v>
      </c>
      <c r="C76" s="19" t="s">
        <v>71</v>
      </c>
      <c r="D76" s="15"/>
      <c r="E76" s="11"/>
      <c r="F76" s="12"/>
      <c r="G76" s="95"/>
      <c r="H76" s="14"/>
      <c r="I76" s="81"/>
      <c r="J76" s="15"/>
      <c r="K76" s="82"/>
      <c r="L76" s="28"/>
    </row>
    <row r="77" spans="1:12" ht="23.25" customHeight="1" x14ac:dyDescent="0.2">
      <c r="A77" s="195"/>
      <c r="B77" s="126" t="s">
        <v>85</v>
      </c>
      <c r="C77" s="4"/>
      <c r="D77" s="85"/>
      <c r="E77" s="5"/>
      <c r="F77" s="6"/>
      <c r="G77" s="7"/>
      <c r="H77" s="8"/>
      <c r="I77" s="9"/>
      <c r="J77" s="16"/>
      <c r="K77" s="90"/>
      <c r="L77" s="28"/>
    </row>
    <row r="78" spans="1:12" ht="19.5" customHeight="1" x14ac:dyDescent="0.2">
      <c r="A78" s="196"/>
      <c r="B78" s="127" t="s">
        <v>86</v>
      </c>
      <c r="C78" s="79"/>
      <c r="D78" s="86"/>
      <c r="E78" s="11"/>
      <c r="F78" s="12"/>
      <c r="G78" s="13"/>
      <c r="H78" s="14"/>
      <c r="I78" s="81"/>
      <c r="J78" s="15"/>
      <c r="K78" s="89"/>
      <c r="L78" s="28"/>
    </row>
    <row r="79" spans="1:12" ht="23.25" customHeight="1" x14ac:dyDescent="0.2">
      <c r="A79" s="195">
        <f>A75+1</f>
        <v>27</v>
      </c>
      <c r="B79" s="83" t="s">
        <v>118</v>
      </c>
      <c r="C79" s="4"/>
      <c r="D79" s="85"/>
      <c r="E79" s="5"/>
      <c r="F79" s="6"/>
      <c r="G79" s="92"/>
      <c r="H79" s="8"/>
      <c r="I79" s="9"/>
      <c r="J79" s="93"/>
      <c r="K79" s="16"/>
    </row>
    <row r="80" spans="1:12" ht="27" customHeight="1" x14ac:dyDescent="0.2">
      <c r="A80" s="196"/>
      <c r="B80" s="84" t="s">
        <v>119</v>
      </c>
      <c r="C80" s="19" t="s">
        <v>71</v>
      </c>
      <c r="D80" s="86"/>
      <c r="E80" s="11"/>
      <c r="F80" s="12"/>
      <c r="G80" s="91"/>
      <c r="H80" s="14"/>
      <c r="I80" s="81"/>
      <c r="J80" s="94"/>
      <c r="K80" s="89"/>
      <c r="L80" s="28"/>
    </row>
    <row r="81" spans="1:12" ht="27.75" customHeight="1" x14ac:dyDescent="0.2">
      <c r="A81" s="195">
        <f t="shared" ref="A81" si="7">A79+1</f>
        <v>28</v>
      </c>
      <c r="B81" s="83" t="s">
        <v>120</v>
      </c>
      <c r="C81" s="4"/>
      <c r="D81" s="85"/>
      <c r="E81" s="5"/>
      <c r="F81" s="6"/>
      <c r="G81" s="92"/>
      <c r="H81" s="8"/>
      <c r="I81" s="9"/>
      <c r="J81" s="93"/>
      <c r="K81" s="16"/>
    </row>
    <row r="82" spans="1:12" ht="36" customHeight="1" x14ac:dyDescent="0.2">
      <c r="A82" s="196"/>
      <c r="B82" s="84" t="s">
        <v>121</v>
      </c>
      <c r="C82" s="19" t="s">
        <v>71</v>
      </c>
      <c r="D82" s="86"/>
      <c r="E82" s="11"/>
      <c r="F82" s="12"/>
      <c r="G82" s="91"/>
      <c r="H82" s="14"/>
      <c r="I82" s="81"/>
      <c r="J82" s="94"/>
      <c r="K82" s="89"/>
      <c r="L82" s="28"/>
    </row>
    <row r="83" spans="1:12" ht="18" customHeight="1" x14ac:dyDescent="0.2">
      <c r="A83" s="193"/>
      <c r="B83" s="126" t="s">
        <v>179</v>
      </c>
      <c r="C83" s="4"/>
      <c r="D83" s="85"/>
      <c r="E83" s="5"/>
      <c r="F83" s="6"/>
      <c r="G83" s="92"/>
      <c r="H83" s="8"/>
      <c r="I83" s="9"/>
      <c r="J83" s="93"/>
      <c r="K83" s="16"/>
    </row>
    <row r="84" spans="1:12" ht="15.75" customHeight="1" x14ac:dyDescent="0.2">
      <c r="A84" s="194"/>
      <c r="B84" s="127" t="s">
        <v>180</v>
      </c>
      <c r="C84" s="19"/>
      <c r="D84" s="86"/>
      <c r="E84" s="11"/>
      <c r="F84" s="12"/>
      <c r="G84" s="91"/>
      <c r="H84" s="14"/>
      <c r="I84" s="81"/>
      <c r="J84" s="94"/>
      <c r="K84" s="89"/>
      <c r="L84" s="28"/>
    </row>
    <row r="85" spans="1:12" ht="18.75" customHeight="1" x14ac:dyDescent="0.2">
      <c r="A85" s="193">
        <f>A81+1</f>
        <v>29</v>
      </c>
      <c r="B85" s="83" t="s">
        <v>172</v>
      </c>
      <c r="C85" s="4"/>
      <c r="D85" s="77"/>
      <c r="E85" s="5"/>
      <c r="F85" s="6"/>
      <c r="G85" s="7"/>
      <c r="H85" s="8"/>
      <c r="I85" s="9"/>
      <c r="J85" s="16"/>
      <c r="K85" s="16"/>
    </row>
    <row r="86" spans="1:12" ht="18" customHeight="1" x14ac:dyDescent="0.2">
      <c r="A86" s="194"/>
      <c r="B86" s="84" t="s">
        <v>173</v>
      </c>
      <c r="C86" s="19" t="s">
        <v>71</v>
      </c>
      <c r="D86" s="15"/>
      <c r="E86" s="11"/>
      <c r="F86" s="12"/>
      <c r="G86" s="95"/>
      <c r="H86" s="14"/>
      <c r="I86" s="81"/>
      <c r="J86" s="15"/>
      <c r="K86" s="82"/>
      <c r="L86" s="28"/>
    </row>
    <row r="87" spans="1:12" ht="18.75" customHeight="1" x14ac:dyDescent="0.2">
      <c r="A87" s="193">
        <f>A85+1</f>
        <v>30</v>
      </c>
      <c r="B87" s="83" t="s">
        <v>174</v>
      </c>
      <c r="C87" s="4"/>
      <c r="D87" s="77"/>
      <c r="E87" s="5"/>
      <c r="F87" s="6"/>
      <c r="G87" s="7"/>
      <c r="H87" s="8"/>
      <c r="I87" s="9"/>
      <c r="J87" s="16"/>
      <c r="K87" s="16"/>
    </row>
    <row r="88" spans="1:12" ht="16.5" customHeight="1" x14ac:dyDescent="0.2">
      <c r="A88" s="194"/>
      <c r="B88" s="84" t="s">
        <v>175</v>
      </c>
      <c r="C88" s="19" t="s">
        <v>71</v>
      </c>
      <c r="D88" s="15"/>
      <c r="E88" s="11"/>
      <c r="F88" s="12"/>
      <c r="G88" s="95"/>
      <c r="H88" s="14"/>
      <c r="I88" s="81"/>
      <c r="J88" s="15"/>
      <c r="K88" s="82"/>
      <c r="L88" s="28"/>
    </row>
    <row r="89" spans="1:12" ht="18.75" customHeight="1" x14ac:dyDescent="0.2">
      <c r="A89" s="193">
        <f>A87+1</f>
        <v>31</v>
      </c>
      <c r="B89" s="83" t="s">
        <v>194</v>
      </c>
      <c r="C89" s="4"/>
      <c r="D89" s="77"/>
      <c r="E89" s="5"/>
      <c r="F89" s="6"/>
      <c r="G89" s="7"/>
      <c r="H89" s="8"/>
      <c r="I89" s="9"/>
      <c r="J89" s="16"/>
      <c r="K89" s="16"/>
    </row>
    <row r="90" spans="1:12" ht="18" customHeight="1" x14ac:dyDescent="0.2">
      <c r="A90" s="194"/>
      <c r="B90" s="84" t="s">
        <v>195</v>
      </c>
      <c r="C90" s="19" t="s">
        <v>71</v>
      </c>
      <c r="D90" s="15"/>
      <c r="E90" s="11"/>
      <c r="F90" s="12"/>
      <c r="G90" s="95"/>
      <c r="H90" s="14"/>
      <c r="I90" s="81"/>
      <c r="J90" s="15"/>
      <c r="K90" s="82"/>
      <c r="L90" s="28"/>
    </row>
    <row r="91" spans="1:12" ht="18" customHeight="1" x14ac:dyDescent="0.2">
      <c r="A91" s="193"/>
      <c r="B91" s="126" t="s">
        <v>177</v>
      </c>
      <c r="C91" s="4"/>
      <c r="D91" s="85"/>
      <c r="E91" s="5"/>
      <c r="F91" s="6"/>
      <c r="G91" s="92"/>
      <c r="H91" s="8"/>
      <c r="I91" s="9"/>
      <c r="J91" s="93"/>
      <c r="K91" s="16"/>
    </row>
    <row r="92" spans="1:12" ht="15.75" customHeight="1" x14ac:dyDescent="0.2">
      <c r="A92" s="194"/>
      <c r="B92" s="127" t="s">
        <v>178</v>
      </c>
      <c r="C92" s="19"/>
      <c r="D92" s="86"/>
      <c r="E92" s="11"/>
      <c r="F92" s="12"/>
      <c r="G92" s="91"/>
      <c r="H92" s="14"/>
      <c r="I92" s="81"/>
      <c r="J92" s="94"/>
      <c r="K92" s="89"/>
      <c r="L92" s="28"/>
    </row>
    <row r="93" spans="1:12" ht="29.25" customHeight="1" x14ac:dyDescent="0.2">
      <c r="A93" s="195">
        <f>A89+1</f>
        <v>32</v>
      </c>
      <c r="B93" s="130" t="s">
        <v>187</v>
      </c>
      <c r="C93" s="155"/>
      <c r="D93" s="156"/>
      <c r="E93" s="157"/>
      <c r="F93" s="158"/>
      <c r="G93" s="159"/>
      <c r="H93" s="160"/>
      <c r="I93" s="161"/>
      <c r="J93" s="162"/>
      <c r="K93" s="162"/>
    </row>
    <row r="94" spans="1:12" ht="27.75" customHeight="1" x14ac:dyDescent="0.2">
      <c r="A94" s="196"/>
      <c r="B94" s="131" t="s">
        <v>189</v>
      </c>
      <c r="C94" s="163" t="s">
        <v>71</v>
      </c>
      <c r="D94" s="164"/>
      <c r="E94" s="165"/>
      <c r="F94" s="166"/>
      <c r="G94" s="167"/>
      <c r="H94" s="168"/>
      <c r="I94" s="152"/>
      <c r="J94" s="164"/>
      <c r="K94" s="169"/>
      <c r="L94" s="28"/>
    </row>
    <row r="95" spans="1:12" ht="29.25" customHeight="1" x14ac:dyDescent="0.2">
      <c r="A95" s="195">
        <f>A93+1</f>
        <v>33</v>
      </c>
      <c r="B95" s="130" t="s">
        <v>185</v>
      </c>
      <c r="C95" s="155"/>
      <c r="D95" s="156"/>
      <c r="E95" s="157"/>
      <c r="F95" s="158"/>
      <c r="G95" s="159"/>
      <c r="H95" s="160"/>
      <c r="I95" s="161"/>
      <c r="J95" s="162"/>
      <c r="K95" s="162"/>
    </row>
    <row r="96" spans="1:12" ht="24.75" customHeight="1" x14ac:dyDescent="0.2">
      <c r="A96" s="196"/>
      <c r="B96" s="131" t="s">
        <v>190</v>
      </c>
      <c r="C96" s="163" t="s">
        <v>71</v>
      </c>
      <c r="D96" s="164"/>
      <c r="E96" s="165"/>
      <c r="F96" s="166"/>
      <c r="G96" s="167"/>
      <c r="H96" s="168"/>
      <c r="I96" s="152"/>
      <c r="J96" s="164"/>
      <c r="K96" s="169"/>
      <c r="L96" s="28"/>
    </row>
    <row r="97" spans="1:12" ht="18.75" customHeight="1" x14ac:dyDescent="0.2">
      <c r="A97" s="195">
        <f t="shared" ref="A97" si="8">A95+1</f>
        <v>34</v>
      </c>
      <c r="B97" s="130" t="s">
        <v>186</v>
      </c>
      <c r="C97" s="155"/>
      <c r="D97" s="156"/>
      <c r="E97" s="157"/>
      <c r="F97" s="158"/>
      <c r="G97" s="159"/>
      <c r="H97" s="160"/>
      <c r="I97" s="161"/>
      <c r="J97" s="162"/>
      <c r="K97" s="162"/>
    </row>
    <row r="98" spans="1:12" ht="18" customHeight="1" x14ac:dyDescent="0.2">
      <c r="A98" s="196"/>
      <c r="B98" s="131" t="s">
        <v>188</v>
      </c>
      <c r="C98" s="163" t="s">
        <v>71</v>
      </c>
      <c r="D98" s="164"/>
      <c r="E98" s="165"/>
      <c r="F98" s="166"/>
      <c r="G98" s="167"/>
      <c r="H98" s="168"/>
      <c r="I98" s="152"/>
      <c r="J98" s="164"/>
      <c r="K98" s="169"/>
      <c r="L98" s="28"/>
    </row>
    <row r="99" spans="1:12" ht="18.75" customHeight="1" x14ac:dyDescent="0.2">
      <c r="A99" s="195">
        <f t="shared" ref="A99" si="9">A97+1</f>
        <v>35</v>
      </c>
      <c r="B99" s="130" t="s">
        <v>184</v>
      </c>
      <c r="C99" s="155"/>
      <c r="D99" s="156"/>
      <c r="E99" s="157"/>
      <c r="F99" s="158"/>
      <c r="G99" s="159"/>
      <c r="H99" s="160"/>
      <c r="I99" s="161"/>
      <c r="J99" s="162"/>
      <c r="K99" s="162"/>
    </row>
    <row r="100" spans="1:12" ht="16.5" customHeight="1" x14ac:dyDescent="0.2">
      <c r="A100" s="196"/>
      <c r="B100" s="131" t="s">
        <v>183</v>
      </c>
      <c r="C100" s="163" t="s">
        <v>71</v>
      </c>
      <c r="D100" s="164"/>
      <c r="E100" s="165"/>
      <c r="F100" s="166"/>
      <c r="G100" s="167"/>
      <c r="H100" s="168"/>
      <c r="I100" s="152"/>
      <c r="J100" s="164"/>
      <c r="K100" s="169"/>
      <c r="L100" s="28"/>
    </row>
    <row r="101" spans="1:12" ht="18" customHeight="1" x14ac:dyDescent="0.2">
      <c r="A101" s="195">
        <f>A99+1</f>
        <v>36</v>
      </c>
      <c r="B101" s="132" t="s">
        <v>181</v>
      </c>
      <c r="C101" s="155"/>
      <c r="D101" s="177"/>
      <c r="E101" s="157"/>
      <c r="F101" s="158"/>
      <c r="G101" s="178"/>
      <c r="H101" s="160"/>
      <c r="I101" s="161"/>
      <c r="J101" s="179"/>
      <c r="K101" s="162"/>
    </row>
    <row r="102" spans="1:12" ht="15.75" customHeight="1" x14ac:dyDescent="0.2">
      <c r="A102" s="196"/>
      <c r="B102" s="133" t="s">
        <v>182</v>
      </c>
      <c r="C102" s="163"/>
      <c r="D102" s="180"/>
      <c r="E102" s="165"/>
      <c r="F102" s="166"/>
      <c r="G102" s="181"/>
      <c r="H102" s="168"/>
      <c r="I102" s="152"/>
      <c r="J102" s="182"/>
      <c r="K102" s="151"/>
      <c r="L102" s="28"/>
    </row>
    <row r="103" spans="1:12" ht="24.75" customHeight="1" x14ac:dyDescent="0.2">
      <c r="A103" s="195">
        <f t="shared" ref="A103" si="10">A101+1</f>
        <v>37</v>
      </c>
      <c r="B103" s="130" t="s">
        <v>176</v>
      </c>
      <c r="C103" s="155"/>
      <c r="D103" s="156"/>
      <c r="E103" s="157"/>
      <c r="F103" s="158"/>
      <c r="G103" s="159"/>
      <c r="H103" s="160"/>
      <c r="I103" s="161"/>
      <c r="J103" s="162"/>
      <c r="K103" s="162"/>
    </row>
    <row r="104" spans="1:12" ht="28.5" customHeight="1" x14ac:dyDescent="0.2">
      <c r="A104" s="196"/>
      <c r="B104" s="131" t="s">
        <v>193</v>
      </c>
      <c r="C104" s="163" t="s">
        <v>71</v>
      </c>
      <c r="D104" s="164"/>
      <c r="E104" s="165"/>
      <c r="F104" s="166"/>
      <c r="G104" s="167"/>
      <c r="H104" s="168"/>
      <c r="I104" s="152"/>
      <c r="J104" s="164"/>
      <c r="K104" s="169"/>
      <c r="L104" s="28"/>
    </row>
    <row r="105" spans="1:12" ht="24.75" customHeight="1" x14ac:dyDescent="0.2">
      <c r="A105" s="195">
        <f t="shared" ref="A105" si="11">A103+1</f>
        <v>38</v>
      </c>
      <c r="B105" s="130" t="s">
        <v>191</v>
      </c>
      <c r="C105" s="155"/>
      <c r="D105" s="156"/>
      <c r="E105" s="157"/>
      <c r="F105" s="158"/>
      <c r="G105" s="159"/>
      <c r="H105" s="160"/>
      <c r="I105" s="161"/>
      <c r="J105" s="162"/>
      <c r="K105" s="162"/>
    </row>
    <row r="106" spans="1:12" ht="26.25" customHeight="1" x14ac:dyDescent="0.2">
      <c r="A106" s="196"/>
      <c r="B106" s="131" t="s">
        <v>192</v>
      </c>
      <c r="C106" s="163" t="s">
        <v>71</v>
      </c>
      <c r="D106" s="164"/>
      <c r="E106" s="165"/>
      <c r="F106" s="166"/>
      <c r="G106" s="167"/>
      <c r="H106" s="168"/>
      <c r="I106" s="152"/>
      <c r="J106" s="164"/>
      <c r="K106" s="169"/>
      <c r="L106" s="28"/>
    </row>
    <row r="107" spans="1:12" ht="18.75" customHeight="1" x14ac:dyDescent="0.2">
      <c r="A107" s="193"/>
      <c r="B107" s="128" t="s">
        <v>91</v>
      </c>
      <c r="C107" s="4"/>
      <c r="D107" s="77"/>
      <c r="E107" s="5"/>
      <c r="F107" s="6"/>
      <c r="G107" s="7"/>
      <c r="H107" s="8"/>
      <c r="I107" s="9"/>
      <c r="J107" s="16"/>
      <c r="K107" s="16"/>
      <c r="L107" s="28"/>
    </row>
    <row r="108" spans="1:12" ht="17.25" customHeight="1" x14ac:dyDescent="0.2">
      <c r="A108" s="194"/>
      <c r="B108" s="129" t="s">
        <v>92</v>
      </c>
      <c r="C108" s="19"/>
      <c r="D108" s="15"/>
      <c r="E108" s="11"/>
      <c r="F108" s="12"/>
      <c r="G108" s="13"/>
      <c r="H108" s="14"/>
      <c r="I108" s="81"/>
      <c r="J108" s="15"/>
      <c r="K108" s="134"/>
      <c r="L108" s="28"/>
    </row>
    <row r="109" spans="1:12" ht="17.25" customHeight="1" x14ac:dyDescent="0.2">
      <c r="A109" s="174"/>
      <c r="B109" s="135"/>
      <c r="C109" s="24"/>
      <c r="D109" s="10"/>
      <c r="E109" s="141"/>
      <c r="F109" s="25"/>
      <c r="G109" s="139"/>
      <c r="H109" s="136"/>
      <c r="I109" s="137"/>
      <c r="J109" s="10"/>
      <c r="K109" s="138"/>
      <c r="L109" s="28"/>
    </row>
    <row r="110" spans="1:12" ht="28.5" customHeight="1" x14ac:dyDescent="0.2">
      <c r="A110" s="193"/>
      <c r="B110" s="126" t="s">
        <v>106</v>
      </c>
      <c r="C110" s="117"/>
      <c r="D110" s="125"/>
      <c r="E110" s="118"/>
      <c r="F110" s="119"/>
      <c r="G110" s="120"/>
      <c r="H110" s="121"/>
      <c r="I110" s="122"/>
      <c r="J110" s="123"/>
      <c r="K110" s="123"/>
      <c r="L110" s="28"/>
    </row>
    <row r="111" spans="1:12" ht="25.5" customHeight="1" x14ac:dyDescent="0.2">
      <c r="A111" s="194"/>
      <c r="B111" s="127" t="s">
        <v>107</v>
      </c>
      <c r="C111" s="19"/>
      <c r="D111" s="82"/>
      <c r="E111" s="81"/>
      <c r="F111" s="124"/>
      <c r="G111" s="95"/>
      <c r="H111" s="80"/>
      <c r="I111" s="81"/>
      <c r="J111" s="82"/>
      <c r="K111" s="82"/>
      <c r="L111" s="28"/>
    </row>
    <row r="112" spans="1:12" ht="18.75" customHeight="1" x14ac:dyDescent="0.2">
      <c r="A112" s="193"/>
      <c r="B112" s="126" t="s">
        <v>65</v>
      </c>
      <c r="C112" s="4"/>
      <c r="D112" s="77"/>
      <c r="E112" s="5"/>
      <c r="F112" s="6"/>
      <c r="G112" s="7"/>
      <c r="H112" s="8"/>
      <c r="I112" s="9"/>
      <c r="J112" s="16"/>
      <c r="K112" s="16"/>
      <c r="L112" s="28"/>
    </row>
    <row r="113" spans="1:12" ht="17.25" customHeight="1" x14ac:dyDescent="0.2">
      <c r="A113" s="194"/>
      <c r="B113" s="127" t="s">
        <v>48</v>
      </c>
      <c r="C113" s="19"/>
      <c r="D113" s="15"/>
      <c r="E113" s="11"/>
      <c r="F113" s="12"/>
      <c r="G113" s="13"/>
      <c r="H113" s="14"/>
      <c r="I113" s="81"/>
      <c r="J113" s="15"/>
      <c r="K113" s="82"/>
      <c r="L113" s="28"/>
    </row>
    <row r="114" spans="1:12" ht="40.5" customHeight="1" x14ac:dyDescent="0.2">
      <c r="A114" s="193">
        <f>A105+1</f>
        <v>39</v>
      </c>
      <c r="B114" s="83" t="s">
        <v>45</v>
      </c>
      <c r="C114" s="4"/>
      <c r="D114" s="85"/>
      <c r="E114" s="5"/>
      <c r="F114" s="6"/>
      <c r="G114" s="7"/>
      <c r="H114" s="8"/>
      <c r="I114" s="9"/>
      <c r="J114" s="16"/>
      <c r="K114" s="87"/>
      <c r="L114" s="28"/>
    </row>
    <row r="115" spans="1:12" ht="36" customHeight="1" x14ac:dyDescent="0.2">
      <c r="A115" s="194"/>
      <c r="B115" s="84" t="s">
        <v>46</v>
      </c>
      <c r="C115" s="19" t="s">
        <v>101</v>
      </c>
      <c r="D115" s="82"/>
      <c r="E115" s="11"/>
      <c r="F115" s="12"/>
      <c r="G115" s="13"/>
      <c r="H115" s="14"/>
      <c r="I115" s="81"/>
      <c r="J115" s="88"/>
      <c r="K115" s="89"/>
      <c r="L115" s="28"/>
    </row>
    <row r="116" spans="1:12" ht="24" customHeight="1" x14ac:dyDescent="0.2">
      <c r="A116" s="193">
        <f t="shared" ref="A116:A126" si="12">A114+1</f>
        <v>40</v>
      </c>
      <c r="B116" s="143" t="s">
        <v>196</v>
      </c>
      <c r="C116" s="4"/>
      <c r="D116" s="85"/>
      <c r="E116" s="5"/>
      <c r="F116" s="6"/>
      <c r="G116" s="7"/>
      <c r="H116" s="8"/>
      <c r="I116" s="9"/>
      <c r="J116" s="16"/>
      <c r="K116" s="87"/>
      <c r="L116" s="28"/>
    </row>
    <row r="117" spans="1:12" ht="24" customHeight="1" x14ac:dyDescent="0.2">
      <c r="A117" s="194"/>
      <c r="B117" s="84" t="s">
        <v>197</v>
      </c>
      <c r="C117" s="19" t="s">
        <v>73</v>
      </c>
      <c r="D117" s="82"/>
      <c r="E117" s="11"/>
      <c r="F117" s="12"/>
      <c r="G117" s="13"/>
      <c r="H117" s="14"/>
      <c r="I117" s="81"/>
      <c r="J117" s="88"/>
      <c r="K117" s="89"/>
      <c r="L117" s="28"/>
    </row>
    <row r="118" spans="1:12" ht="16.5" customHeight="1" x14ac:dyDescent="0.2">
      <c r="A118" s="193">
        <f t="shared" si="12"/>
        <v>41</v>
      </c>
      <c r="B118" s="143" t="s">
        <v>108</v>
      </c>
      <c r="C118" s="4"/>
      <c r="D118" s="85"/>
      <c r="E118" s="5"/>
      <c r="F118" s="6"/>
      <c r="G118" s="7"/>
      <c r="H118" s="8"/>
      <c r="I118" s="9"/>
      <c r="J118" s="16"/>
      <c r="K118" s="87"/>
      <c r="L118" s="28"/>
    </row>
    <row r="119" spans="1:12" ht="16.5" customHeight="1" x14ac:dyDescent="0.2">
      <c r="A119" s="194"/>
      <c r="B119" s="84" t="s">
        <v>109</v>
      </c>
      <c r="C119" s="19" t="s">
        <v>73</v>
      </c>
      <c r="D119" s="82"/>
      <c r="E119" s="11"/>
      <c r="F119" s="12"/>
      <c r="G119" s="13"/>
      <c r="H119" s="14"/>
      <c r="I119" s="81"/>
      <c r="J119" s="88"/>
      <c r="K119" s="89"/>
      <c r="L119" s="28"/>
    </row>
    <row r="120" spans="1:12" ht="32.25" customHeight="1" x14ac:dyDescent="0.2">
      <c r="A120" s="193">
        <f t="shared" si="12"/>
        <v>42</v>
      </c>
      <c r="B120" s="83" t="s">
        <v>225</v>
      </c>
      <c r="C120" s="4"/>
      <c r="D120" s="85"/>
      <c r="E120" s="5"/>
      <c r="F120" s="6"/>
      <c r="G120" s="7"/>
      <c r="H120" s="8"/>
      <c r="I120" s="9"/>
      <c r="J120" s="16"/>
      <c r="K120" s="87"/>
      <c r="L120" s="28"/>
    </row>
    <row r="121" spans="1:12" ht="28.5" customHeight="1" x14ac:dyDescent="0.2">
      <c r="A121" s="194"/>
      <c r="B121" s="84" t="s">
        <v>226</v>
      </c>
      <c r="C121" s="19" t="s">
        <v>101</v>
      </c>
      <c r="D121" s="82"/>
      <c r="E121" s="11"/>
      <c r="F121" s="12"/>
      <c r="G121" s="13"/>
      <c r="H121" s="14"/>
      <c r="I121" s="81"/>
      <c r="J121" s="88"/>
      <c r="K121" s="89"/>
      <c r="L121" s="28"/>
    </row>
    <row r="122" spans="1:12" ht="21.75" customHeight="1" x14ac:dyDescent="0.2">
      <c r="A122" s="193">
        <f t="shared" si="12"/>
        <v>43</v>
      </c>
      <c r="B122" s="83" t="s">
        <v>66</v>
      </c>
      <c r="C122" s="4"/>
      <c r="D122" s="85"/>
      <c r="E122" s="5"/>
      <c r="F122" s="6"/>
      <c r="G122" s="7"/>
      <c r="H122" s="8"/>
      <c r="I122" s="9"/>
      <c r="J122" s="16"/>
      <c r="K122" s="87"/>
      <c r="L122" s="28"/>
    </row>
    <row r="123" spans="1:12" ht="17.25" customHeight="1" x14ac:dyDescent="0.2">
      <c r="A123" s="194"/>
      <c r="B123" s="84" t="s">
        <v>67</v>
      </c>
      <c r="C123" s="19" t="s">
        <v>73</v>
      </c>
      <c r="D123" s="82"/>
      <c r="E123" s="11"/>
      <c r="F123" s="12"/>
      <c r="G123" s="13"/>
      <c r="H123" s="14"/>
      <c r="I123" s="81"/>
      <c r="J123" s="88"/>
      <c r="K123" s="89"/>
      <c r="L123" s="28"/>
    </row>
    <row r="124" spans="1:12" ht="21.75" customHeight="1" x14ac:dyDescent="0.2">
      <c r="A124" s="193">
        <f t="shared" si="12"/>
        <v>44</v>
      </c>
      <c r="B124" s="83" t="s">
        <v>95</v>
      </c>
      <c r="C124" s="4"/>
      <c r="D124" s="85"/>
      <c r="E124" s="5"/>
      <c r="F124" s="6"/>
      <c r="G124" s="7"/>
      <c r="H124" s="8"/>
      <c r="I124" s="9"/>
      <c r="J124" s="16"/>
      <c r="K124" s="87"/>
      <c r="L124" s="28"/>
    </row>
    <row r="125" spans="1:12" ht="18.75" customHeight="1" x14ac:dyDescent="0.2">
      <c r="A125" s="194"/>
      <c r="B125" s="84" t="s">
        <v>96</v>
      </c>
      <c r="C125" s="19" t="s">
        <v>101</v>
      </c>
      <c r="D125" s="82"/>
      <c r="E125" s="11"/>
      <c r="F125" s="12"/>
      <c r="G125" s="13"/>
      <c r="H125" s="14"/>
      <c r="I125" s="81"/>
      <c r="J125" s="88"/>
      <c r="K125" s="89"/>
      <c r="L125" s="28"/>
    </row>
    <row r="126" spans="1:12" ht="21.75" customHeight="1" x14ac:dyDescent="0.2">
      <c r="A126" s="193">
        <f t="shared" si="12"/>
        <v>45</v>
      </c>
      <c r="B126" s="83" t="s">
        <v>241</v>
      </c>
      <c r="C126" s="4"/>
      <c r="D126" s="85"/>
      <c r="E126" s="5"/>
      <c r="F126" s="6"/>
      <c r="G126" s="7"/>
      <c r="H126" s="8"/>
      <c r="I126" s="9"/>
      <c r="J126" s="16"/>
      <c r="K126" s="87"/>
      <c r="L126" s="28"/>
    </row>
    <row r="127" spans="1:12" ht="29.25" customHeight="1" x14ac:dyDescent="0.2">
      <c r="A127" s="194"/>
      <c r="B127" s="84" t="s">
        <v>242</v>
      </c>
      <c r="C127" s="19" t="s">
        <v>101</v>
      </c>
      <c r="D127" s="82"/>
      <c r="E127" s="11"/>
      <c r="F127" s="12"/>
      <c r="G127" s="13"/>
      <c r="H127" s="14"/>
      <c r="I127" s="81"/>
      <c r="J127" s="88"/>
      <c r="K127" s="89"/>
      <c r="L127" s="28"/>
    </row>
    <row r="128" spans="1:12" ht="18.75" customHeight="1" x14ac:dyDescent="0.2">
      <c r="A128" s="193"/>
      <c r="B128" s="128" t="s">
        <v>68</v>
      </c>
      <c r="C128" s="4"/>
      <c r="D128" s="77"/>
      <c r="E128" s="5"/>
      <c r="F128" s="6"/>
      <c r="G128" s="7"/>
      <c r="H128" s="8"/>
      <c r="I128" s="9"/>
      <c r="J128" s="16"/>
      <c r="K128" s="16"/>
      <c r="L128" s="28"/>
    </row>
    <row r="129" spans="1:12" ht="17.25" customHeight="1" x14ac:dyDescent="0.2">
      <c r="A129" s="194"/>
      <c r="B129" s="129" t="s">
        <v>69</v>
      </c>
      <c r="C129" s="19"/>
      <c r="D129" s="15"/>
      <c r="E129" s="11"/>
      <c r="F129" s="12"/>
      <c r="G129" s="13"/>
      <c r="H129" s="14"/>
      <c r="I129" s="81"/>
      <c r="J129" s="15"/>
      <c r="K129" s="134"/>
      <c r="L129" s="28"/>
    </row>
    <row r="130" spans="1:12" ht="18.75" customHeight="1" x14ac:dyDescent="0.2">
      <c r="A130" s="193"/>
      <c r="B130" s="132" t="s">
        <v>63</v>
      </c>
      <c r="C130" s="4"/>
      <c r="D130" s="77"/>
      <c r="E130" s="5"/>
      <c r="F130" s="6"/>
      <c r="G130" s="7"/>
      <c r="H130" s="8"/>
      <c r="I130" s="9"/>
      <c r="J130" s="16"/>
      <c r="K130" s="16"/>
      <c r="L130" s="28"/>
    </row>
    <row r="131" spans="1:12" ht="17.25" customHeight="1" x14ac:dyDescent="0.2">
      <c r="A131" s="194"/>
      <c r="B131" s="133" t="s">
        <v>64</v>
      </c>
      <c r="C131" s="19"/>
      <c r="D131" s="15"/>
      <c r="E131" s="11"/>
      <c r="F131" s="12"/>
      <c r="G131" s="13"/>
      <c r="H131" s="14"/>
      <c r="I131" s="81"/>
      <c r="J131" s="15"/>
      <c r="K131" s="82"/>
      <c r="L131" s="28"/>
    </row>
    <row r="132" spans="1:12" ht="28.5" customHeight="1" x14ac:dyDescent="0.2">
      <c r="A132" s="195">
        <f>A126+1</f>
        <v>46</v>
      </c>
      <c r="B132" s="144" t="s">
        <v>208</v>
      </c>
      <c r="C132" s="4"/>
      <c r="D132" s="85"/>
      <c r="E132" s="5"/>
      <c r="F132" s="6"/>
      <c r="G132" s="7"/>
      <c r="H132" s="8"/>
      <c r="I132" s="9"/>
      <c r="J132" s="16"/>
      <c r="K132" s="87"/>
      <c r="L132" s="28"/>
    </row>
    <row r="133" spans="1:12" ht="24.75" customHeight="1" x14ac:dyDescent="0.2">
      <c r="A133" s="196"/>
      <c r="B133" s="131" t="s">
        <v>209</v>
      </c>
      <c r="C133" s="19" t="s">
        <v>101</v>
      </c>
      <c r="D133" s="86"/>
      <c r="E133" s="11"/>
      <c r="F133" s="12"/>
      <c r="G133" s="13"/>
      <c r="H133" s="14"/>
      <c r="I133" s="81"/>
      <c r="J133" s="88"/>
      <c r="K133" s="89"/>
      <c r="L133" s="28"/>
    </row>
    <row r="134" spans="1:12" ht="27.75" customHeight="1" x14ac:dyDescent="0.2">
      <c r="A134" s="195">
        <f t="shared" ref="A134:A136" si="13">A132+1</f>
        <v>47</v>
      </c>
      <c r="B134" s="130" t="s">
        <v>237</v>
      </c>
      <c r="C134" s="4"/>
      <c r="D134" s="85"/>
      <c r="E134" s="5"/>
      <c r="F134" s="6"/>
      <c r="G134" s="7"/>
      <c r="H134" s="8"/>
      <c r="I134" s="9"/>
      <c r="J134" s="16"/>
      <c r="K134" s="87"/>
      <c r="L134" s="28"/>
    </row>
    <row r="135" spans="1:12" ht="42" customHeight="1" x14ac:dyDescent="0.2">
      <c r="A135" s="196"/>
      <c r="B135" s="131" t="s">
        <v>238</v>
      </c>
      <c r="C135" s="19" t="s">
        <v>124</v>
      </c>
      <c r="D135" s="86"/>
      <c r="E135" s="11"/>
      <c r="F135" s="12"/>
      <c r="G135" s="13"/>
      <c r="H135" s="14"/>
      <c r="I135" s="81"/>
      <c r="J135" s="88"/>
      <c r="K135" s="89"/>
      <c r="L135" s="28"/>
    </row>
    <row r="136" spans="1:12" ht="27.75" customHeight="1" x14ac:dyDescent="0.2">
      <c r="A136" s="193">
        <f t="shared" si="13"/>
        <v>48</v>
      </c>
      <c r="B136" s="83" t="s">
        <v>205</v>
      </c>
      <c r="C136" s="4"/>
      <c r="D136" s="85"/>
      <c r="E136" s="5"/>
      <c r="F136" s="6"/>
      <c r="G136" s="7"/>
      <c r="H136" s="8"/>
      <c r="I136" s="9"/>
      <c r="J136" s="16"/>
      <c r="K136" s="87"/>
      <c r="L136" s="28"/>
    </row>
    <row r="137" spans="1:12" ht="41.25" customHeight="1" x14ac:dyDescent="0.2">
      <c r="A137" s="194"/>
      <c r="B137" s="84" t="s">
        <v>204</v>
      </c>
      <c r="C137" s="19" t="s">
        <v>71</v>
      </c>
      <c r="D137" s="86"/>
      <c r="E137" s="11"/>
      <c r="F137" s="12"/>
      <c r="G137" s="13"/>
      <c r="H137" s="14"/>
      <c r="I137" s="81"/>
      <c r="J137" s="88"/>
      <c r="K137" s="89"/>
      <c r="L137" s="28"/>
    </row>
    <row r="138" spans="1:12" ht="18.75" customHeight="1" x14ac:dyDescent="0.2">
      <c r="A138" s="193"/>
      <c r="B138" s="128" t="s">
        <v>82</v>
      </c>
      <c r="C138" s="4"/>
      <c r="D138" s="77"/>
      <c r="E138" s="5"/>
      <c r="F138" s="6"/>
      <c r="G138" s="7"/>
      <c r="H138" s="8"/>
      <c r="I138" s="9"/>
      <c r="J138" s="16"/>
      <c r="K138" s="16"/>
      <c r="L138" s="28"/>
    </row>
    <row r="139" spans="1:12" ht="17.25" customHeight="1" x14ac:dyDescent="0.2">
      <c r="A139" s="194"/>
      <c r="B139" s="129" t="s">
        <v>83</v>
      </c>
      <c r="C139" s="19"/>
      <c r="D139" s="15"/>
      <c r="E139" s="11"/>
      <c r="F139" s="12"/>
      <c r="G139" s="13"/>
      <c r="H139" s="14"/>
      <c r="I139" s="81"/>
      <c r="J139" s="15"/>
      <c r="K139" s="134"/>
      <c r="L139" s="28"/>
    </row>
    <row r="140" spans="1:12" ht="18.75" customHeight="1" x14ac:dyDescent="0.2">
      <c r="A140" s="193"/>
      <c r="B140" s="126" t="s">
        <v>151</v>
      </c>
      <c r="C140" s="4"/>
      <c r="D140" s="77"/>
      <c r="E140" s="5"/>
      <c r="F140" s="6"/>
      <c r="G140" s="7"/>
      <c r="H140" s="8"/>
      <c r="I140" s="9"/>
      <c r="J140" s="16"/>
      <c r="K140" s="16"/>
      <c r="L140" s="28"/>
    </row>
    <row r="141" spans="1:12" ht="17.25" customHeight="1" x14ac:dyDescent="0.2">
      <c r="A141" s="194"/>
      <c r="B141" s="127" t="s">
        <v>152</v>
      </c>
      <c r="C141" s="19"/>
      <c r="D141" s="15"/>
      <c r="E141" s="11"/>
      <c r="F141" s="12"/>
      <c r="G141" s="13"/>
      <c r="H141" s="14"/>
      <c r="I141" s="81"/>
      <c r="J141" s="15"/>
      <c r="K141" s="82"/>
      <c r="L141" s="28"/>
    </row>
    <row r="142" spans="1:12" ht="24" customHeight="1" x14ac:dyDescent="0.2">
      <c r="A142" s="193">
        <f>A136+1</f>
        <v>49</v>
      </c>
      <c r="B142" s="143" t="s">
        <v>155</v>
      </c>
      <c r="C142" s="4"/>
      <c r="D142" s="85"/>
      <c r="E142" s="5"/>
      <c r="F142" s="6"/>
      <c r="G142" s="7"/>
      <c r="H142" s="8"/>
      <c r="I142" s="9"/>
      <c r="J142" s="16"/>
      <c r="K142" s="87"/>
      <c r="L142" s="28"/>
    </row>
    <row r="143" spans="1:12" ht="19.5" customHeight="1" x14ac:dyDescent="0.2">
      <c r="A143" s="194"/>
      <c r="B143" s="84" t="s">
        <v>156</v>
      </c>
      <c r="C143" s="19" t="s">
        <v>73</v>
      </c>
      <c r="D143" s="86"/>
      <c r="E143" s="11"/>
      <c r="F143" s="12"/>
      <c r="G143" s="13"/>
      <c r="H143" s="14"/>
      <c r="I143" s="81"/>
      <c r="J143" s="88"/>
      <c r="K143" s="89"/>
      <c r="L143" s="28"/>
    </row>
    <row r="144" spans="1:12" ht="24" customHeight="1" x14ac:dyDescent="0.2">
      <c r="A144" s="193">
        <f>A142+1</f>
        <v>50</v>
      </c>
      <c r="B144" s="143" t="s">
        <v>157</v>
      </c>
      <c r="C144" s="4"/>
      <c r="D144" s="85"/>
      <c r="E144" s="5"/>
      <c r="F144" s="6"/>
      <c r="G144" s="7"/>
      <c r="H144" s="8"/>
      <c r="I144" s="9"/>
      <c r="J144" s="16"/>
      <c r="K144" s="87"/>
      <c r="L144" s="28"/>
    </row>
    <row r="145" spans="1:12" ht="24" customHeight="1" x14ac:dyDescent="0.2">
      <c r="A145" s="194"/>
      <c r="B145" s="84" t="s">
        <v>158</v>
      </c>
      <c r="C145" s="19" t="s">
        <v>70</v>
      </c>
      <c r="D145" s="86"/>
      <c r="E145" s="11"/>
      <c r="F145" s="12"/>
      <c r="G145" s="13"/>
      <c r="H145" s="14"/>
      <c r="I145" s="81"/>
      <c r="J145" s="88"/>
      <c r="K145" s="89"/>
      <c r="L145" s="28"/>
    </row>
    <row r="146" spans="1:12" ht="27.75" customHeight="1" x14ac:dyDescent="0.2">
      <c r="A146" s="193">
        <f t="shared" ref="A146" si="14">A144+1</f>
        <v>51</v>
      </c>
      <c r="B146" s="83" t="s">
        <v>159</v>
      </c>
      <c r="C146" s="4"/>
      <c r="D146" s="85"/>
      <c r="E146" s="5"/>
      <c r="F146" s="6"/>
      <c r="G146" s="7"/>
      <c r="H146" s="8"/>
      <c r="I146" s="9"/>
      <c r="J146" s="16"/>
      <c r="K146" s="87"/>
      <c r="L146" s="28"/>
    </row>
    <row r="147" spans="1:12" ht="21.75" customHeight="1" x14ac:dyDescent="0.2">
      <c r="A147" s="194"/>
      <c r="B147" s="84" t="s">
        <v>160</v>
      </c>
      <c r="C147" s="19" t="s">
        <v>73</v>
      </c>
      <c r="D147" s="86"/>
      <c r="E147" s="11"/>
      <c r="F147" s="12"/>
      <c r="G147" s="13"/>
      <c r="H147" s="14"/>
      <c r="I147" s="81"/>
      <c r="J147" s="88"/>
      <c r="K147" s="89"/>
      <c r="L147" s="28"/>
    </row>
    <row r="148" spans="1:12" ht="18.75" customHeight="1" x14ac:dyDescent="0.2">
      <c r="A148" s="193">
        <f t="shared" ref="A148:A150" si="15">A146+1</f>
        <v>52</v>
      </c>
      <c r="B148" s="83" t="s">
        <v>147</v>
      </c>
      <c r="C148" s="4"/>
      <c r="D148" s="77"/>
      <c r="E148" s="5"/>
      <c r="F148" s="6"/>
      <c r="G148" s="7"/>
      <c r="H148" s="8"/>
      <c r="I148" s="9"/>
      <c r="J148" s="16"/>
      <c r="K148" s="16"/>
    </row>
    <row r="149" spans="1:12" ht="18.75" customHeight="1" x14ac:dyDescent="0.2">
      <c r="A149" s="194"/>
      <c r="B149" s="84" t="s">
        <v>148</v>
      </c>
      <c r="C149" s="19" t="s">
        <v>72</v>
      </c>
      <c r="D149" s="15"/>
      <c r="E149" s="11"/>
      <c r="F149" s="12"/>
      <c r="G149" s="95"/>
      <c r="H149" s="14"/>
      <c r="I149" s="81"/>
      <c r="J149" s="15"/>
      <c r="K149" s="82"/>
      <c r="L149" s="28"/>
    </row>
    <row r="150" spans="1:12" ht="18.75" customHeight="1" x14ac:dyDescent="0.2">
      <c r="A150" s="193">
        <f t="shared" si="15"/>
        <v>53</v>
      </c>
      <c r="B150" s="83" t="s">
        <v>212</v>
      </c>
      <c r="C150" s="4"/>
      <c r="D150" s="77"/>
      <c r="E150" s="5"/>
      <c r="F150" s="6"/>
      <c r="G150" s="7"/>
      <c r="H150" s="8"/>
      <c r="I150" s="9"/>
      <c r="J150" s="16"/>
      <c r="K150" s="16"/>
    </row>
    <row r="151" spans="1:12" ht="18.75" customHeight="1" x14ac:dyDescent="0.2">
      <c r="A151" s="194"/>
      <c r="B151" s="84" t="s">
        <v>213</v>
      </c>
      <c r="C151" s="19" t="s">
        <v>72</v>
      </c>
      <c r="D151" s="15"/>
      <c r="E151" s="11"/>
      <c r="F151" s="12"/>
      <c r="G151" s="95"/>
      <c r="H151" s="14"/>
      <c r="I151" s="81"/>
      <c r="J151" s="15"/>
      <c r="K151" s="82"/>
      <c r="L151" s="28"/>
    </row>
    <row r="152" spans="1:12" ht="18.75" customHeight="1" x14ac:dyDescent="0.2">
      <c r="A152" s="193"/>
      <c r="B152" s="128" t="s">
        <v>153</v>
      </c>
      <c r="C152" s="4"/>
      <c r="D152" s="77"/>
      <c r="E152" s="5"/>
      <c r="F152" s="6"/>
      <c r="G152" s="7"/>
      <c r="H152" s="8"/>
      <c r="I152" s="9"/>
      <c r="J152" s="16"/>
      <c r="K152" s="16"/>
      <c r="L152" s="28"/>
    </row>
    <row r="153" spans="1:12" ht="17.25" customHeight="1" x14ac:dyDescent="0.2">
      <c r="A153" s="194"/>
      <c r="B153" s="129" t="s">
        <v>154</v>
      </c>
      <c r="C153" s="19"/>
      <c r="D153" s="15"/>
      <c r="E153" s="11"/>
      <c r="F153" s="12"/>
      <c r="G153" s="13"/>
      <c r="H153" s="14"/>
      <c r="I153" s="81"/>
      <c r="J153" s="15"/>
      <c r="K153" s="134"/>
      <c r="L153" s="28"/>
    </row>
    <row r="154" spans="1:12" ht="18.75" customHeight="1" x14ac:dyDescent="0.2">
      <c r="A154" s="193"/>
      <c r="B154" s="126" t="s">
        <v>110</v>
      </c>
      <c r="C154" s="4"/>
      <c r="D154" s="77"/>
      <c r="E154" s="5"/>
      <c r="F154" s="6"/>
      <c r="G154" s="7"/>
      <c r="H154" s="8"/>
      <c r="I154" s="9"/>
      <c r="J154" s="16"/>
      <c r="K154" s="90"/>
    </row>
    <row r="155" spans="1:12" ht="18.75" customHeight="1" x14ac:dyDescent="0.2">
      <c r="A155" s="194"/>
      <c r="B155" s="127" t="s">
        <v>111</v>
      </c>
      <c r="C155" s="79"/>
      <c r="D155" s="15"/>
      <c r="E155" s="11"/>
      <c r="F155" s="12"/>
      <c r="G155" s="95"/>
      <c r="H155" s="14"/>
      <c r="I155" s="81"/>
      <c r="J155" s="15"/>
      <c r="K155" s="82"/>
      <c r="L155" s="28"/>
    </row>
    <row r="156" spans="1:12" ht="81" customHeight="1" x14ac:dyDescent="0.2">
      <c r="A156" s="193">
        <f>A150+1</f>
        <v>54</v>
      </c>
      <c r="B156" s="83" t="s">
        <v>161</v>
      </c>
      <c r="C156" s="4"/>
      <c r="D156" s="77"/>
      <c r="E156" s="5"/>
      <c r="F156" s="6"/>
      <c r="G156" s="7"/>
      <c r="H156" s="8"/>
      <c r="I156" s="9"/>
      <c r="J156" s="16"/>
      <c r="K156" s="16"/>
    </row>
    <row r="157" spans="1:12" ht="78.75" customHeight="1" x14ac:dyDescent="0.2">
      <c r="A157" s="194"/>
      <c r="B157" s="84" t="s">
        <v>162</v>
      </c>
      <c r="C157" s="19" t="s">
        <v>70</v>
      </c>
      <c r="D157" s="15"/>
      <c r="E157" s="11"/>
      <c r="F157" s="12"/>
      <c r="G157" s="95"/>
      <c r="H157" s="14"/>
      <c r="I157" s="81"/>
      <c r="J157" s="15"/>
      <c r="K157" s="82"/>
      <c r="L157" s="28"/>
    </row>
    <row r="158" spans="1:12" ht="18.75" customHeight="1" x14ac:dyDescent="0.2">
      <c r="A158" s="193">
        <f>A156+1</f>
        <v>55</v>
      </c>
      <c r="B158" s="130" t="s">
        <v>210</v>
      </c>
      <c r="C158" s="4"/>
      <c r="D158" s="77"/>
      <c r="E158" s="5"/>
      <c r="F158" s="6"/>
      <c r="G158" s="7"/>
      <c r="H158" s="8"/>
      <c r="I158" s="9"/>
      <c r="J158" s="16"/>
      <c r="K158" s="16"/>
    </row>
    <row r="159" spans="1:12" ht="18.75" customHeight="1" x14ac:dyDescent="0.2">
      <c r="A159" s="194"/>
      <c r="B159" s="131" t="s">
        <v>211</v>
      </c>
      <c r="C159" s="19" t="s">
        <v>70</v>
      </c>
      <c r="D159" s="15"/>
      <c r="E159" s="11"/>
      <c r="F159" s="12"/>
      <c r="G159" s="95"/>
      <c r="H159" s="14"/>
      <c r="I159" s="81"/>
      <c r="J159" s="15"/>
      <c r="K159" s="82"/>
      <c r="L159" s="28"/>
    </row>
    <row r="160" spans="1:12" ht="18.75" customHeight="1" x14ac:dyDescent="0.2">
      <c r="A160" s="193">
        <f t="shared" ref="A160" si="16">A158+1</f>
        <v>56</v>
      </c>
      <c r="B160" s="130" t="s">
        <v>126</v>
      </c>
      <c r="C160" s="4"/>
      <c r="D160" s="77"/>
      <c r="E160" s="5"/>
      <c r="F160" s="6"/>
      <c r="G160" s="7"/>
      <c r="H160" s="8"/>
      <c r="I160" s="9"/>
      <c r="J160" s="16"/>
      <c r="K160" s="16"/>
    </row>
    <row r="161" spans="1:12" ht="18.75" customHeight="1" x14ac:dyDescent="0.2">
      <c r="A161" s="194"/>
      <c r="B161" s="131" t="s">
        <v>125</v>
      </c>
      <c r="C161" s="19" t="s">
        <v>72</v>
      </c>
      <c r="D161" s="15"/>
      <c r="E161" s="11"/>
      <c r="F161" s="12"/>
      <c r="G161" s="95"/>
      <c r="H161" s="14"/>
      <c r="I161" s="81"/>
      <c r="J161" s="15"/>
      <c r="K161" s="82"/>
      <c r="L161" s="28"/>
    </row>
    <row r="162" spans="1:12" ht="18.75" customHeight="1" x14ac:dyDescent="0.2">
      <c r="A162" s="193">
        <f t="shared" ref="A162" si="17">A160+1</f>
        <v>57</v>
      </c>
      <c r="B162" s="130" t="s">
        <v>143</v>
      </c>
      <c r="C162" s="4"/>
      <c r="D162" s="77"/>
      <c r="E162" s="5"/>
      <c r="F162" s="6"/>
      <c r="G162" s="7"/>
      <c r="H162" s="8"/>
      <c r="I162" s="9"/>
      <c r="J162" s="16"/>
      <c r="K162" s="16"/>
    </row>
    <row r="163" spans="1:12" ht="20.25" customHeight="1" x14ac:dyDescent="0.2">
      <c r="A163" s="194"/>
      <c r="B163" s="131" t="s">
        <v>144</v>
      </c>
      <c r="C163" s="19" t="s">
        <v>72</v>
      </c>
      <c r="D163" s="15"/>
      <c r="E163" s="11"/>
      <c r="F163" s="12"/>
      <c r="G163" s="95"/>
      <c r="H163" s="14"/>
      <c r="I163" s="81"/>
      <c r="J163" s="15"/>
      <c r="K163" s="82"/>
      <c r="L163" s="28"/>
    </row>
    <row r="164" spans="1:12" ht="18.75" customHeight="1" x14ac:dyDescent="0.2">
      <c r="A164" s="193">
        <f t="shared" ref="A164" si="18">A162+1</f>
        <v>58</v>
      </c>
      <c r="B164" s="83" t="s">
        <v>114</v>
      </c>
      <c r="C164" s="4"/>
      <c r="D164" s="77"/>
      <c r="E164" s="5"/>
      <c r="F164" s="6"/>
      <c r="G164" s="7"/>
      <c r="H164" s="8"/>
      <c r="I164" s="9"/>
      <c r="J164" s="16"/>
      <c r="K164" s="16"/>
    </row>
    <row r="165" spans="1:12" ht="18.75" customHeight="1" x14ac:dyDescent="0.2">
      <c r="A165" s="194"/>
      <c r="B165" s="84" t="s">
        <v>115</v>
      </c>
      <c r="C165" s="19" t="s">
        <v>72</v>
      </c>
      <c r="D165" s="15"/>
      <c r="E165" s="11"/>
      <c r="F165" s="12"/>
      <c r="G165" s="95"/>
      <c r="H165" s="14"/>
      <c r="I165" s="81"/>
      <c r="J165" s="15"/>
      <c r="K165" s="82"/>
      <c r="L165" s="28"/>
    </row>
    <row r="166" spans="1:12" ht="18.75" customHeight="1" x14ac:dyDescent="0.2">
      <c r="A166" s="193">
        <f t="shared" ref="A166" si="19">A164+1</f>
        <v>59</v>
      </c>
      <c r="B166" s="83" t="s">
        <v>147</v>
      </c>
      <c r="C166" s="4"/>
      <c r="D166" s="77"/>
      <c r="E166" s="5"/>
      <c r="F166" s="6"/>
      <c r="G166" s="7"/>
      <c r="H166" s="8"/>
      <c r="I166" s="9"/>
      <c r="J166" s="16"/>
      <c r="K166" s="16"/>
    </row>
    <row r="167" spans="1:12" ht="18.75" customHeight="1" x14ac:dyDescent="0.2">
      <c r="A167" s="194"/>
      <c r="B167" s="84" t="s">
        <v>148</v>
      </c>
      <c r="C167" s="19" t="s">
        <v>72</v>
      </c>
      <c r="D167" s="15"/>
      <c r="E167" s="11"/>
      <c r="F167" s="12"/>
      <c r="G167" s="95"/>
      <c r="H167" s="14"/>
      <c r="I167" s="81"/>
      <c r="J167" s="15"/>
      <c r="K167" s="82"/>
      <c r="L167" s="28"/>
    </row>
    <row r="168" spans="1:12" ht="18.75" customHeight="1" x14ac:dyDescent="0.2">
      <c r="A168" s="193"/>
      <c r="B168" s="128" t="s">
        <v>127</v>
      </c>
      <c r="C168" s="4"/>
      <c r="D168" s="77"/>
      <c r="E168" s="5"/>
      <c r="F168" s="6"/>
      <c r="G168" s="7"/>
      <c r="H168" s="8"/>
      <c r="I168" s="9"/>
      <c r="J168" s="16"/>
      <c r="K168" s="16"/>
    </row>
    <row r="169" spans="1:12" ht="18.75" customHeight="1" x14ac:dyDescent="0.2">
      <c r="A169" s="194"/>
      <c r="B169" s="129" t="s">
        <v>128</v>
      </c>
      <c r="C169" s="79"/>
      <c r="D169" s="15"/>
      <c r="E169" s="11"/>
      <c r="F169" s="12"/>
      <c r="G169" s="95"/>
      <c r="H169" s="14"/>
      <c r="I169" s="81"/>
      <c r="J169" s="15"/>
      <c r="K169" s="134"/>
      <c r="L169" s="28"/>
    </row>
    <row r="170" spans="1:12" ht="18.75" customHeight="1" x14ac:dyDescent="0.2">
      <c r="A170" s="193"/>
      <c r="B170" s="126" t="s">
        <v>74</v>
      </c>
      <c r="C170" s="4"/>
      <c r="D170" s="77"/>
      <c r="E170" s="5"/>
      <c r="F170" s="6"/>
      <c r="G170" s="7"/>
      <c r="H170" s="8"/>
      <c r="I170" s="9"/>
      <c r="J170" s="16"/>
      <c r="K170" s="16"/>
    </row>
    <row r="171" spans="1:12" ht="18.75" customHeight="1" x14ac:dyDescent="0.2">
      <c r="A171" s="194"/>
      <c r="B171" s="127" t="s">
        <v>75</v>
      </c>
      <c r="C171" s="79"/>
      <c r="D171" s="15"/>
      <c r="E171" s="11"/>
      <c r="F171" s="12"/>
      <c r="G171" s="95"/>
      <c r="H171" s="14"/>
      <c r="I171" s="81"/>
      <c r="J171" s="15"/>
      <c r="K171" s="82"/>
      <c r="L171" s="28"/>
    </row>
    <row r="172" spans="1:12" ht="18.75" customHeight="1" x14ac:dyDescent="0.2">
      <c r="A172" s="193">
        <f>A166+1</f>
        <v>60</v>
      </c>
      <c r="B172" s="83" t="s">
        <v>245</v>
      </c>
      <c r="C172" s="4"/>
      <c r="D172" s="77"/>
      <c r="E172" s="5"/>
      <c r="F172" s="6"/>
      <c r="G172" s="7"/>
      <c r="H172" s="8"/>
      <c r="I172" s="9"/>
      <c r="J172" s="16"/>
      <c r="K172" s="16"/>
    </row>
    <row r="173" spans="1:12" ht="18.75" customHeight="1" x14ac:dyDescent="0.2">
      <c r="A173" s="194"/>
      <c r="B173" s="84" t="s">
        <v>244</v>
      </c>
      <c r="C173" s="19" t="s">
        <v>70</v>
      </c>
      <c r="D173" s="15"/>
      <c r="E173" s="11"/>
      <c r="F173" s="12"/>
      <c r="G173" s="95"/>
      <c r="H173" s="14"/>
      <c r="I173" s="81"/>
      <c r="J173" s="15"/>
      <c r="K173" s="82"/>
      <c r="L173" s="28"/>
    </row>
    <row r="174" spans="1:12" ht="18.75" customHeight="1" x14ac:dyDescent="0.2">
      <c r="A174" s="193">
        <f>A172+1</f>
        <v>61</v>
      </c>
      <c r="B174" s="83" t="s">
        <v>224</v>
      </c>
      <c r="C174" s="4"/>
      <c r="D174" s="77"/>
      <c r="E174" s="5"/>
      <c r="F174" s="6"/>
      <c r="G174" s="7"/>
      <c r="H174" s="8"/>
      <c r="I174" s="9"/>
      <c r="J174" s="16"/>
      <c r="K174" s="16"/>
    </row>
    <row r="175" spans="1:12" ht="18.75" customHeight="1" x14ac:dyDescent="0.2">
      <c r="A175" s="194"/>
      <c r="B175" s="84" t="s">
        <v>123</v>
      </c>
      <c r="C175" s="19" t="s">
        <v>71</v>
      </c>
      <c r="D175" s="15"/>
      <c r="E175" s="11"/>
      <c r="F175" s="12"/>
      <c r="G175" s="95"/>
      <c r="H175" s="14"/>
      <c r="I175" s="81"/>
      <c r="J175" s="15"/>
      <c r="K175" s="82"/>
      <c r="L175" s="28"/>
    </row>
    <row r="176" spans="1:12" ht="18.75" customHeight="1" x14ac:dyDescent="0.2">
      <c r="A176" s="193">
        <f>A174+1</f>
        <v>62</v>
      </c>
      <c r="B176" s="83" t="s">
        <v>198</v>
      </c>
      <c r="C176" s="4"/>
      <c r="D176" s="77"/>
      <c r="E176" s="5"/>
      <c r="F176" s="6"/>
      <c r="G176" s="7"/>
      <c r="H176" s="8"/>
      <c r="I176" s="9"/>
      <c r="J176" s="16"/>
      <c r="K176" s="16"/>
    </row>
    <row r="177" spans="1:12" ht="18.75" customHeight="1" x14ac:dyDescent="0.2">
      <c r="A177" s="194"/>
      <c r="B177" s="84" t="s">
        <v>122</v>
      </c>
      <c r="C177" s="19" t="s">
        <v>71</v>
      </c>
      <c r="D177" s="15"/>
      <c r="E177" s="11"/>
      <c r="F177" s="12"/>
      <c r="G177" s="95"/>
      <c r="H177" s="14"/>
      <c r="I177" s="81"/>
      <c r="J177" s="15"/>
      <c r="K177" s="82"/>
      <c r="L177" s="28"/>
    </row>
    <row r="178" spans="1:12" ht="18.75" customHeight="1" x14ac:dyDescent="0.2">
      <c r="A178" s="193">
        <f t="shared" ref="A178" si="20">A176+1</f>
        <v>63</v>
      </c>
      <c r="B178" s="83" t="s">
        <v>97</v>
      </c>
      <c r="C178" s="4"/>
      <c r="D178" s="77"/>
      <c r="E178" s="5"/>
      <c r="F178" s="6"/>
      <c r="G178" s="7"/>
      <c r="H178" s="8"/>
      <c r="I178" s="9"/>
      <c r="J178" s="16"/>
      <c r="K178" s="16"/>
    </row>
    <row r="179" spans="1:12" ht="18.75" customHeight="1" x14ac:dyDescent="0.2">
      <c r="A179" s="194"/>
      <c r="B179" s="84" t="s">
        <v>98</v>
      </c>
      <c r="C179" s="19" t="s">
        <v>70</v>
      </c>
      <c r="D179" s="15"/>
      <c r="E179" s="11"/>
      <c r="F179" s="12"/>
      <c r="G179" s="95"/>
      <c r="H179" s="14"/>
      <c r="I179" s="81"/>
      <c r="J179" s="15"/>
      <c r="K179" s="82"/>
      <c r="L179" s="28"/>
    </row>
    <row r="180" spans="1:12" ht="18.75" customHeight="1" x14ac:dyDescent="0.2">
      <c r="A180" s="193">
        <f t="shared" ref="A180:A186" si="21">A178+1</f>
        <v>64</v>
      </c>
      <c r="B180" s="83" t="s">
        <v>146</v>
      </c>
      <c r="C180" s="4"/>
      <c r="D180" s="77"/>
      <c r="E180" s="5"/>
      <c r="F180" s="6"/>
      <c r="G180" s="7"/>
      <c r="H180" s="8"/>
      <c r="I180" s="9"/>
      <c r="J180" s="16"/>
      <c r="K180" s="16"/>
    </row>
    <row r="181" spans="1:12" ht="18.75" customHeight="1" x14ac:dyDescent="0.2">
      <c r="A181" s="194"/>
      <c r="B181" s="84" t="s">
        <v>230</v>
      </c>
      <c r="C181" s="19" t="s">
        <v>70</v>
      </c>
      <c r="D181" s="15"/>
      <c r="E181" s="11"/>
      <c r="F181" s="12"/>
      <c r="G181" s="95"/>
      <c r="H181" s="14"/>
      <c r="I181" s="81"/>
      <c r="J181" s="15"/>
      <c r="K181" s="82"/>
      <c r="L181" s="28"/>
    </row>
    <row r="182" spans="1:12" ht="18.75" customHeight="1" x14ac:dyDescent="0.2">
      <c r="A182" s="193">
        <f t="shared" si="21"/>
        <v>65</v>
      </c>
      <c r="B182" s="83" t="s">
        <v>246</v>
      </c>
      <c r="C182" s="4"/>
      <c r="D182" s="77"/>
      <c r="E182" s="5"/>
      <c r="F182" s="6"/>
      <c r="G182" s="7"/>
      <c r="H182" s="8"/>
      <c r="I182" s="9"/>
      <c r="J182" s="16"/>
      <c r="K182" s="16"/>
    </row>
    <row r="183" spans="1:12" ht="29.25" customHeight="1" x14ac:dyDescent="0.2">
      <c r="A183" s="194"/>
      <c r="B183" s="84" t="s">
        <v>247</v>
      </c>
      <c r="C183" s="19" t="s">
        <v>70</v>
      </c>
      <c r="D183" s="15"/>
      <c r="E183" s="11"/>
      <c r="F183" s="12"/>
      <c r="G183" s="95"/>
      <c r="H183" s="14"/>
      <c r="I183" s="81"/>
      <c r="J183" s="15"/>
      <c r="K183" s="82"/>
      <c r="L183" s="28"/>
    </row>
    <row r="184" spans="1:12" ht="18.75" customHeight="1" x14ac:dyDescent="0.2">
      <c r="A184" s="193">
        <f t="shared" si="21"/>
        <v>66</v>
      </c>
      <c r="B184" s="83" t="s">
        <v>200</v>
      </c>
      <c r="C184" s="4"/>
      <c r="D184" s="77"/>
      <c r="E184" s="5"/>
      <c r="F184" s="6"/>
      <c r="G184" s="7"/>
      <c r="H184" s="8"/>
      <c r="I184" s="9"/>
      <c r="J184" s="16"/>
      <c r="K184" s="16"/>
    </row>
    <row r="185" spans="1:12" ht="18.75" customHeight="1" x14ac:dyDescent="0.2">
      <c r="A185" s="194"/>
      <c r="B185" s="84" t="s">
        <v>201</v>
      </c>
      <c r="C185" s="19" t="s">
        <v>70</v>
      </c>
      <c r="D185" s="15"/>
      <c r="E185" s="11"/>
      <c r="F185" s="12"/>
      <c r="G185" s="95"/>
      <c r="H185" s="14"/>
      <c r="I185" s="81"/>
      <c r="J185" s="15"/>
      <c r="K185" s="82"/>
      <c r="L185" s="28"/>
    </row>
    <row r="186" spans="1:12" ht="18.75" customHeight="1" x14ac:dyDescent="0.2">
      <c r="A186" s="193">
        <f t="shared" si="21"/>
        <v>67</v>
      </c>
      <c r="B186" s="83" t="s">
        <v>112</v>
      </c>
      <c r="C186" s="4"/>
      <c r="D186" s="77"/>
      <c r="E186" s="5"/>
      <c r="F186" s="6"/>
      <c r="G186" s="7"/>
      <c r="H186" s="8"/>
      <c r="I186" s="9"/>
      <c r="J186" s="16"/>
      <c r="K186" s="16"/>
    </row>
    <row r="187" spans="1:12" ht="18.75" customHeight="1" x14ac:dyDescent="0.2">
      <c r="A187" s="194"/>
      <c r="B187" s="84" t="s">
        <v>113</v>
      </c>
      <c r="C187" s="19" t="s">
        <v>70</v>
      </c>
      <c r="D187" s="15"/>
      <c r="E187" s="11"/>
      <c r="F187" s="12"/>
      <c r="G187" s="95"/>
      <c r="H187" s="14"/>
      <c r="I187" s="81"/>
      <c r="J187" s="15"/>
      <c r="K187" s="82"/>
      <c r="L187" s="28"/>
    </row>
    <row r="188" spans="1:12" ht="22.5" customHeight="1" x14ac:dyDescent="0.2">
      <c r="A188" s="193">
        <f t="shared" ref="A188:A208" si="22">A186+1</f>
        <v>68</v>
      </c>
      <c r="B188" s="83" t="s">
        <v>145</v>
      </c>
      <c r="C188" s="4"/>
      <c r="D188" s="77"/>
      <c r="E188" s="5"/>
      <c r="F188" s="6"/>
      <c r="G188" s="7"/>
      <c r="H188" s="8"/>
      <c r="I188" s="9"/>
      <c r="J188" s="16"/>
      <c r="K188" s="16"/>
    </row>
    <row r="189" spans="1:12" ht="18.75" customHeight="1" x14ac:dyDescent="0.2">
      <c r="A189" s="194"/>
      <c r="B189" s="84" t="s">
        <v>228</v>
      </c>
      <c r="C189" s="19" t="s">
        <v>70</v>
      </c>
      <c r="D189" s="15"/>
      <c r="E189" s="11"/>
      <c r="F189" s="12"/>
      <c r="G189" s="95"/>
      <c r="H189" s="14"/>
      <c r="I189" s="81"/>
      <c r="J189" s="15"/>
      <c r="K189" s="82"/>
      <c r="L189" s="28"/>
    </row>
    <row r="190" spans="1:12" ht="21.75" customHeight="1" x14ac:dyDescent="0.2">
      <c r="A190" s="193">
        <f t="shared" si="22"/>
        <v>69</v>
      </c>
      <c r="B190" s="83" t="s">
        <v>203</v>
      </c>
      <c r="C190" s="4"/>
      <c r="D190" s="77"/>
      <c r="E190" s="5"/>
      <c r="F190" s="6"/>
      <c r="G190" s="7"/>
      <c r="H190" s="8"/>
      <c r="I190" s="9"/>
      <c r="J190" s="16"/>
      <c r="K190" s="16"/>
    </row>
    <row r="191" spans="1:12" ht="26.25" customHeight="1" x14ac:dyDescent="0.2">
      <c r="A191" s="194"/>
      <c r="B191" s="84" t="s">
        <v>229</v>
      </c>
      <c r="C191" s="19" t="s">
        <v>70</v>
      </c>
      <c r="D191" s="15"/>
      <c r="E191" s="11"/>
      <c r="F191" s="12"/>
      <c r="G191" s="95"/>
      <c r="H191" s="14"/>
      <c r="I191" s="81"/>
      <c r="J191" s="15"/>
      <c r="K191" s="82"/>
      <c r="L191" s="28"/>
    </row>
    <row r="192" spans="1:12" ht="18.75" customHeight="1" x14ac:dyDescent="0.2">
      <c r="A192" s="193">
        <f t="shared" si="22"/>
        <v>70</v>
      </c>
      <c r="B192" s="83" t="s">
        <v>202</v>
      </c>
      <c r="C192" s="4"/>
      <c r="D192" s="77"/>
      <c r="E192" s="5"/>
      <c r="F192" s="6"/>
      <c r="G192" s="7"/>
      <c r="H192" s="8"/>
      <c r="I192" s="9"/>
      <c r="J192" s="16"/>
      <c r="K192" s="16"/>
    </row>
    <row r="193" spans="1:12" ht="16.5" customHeight="1" x14ac:dyDescent="0.2">
      <c r="A193" s="194"/>
      <c r="B193" s="84" t="s">
        <v>227</v>
      </c>
      <c r="C193" s="19" t="s">
        <v>70</v>
      </c>
      <c r="D193" s="15"/>
      <c r="E193" s="11"/>
      <c r="F193" s="12"/>
      <c r="G193" s="95"/>
      <c r="H193" s="14"/>
      <c r="I193" s="81"/>
      <c r="J193" s="15"/>
      <c r="K193" s="82"/>
      <c r="L193" s="28"/>
    </row>
    <row r="194" spans="1:12" ht="18.75" customHeight="1" x14ac:dyDescent="0.2">
      <c r="A194" s="193">
        <f t="shared" si="22"/>
        <v>71</v>
      </c>
      <c r="B194" s="83" t="s">
        <v>149</v>
      </c>
      <c r="C194" s="4"/>
      <c r="D194" s="77"/>
      <c r="E194" s="5"/>
      <c r="F194" s="6"/>
      <c r="G194" s="7"/>
      <c r="H194" s="8"/>
      <c r="I194" s="9"/>
      <c r="J194" s="16"/>
      <c r="K194" s="16"/>
    </row>
    <row r="195" spans="1:12" ht="18.75" customHeight="1" x14ac:dyDescent="0.2">
      <c r="A195" s="194"/>
      <c r="B195" s="84" t="s">
        <v>220</v>
      </c>
      <c r="C195" s="19" t="s">
        <v>70</v>
      </c>
      <c r="D195" s="15"/>
      <c r="E195" s="11"/>
      <c r="F195" s="12"/>
      <c r="G195" s="95"/>
      <c r="H195" s="14"/>
      <c r="I195" s="81"/>
      <c r="J195" s="15"/>
      <c r="K195" s="82"/>
      <c r="L195" s="28"/>
    </row>
    <row r="196" spans="1:12" ht="18.75" customHeight="1" x14ac:dyDescent="0.2">
      <c r="A196" s="193">
        <f t="shared" si="22"/>
        <v>72</v>
      </c>
      <c r="B196" s="83" t="s">
        <v>150</v>
      </c>
      <c r="C196" s="4"/>
      <c r="D196" s="77"/>
      <c r="E196" s="5"/>
      <c r="F196" s="6"/>
      <c r="G196" s="7"/>
      <c r="H196" s="8"/>
      <c r="I196" s="9"/>
      <c r="J196" s="16"/>
      <c r="K196" s="16"/>
    </row>
    <row r="197" spans="1:12" ht="18.75" customHeight="1" x14ac:dyDescent="0.2">
      <c r="A197" s="194"/>
      <c r="B197" s="84" t="s">
        <v>221</v>
      </c>
      <c r="C197" s="19" t="s">
        <v>70</v>
      </c>
      <c r="D197" s="15"/>
      <c r="E197" s="11"/>
      <c r="F197" s="12"/>
      <c r="G197" s="95"/>
      <c r="H197" s="14"/>
      <c r="I197" s="81"/>
      <c r="J197" s="15"/>
      <c r="K197" s="82"/>
      <c r="L197" s="28"/>
    </row>
    <row r="198" spans="1:12" ht="18.75" customHeight="1" x14ac:dyDescent="0.2">
      <c r="A198" s="193">
        <f t="shared" si="22"/>
        <v>73</v>
      </c>
      <c r="B198" s="83" t="s">
        <v>222</v>
      </c>
      <c r="C198" s="4"/>
      <c r="D198" s="77"/>
      <c r="E198" s="5"/>
      <c r="F198" s="6"/>
      <c r="G198" s="7"/>
      <c r="H198" s="8"/>
      <c r="I198" s="9"/>
      <c r="J198" s="16"/>
      <c r="K198" s="16"/>
    </row>
    <row r="199" spans="1:12" ht="18.75" customHeight="1" x14ac:dyDescent="0.2">
      <c r="A199" s="194"/>
      <c r="B199" s="84" t="s">
        <v>223</v>
      </c>
      <c r="C199" s="19" t="s">
        <v>70</v>
      </c>
      <c r="D199" s="15"/>
      <c r="E199" s="11"/>
      <c r="F199" s="12"/>
      <c r="G199" s="95"/>
      <c r="H199" s="14"/>
      <c r="I199" s="81"/>
      <c r="J199" s="15"/>
      <c r="K199" s="82"/>
      <c r="L199" s="28"/>
    </row>
    <row r="200" spans="1:12" ht="18.75" customHeight="1" x14ac:dyDescent="0.2">
      <c r="A200" s="193">
        <f t="shared" si="22"/>
        <v>74</v>
      </c>
      <c r="B200" s="83" t="s">
        <v>129</v>
      </c>
      <c r="C200" s="117"/>
      <c r="D200" s="149"/>
      <c r="E200" s="153"/>
      <c r="F200" s="119"/>
      <c r="G200" s="120"/>
      <c r="H200" s="121"/>
      <c r="I200" s="122"/>
      <c r="J200" s="123"/>
      <c r="K200" s="123"/>
    </row>
    <row r="201" spans="1:12" ht="18.75" customHeight="1" x14ac:dyDescent="0.2">
      <c r="A201" s="194"/>
      <c r="B201" s="84" t="s">
        <v>130</v>
      </c>
      <c r="C201" s="19" t="s">
        <v>70</v>
      </c>
      <c r="D201" s="151"/>
      <c r="E201" s="152"/>
      <c r="F201" s="124"/>
      <c r="G201" s="95"/>
      <c r="H201" s="80"/>
      <c r="I201" s="81"/>
      <c r="J201" s="82"/>
      <c r="K201" s="82"/>
      <c r="L201" s="28"/>
    </row>
    <row r="202" spans="1:12" ht="18.75" customHeight="1" x14ac:dyDescent="0.2">
      <c r="A202" s="193">
        <f t="shared" si="22"/>
        <v>75</v>
      </c>
      <c r="B202" s="83" t="s">
        <v>206</v>
      </c>
      <c r="C202" s="117"/>
      <c r="D202" s="183"/>
      <c r="E202" s="118"/>
      <c r="F202" s="119"/>
      <c r="G202" s="120"/>
      <c r="H202" s="121"/>
      <c r="I202" s="122"/>
      <c r="J202" s="123"/>
      <c r="K202" s="123"/>
    </row>
    <row r="203" spans="1:12" ht="18.75" customHeight="1" x14ac:dyDescent="0.2">
      <c r="A203" s="194"/>
      <c r="B203" s="84" t="s">
        <v>207</v>
      </c>
      <c r="C203" s="19" t="s">
        <v>70</v>
      </c>
      <c r="D203" s="89"/>
      <c r="E203" s="81"/>
      <c r="F203" s="124"/>
      <c r="G203" s="95"/>
      <c r="H203" s="80"/>
      <c r="I203" s="81"/>
      <c r="J203" s="82"/>
      <c r="K203" s="82"/>
      <c r="L203" s="28"/>
    </row>
    <row r="204" spans="1:12" ht="18.75" customHeight="1" x14ac:dyDescent="0.2">
      <c r="A204" s="193">
        <f t="shared" si="22"/>
        <v>76</v>
      </c>
      <c r="B204" s="83" t="s">
        <v>76</v>
      </c>
      <c r="C204" s="4"/>
      <c r="D204" s="77"/>
      <c r="E204" s="5"/>
      <c r="F204" s="6"/>
      <c r="G204" s="7"/>
      <c r="H204" s="8"/>
      <c r="I204" s="9"/>
      <c r="J204" s="16"/>
      <c r="K204" s="16"/>
    </row>
    <row r="205" spans="1:12" ht="18.75" customHeight="1" x14ac:dyDescent="0.2">
      <c r="A205" s="194"/>
      <c r="B205" s="84" t="s">
        <v>77</v>
      </c>
      <c r="C205" s="19" t="s">
        <v>72</v>
      </c>
      <c r="D205" s="15"/>
      <c r="E205" s="11"/>
      <c r="F205" s="12"/>
      <c r="G205" s="95"/>
      <c r="H205" s="14"/>
      <c r="I205" s="81"/>
      <c r="J205" s="15"/>
      <c r="K205" s="82"/>
      <c r="L205" s="28"/>
    </row>
    <row r="206" spans="1:12" ht="18.75" customHeight="1" x14ac:dyDescent="0.2">
      <c r="A206" s="193">
        <f t="shared" si="22"/>
        <v>77</v>
      </c>
      <c r="B206" s="83" t="s">
        <v>89</v>
      </c>
      <c r="C206" s="4"/>
      <c r="D206" s="77"/>
      <c r="E206" s="5"/>
      <c r="F206" s="6"/>
      <c r="G206" s="7"/>
      <c r="H206" s="8"/>
      <c r="I206" s="9"/>
      <c r="J206" s="16"/>
      <c r="K206" s="16"/>
    </row>
    <row r="207" spans="1:12" ht="18.75" customHeight="1" x14ac:dyDescent="0.2">
      <c r="A207" s="194"/>
      <c r="B207" s="84" t="s">
        <v>90</v>
      </c>
      <c r="C207" s="19" t="s">
        <v>72</v>
      </c>
      <c r="D207" s="15"/>
      <c r="E207" s="11"/>
      <c r="F207" s="12"/>
      <c r="G207" s="95"/>
      <c r="H207" s="14"/>
      <c r="I207" s="81"/>
      <c r="J207" s="15"/>
      <c r="K207" s="82"/>
      <c r="L207" s="28"/>
    </row>
    <row r="208" spans="1:12" ht="18.75" customHeight="1" x14ac:dyDescent="0.2">
      <c r="A208" s="193">
        <f t="shared" si="22"/>
        <v>78</v>
      </c>
      <c r="B208" s="130" t="s">
        <v>132</v>
      </c>
      <c r="C208" s="4"/>
      <c r="D208" s="77"/>
      <c r="E208" s="5"/>
      <c r="F208" s="6"/>
      <c r="G208" s="7"/>
      <c r="H208" s="8"/>
      <c r="I208" s="9"/>
      <c r="J208" s="16"/>
      <c r="K208" s="16"/>
    </row>
    <row r="209" spans="1:12" ht="18.75" customHeight="1" x14ac:dyDescent="0.2">
      <c r="A209" s="194"/>
      <c r="B209" s="131" t="s">
        <v>131</v>
      </c>
      <c r="C209" s="19" t="s">
        <v>70</v>
      </c>
      <c r="D209" s="15"/>
      <c r="E209" s="11"/>
      <c r="F209" s="12"/>
      <c r="G209" s="95"/>
      <c r="H209" s="14"/>
      <c r="I209" s="81"/>
      <c r="J209" s="15"/>
      <c r="K209" s="82"/>
      <c r="L209" s="28"/>
    </row>
    <row r="210" spans="1:12" ht="18.75" customHeight="1" x14ac:dyDescent="0.2">
      <c r="A210" s="193"/>
      <c r="B210" s="128" t="s">
        <v>78</v>
      </c>
      <c r="C210" s="4"/>
      <c r="D210" s="77"/>
      <c r="E210" s="5"/>
      <c r="F210" s="6"/>
      <c r="G210" s="7"/>
      <c r="H210" s="8"/>
      <c r="I210" s="9"/>
      <c r="J210" s="16"/>
      <c r="K210" s="16"/>
    </row>
    <row r="211" spans="1:12" ht="18.75" customHeight="1" x14ac:dyDescent="0.2">
      <c r="A211" s="194"/>
      <c r="B211" s="129" t="s">
        <v>79</v>
      </c>
      <c r="C211" s="79"/>
      <c r="D211" s="15"/>
      <c r="E211" s="11"/>
      <c r="F211" s="12"/>
      <c r="G211" s="95"/>
      <c r="H211" s="14"/>
      <c r="I211" s="81"/>
      <c r="J211" s="15"/>
      <c r="K211" s="134"/>
      <c r="L211" s="28"/>
    </row>
    <row r="212" spans="1:12" ht="27.75" customHeight="1" x14ac:dyDescent="0.2">
      <c r="A212" s="193"/>
      <c r="B212" s="128" t="s">
        <v>116</v>
      </c>
      <c r="C212" s="117"/>
      <c r="D212" s="125"/>
      <c r="E212" s="118"/>
      <c r="F212" s="119"/>
      <c r="G212" s="120"/>
      <c r="H212" s="121"/>
      <c r="I212" s="122"/>
      <c r="J212" s="123"/>
      <c r="K212" s="123"/>
      <c r="L212" s="28"/>
    </row>
    <row r="213" spans="1:12" ht="24.75" customHeight="1" x14ac:dyDescent="0.2">
      <c r="A213" s="194"/>
      <c r="B213" s="129" t="s">
        <v>117</v>
      </c>
      <c r="C213" s="19"/>
      <c r="D213" s="82"/>
      <c r="E213" s="184"/>
      <c r="F213" s="124"/>
      <c r="G213" s="95"/>
      <c r="H213" s="80"/>
      <c r="I213" s="81"/>
      <c r="J213" s="87"/>
      <c r="K213" s="138"/>
      <c r="L213" s="28"/>
    </row>
    <row r="214" spans="1:12" ht="18.75" customHeight="1" x14ac:dyDescent="0.2">
      <c r="A214" s="193"/>
      <c r="B214" s="126" t="s">
        <v>214</v>
      </c>
      <c r="C214" s="4"/>
      <c r="D214" s="77"/>
      <c r="E214" s="5"/>
      <c r="F214" s="6"/>
      <c r="G214" s="7"/>
      <c r="H214" s="8"/>
      <c r="I214" s="9"/>
      <c r="J214" s="16"/>
      <c r="K214" s="16"/>
    </row>
    <row r="215" spans="1:12" ht="18.75" customHeight="1" x14ac:dyDescent="0.2">
      <c r="A215" s="194"/>
      <c r="B215" s="127" t="s">
        <v>215</v>
      </c>
      <c r="C215" s="79"/>
      <c r="D215" s="15"/>
      <c r="E215" s="11"/>
      <c r="F215" s="12"/>
      <c r="G215" s="95"/>
      <c r="H215" s="14"/>
      <c r="I215" s="81"/>
      <c r="J215" s="15"/>
      <c r="K215" s="82"/>
      <c r="L215" s="28"/>
    </row>
    <row r="216" spans="1:12" ht="18.75" customHeight="1" x14ac:dyDescent="0.2">
      <c r="A216" s="193">
        <f>A208+1</f>
        <v>79</v>
      </c>
      <c r="B216" s="83" t="s">
        <v>216</v>
      </c>
      <c r="C216" s="4"/>
      <c r="D216" s="77"/>
      <c r="E216" s="5"/>
      <c r="F216" s="6"/>
      <c r="G216" s="7"/>
      <c r="H216" s="8"/>
      <c r="I216" s="9"/>
      <c r="J216" s="16"/>
      <c r="K216" s="16"/>
    </row>
    <row r="217" spans="1:12" ht="18.75" customHeight="1" x14ac:dyDescent="0.2">
      <c r="A217" s="194"/>
      <c r="B217" s="84" t="s">
        <v>217</v>
      </c>
      <c r="C217" s="19" t="s">
        <v>70</v>
      </c>
      <c r="D217" s="15"/>
      <c r="E217" s="11"/>
      <c r="F217" s="12"/>
      <c r="G217" s="95"/>
      <c r="H217" s="14"/>
      <c r="I217" s="81"/>
      <c r="J217" s="15"/>
      <c r="K217" s="82"/>
      <c r="L217" s="28"/>
    </row>
    <row r="218" spans="1:12" ht="18.75" customHeight="1" x14ac:dyDescent="0.2">
      <c r="A218" s="193">
        <f>A216+1</f>
        <v>80</v>
      </c>
      <c r="B218" s="83" t="s">
        <v>218</v>
      </c>
      <c r="C218" s="4"/>
      <c r="D218" s="77"/>
      <c r="E218" s="5"/>
      <c r="F218" s="6"/>
      <c r="G218" s="7"/>
      <c r="H218" s="8"/>
      <c r="I218" s="9"/>
      <c r="J218" s="16"/>
      <c r="K218" s="16"/>
    </row>
    <row r="219" spans="1:12" ht="28.5" customHeight="1" x14ac:dyDescent="0.2">
      <c r="A219" s="194"/>
      <c r="B219" s="84" t="s">
        <v>219</v>
      </c>
      <c r="C219" s="19" t="s">
        <v>70</v>
      </c>
      <c r="D219" s="15"/>
      <c r="E219" s="11"/>
      <c r="F219" s="12"/>
      <c r="G219" s="95"/>
      <c r="H219" s="14"/>
      <c r="I219" s="81"/>
      <c r="J219" s="15"/>
      <c r="K219" s="82"/>
      <c r="L219" s="28"/>
    </row>
    <row r="220" spans="1:12" ht="18.75" customHeight="1" x14ac:dyDescent="0.2">
      <c r="A220" s="193"/>
      <c r="B220" s="128" t="s">
        <v>232</v>
      </c>
      <c r="C220" s="4"/>
      <c r="D220" s="77"/>
      <c r="E220" s="5"/>
      <c r="F220" s="6"/>
      <c r="G220" s="7"/>
      <c r="H220" s="8"/>
      <c r="I220" s="9"/>
      <c r="J220" s="16"/>
      <c r="K220" s="16"/>
    </row>
    <row r="221" spans="1:12" ht="18.75" customHeight="1" x14ac:dyDescent="0.2">
      <c r="A221" s="194"/>
      <c r="B221" s="129" t="s">
        <v>233</v>
      </c>
      <c r="C221" s="79"/>
      <c r="D221" s="15"/>
      <c r="E221" s="11"/>
      <c r="F221" s="12"/>
      <c r="G221" s="95"/>
      <c r="H221" s="14"/>
      <c r="I221" s="81"/>
      <c r="J221" s="15"/>
      <c r="K221" s="134"/>
      <c r="L221" s="28"/>
    </row>
    <row r="222" spans="1:12" ht="18" customHeight="1" x14ac:dyDescent="0.2">
      <c r="A222" s="174"/>
      <c r="B222" s="142"/>
      <c r="C222" s="24"/>
      <c r="D222" s="147"/>
      <c r="E222" s="145"/>
      <c r="F222" s="25"/>
      <c r="G222" s="139"/>
      <c r="H222" s="136"/>
      <c r="I222" s="140"/>
      <c r="J222" s="145"/>
      <c r="K222" s="149"/>
      <c r="L222" s="28"/>
    </row>
    <row r="223" spans="1:12" ht="19.5" customHeight="1" x14ac:dyDescent="0.2">
      <c r="A223" s="174"/>
      <c r="B223" s="135"/>
      <c r="C223" s="24"/>
      <c r="D223" s="148"/>
      <c r="E223" s="185"/>
      <c r="F223" s="25"/>
      <c r="G223" s="139"/>
      <c r="H223" s="136"/>
      <c r="I223" s="140"/>
      <c r="J223" s="185"/>
      <c r="K223" s="186"/>
      <c r="L223" s="28"/>
    </row>
    <row r="224" spans="1:12" ht="18" customHeight="1" x14ac:dyDescent="0.2">
      <c r="A224" s="198">
        <f>A218+1</f>
        <v>81</v>
      </c>
      <c r="B224" s="130" t="s">
        <v>248</v>
      </c>
      <c r="C224" s="187"/>
      <c r="D224" s="188"/>
      <c r="E224" s="145"/>
      <c r="F224" s="189"/>
      <c r="G224" s="190"/>
      <c r="H224" s="191"/>
      <c r="I224" s="192"/>
      <c r="J224" s="145"/>
      <c r="K224" s="149"/>
      <c r="L224" s="28"/>
    </row>
    <row r="225" spans="1:12" ht="34.5" customHeight="1" x14ac:dyDescent="0.2">
      <c r="A225" s="194"/>
      <c r="B225" s="131" t="s">
        <v>249</v>
      </c>
      <c r="C225" s="24" t="s">
        <v>231</v>
      </c>
      <c r="D225" s="148"/>
      <c r="E225" s="146"/>
      <c r="F225" s="25"/>
      <c r="G225" s="139"/>
      <c r="H225" s="136"/>
      <c r="I225" s="140"/>
      <c r="J225" s="146"/>
      <c r="K225" s="150"/>
      <c r="L225" s="28"/>
    </row>
    <row r="226" spans="1:12" ht="13.5" customHeight="1" x14ac:dyDescent="0.2">
      <c r="A226" s="175"/>
      <c r="B226" s="170" t="s">
        <v>84</v>
      </c>
      <c r="C226" s="4"/>
      <c r="D226" s="77"/>
      <c r="E226" s="5"/>
      <c r="F226" s="6"/>
      <c r="G226" s="7"/>
      <c r="H226" s="8"/>
      <c r="I226" s="9"/>
      <c r="J226" s="90"/>
      <c r="K226" s="90"/>
    </row>
    <row r="227" spans="1:12" ht="13.5" customHeight="1" x14ac:dyDescent="0.2">
      <c r="A227" s="78"/>
      <c r="B227" s="171" t="s">
        <v>84</v>
      </c>
      <c r="C227" s="19"/>
      <c r="D227" s="15"/>
      <c r="E227" s="11"/>
      <c r="F227" s="12"/>
      <c r="G227" s="13"/>
      <c r="H227" s="14"/>
      <c r="I227" s="11"/>
      <c r="J227" s="15"/>
      <c r="K227" s="134"/>
      <c r="L227" s="28"/>
    </row>
    <row r="228" spans="1:12" ht="17.25" customHeight="1" x14ac:dyDescent="0.2">
      <c r="A228" s="96"/>
      <c r="B228" s="23"/>
      <c r="C228" s="23"/>
      <c r="D228" s="97"/>
      <c r="E228" s="98"/>
      <c r="F228" s="98"/>
      <c r="G228" s="99"/>
      <c r="H228" s="98"/>
      <c r="I228" s="98"/>
      <c r="J228" s="98"/>
      <c r="K228" s="100"/>
    </row>
    <row r="229" spans="1:12" ht="13.5" customHeight="1" x14ac:dyDescent="0.2">
      <c r="A229" s="96"/>
      <c r="B229" s="23"/>
      <c r="C229" s="23"/>
      <c r="D229" s="97"/>
      <c r="E229" s="98"/>
      <c r="F229" s="101"/>
      <c r="G229" s="99"/>
      <c r="H229" s="102" t="s">
        <v>34</v>
      </c>
      <c r="I229" s="98"/>
      <c r="J229" s="98"/>
      <c r="K229" s="20">
        <f>SUM(F12:F222)</f>
        <v>0</v>
      </c>
      <c r="L229" s="28"/>
    </row>
    <row r="230" spans="1:12" ht="13.5" customHeight="1" x14ac:dyDescent="0.2">
      <c r="A230" s="96"/>
      <c r="B230" s="23"/>
      <c r="C230" s="23"/>
      <c r="D230" s="97"/>
      <c r="E230" s="98"/>
      <c r="F230" s="98"/>
      <c r="G230" s="99"/>
      <c r="H230" s="98"/>
      <c r="I230" s="98"/>
      <c r="J230" s="98"/>
      <c r="K230" s="100"/>
    </row>
    <row r="231" spans="1:12" ht="13.5" customHeight="1" x14ac:dyDescent="0.2">
      <c r="A231" s="96"/>
      <c r="B231" s="17"/>
      <c r="C231" s="23"/>
      <c r="D231" s="97"/>
      <c r="E231" s="98"/>
      <c r="F231" s="98"/>
      <c r="G231" s="99"/>
      <c r="H231" s="102" t="s">
        <v>35</v>
      </c>
      <c r="I231" s="98"/>
      <c r="J231" s="98"/>
      <c r="K231" s="20">
        <f>SUM(I12:I222)</f>
        <v>0</v>
      </c>
      <c r="L231" s="28"/>
    </row>
    <row r="232" spans="1:12" ht="13.5" customHeight="1" x14ac:dyDescent="0.2">
      <c r="A232" s="96"/>
      <c r="B232" s="23"/>
      <c r="C232" s="23"/>
      <c r="D232" s="97"/>
      <c r="E232" s="98"/>
      <c r="F232" s="98"/>
      <c r="G232" s="99"/>
      <c r="H232" s="102"/>
      <c r="I232" s="98"/>
      <c r="J232" s="98"/>
      <c r="K232" s="100"/>
    </row>
    <row r="233" spans="1:12" ht="13.5" customHeight="1" x14ac:dyDescent="0.2">
      <c r="A233" s="96"/>
      <c r="B233" s="23"/>
      <c r="C233" s="23"/>
      <c r="D233" s="97"/>
      <c r="E233" s="98"/>
      <c r="F233" s="98"/>
      <c r="G233" s="99"/>
      <c r="H233" s="102" t="s">
        <v>36</v>
      </c>
      <c r="I233" s="98"/>
      <c r="J233" s="98"/>
      <c r="K233" s="20">
        <f>SUM(J12:J222)</f>
        <v>0</v>
      </c>
    </row>
    <row r="234" spans="1:12" ht="13.5" customHeight="1" x14ac:dyDescent="0.2">
      <c r="A234" s="17"/>
      <c r="B234" s="23"/>
      <c r="C234" s="104"/>
      <c r="D234" s="197"/>
      <c r="E234" s="197"/>
      <c r="F234" s="98"/>
      <c r="G234" s="99"/>
      <c r="H234" s="98"/>
      <c r="I234" s="98"/>
      <c r="J234" s="98"/>
      <c r="K234" s="100"/>
    </row>
    <row r="235" spans="1:12" ht="13.5" customHeight="1" x14ac:dyDescent="0.2">
      <c r="A235" s="23"/>
      <c r="B235" s="23"/>
      <c r="C235" s="104"/>
      <c r="D235" s="23"/>
      <c r="E235" s="23"/>
      <c r="F235" s="98"/>
      <c r="G235" s="99"/>
      <c r="H235" s="102" t="s">
        <v>37</v>
      </c>
      <c r="I235" s="98"/>
      <c r="J235" s="98"/>
      <c r="K235" s="20">
        <f>K227</f>
        <v>0</v>
      </c>
    </row>
    <row r="236" spans="1:12" ht="13.5" customHeight="1" x14ac:dyDescent="0.2">
      <c r="A236" s="23"/>
      <c r="B236" s="23"/>
      <c r="C236" s="104"/>
      <c r="D236" s="23"/>
      <c r="E236" s="23"/>
      <c r="F236" s="98"/>
      <c r="G236" s="99"/>
      <c r="H236" s="98"/>
      <c r="I236" s="98"/>
      <c r="J236" s="98"/>
      <c r="K236" s="100"/>
    </row>
    <row r="237" spans="1:12" ht="13.5" customHeight="1" x14ac:dyDescent="0.2">
      <c r="A237" s="17"/>
      <c r="B237" s="17"/>
      <c r="C237" s="108"/>
      <c r="D237" s="17"/>
      <c r="E237" s="18"/>
      <c r="F237" s="98"/>
      <c r="G237" s="99"/>
      <c r="H237" s="102" t="s">
        <v>38</v>
      </c>
      <c r="I237" s="98"/>
      <c r="J237" s="103" t="s">
        <v>44</v>
      </c>
      <c r="K237" s="20">
        <f>K235*I237/100</f>
        <v>0</v>
      </c>
    </row>
    <row r="238" spans="1:12" ht="13.5" customHeight="1" x14ac:dyDescent="0.2">
      <c r="A238" s="96"/>
      <c r="B238" s="23"/>
      <c r="C238" s="23"/>
      <c r="D238" s="97"/>
      <c r="E238" s="98"/>
      <c r="F238" s="98"/>
      <c r="G238" s="99"/>
      <c r="H238" s="98"/>
      <c r="I238" s="98"/>
      <c r="J238" s="98"/>
      <c r="K238" s="100"/>
    </row>
    <row r="239" spans="1:12" ht="13.5" customHeight="1" x14ac:dyDescent="0.2">
      <c r="A239" s="96"/>
      <c r="B239" s="23"/>
      <c r="C239" s="23"/>
      <c r="D239" s="97"/>
      <c r="E239" s="98"/>
      <c r="F239" s="98"/>
      <c r="G239" s="99"/>
      <c r="H239" s="102" t="s">
        <v>39</v>
      </c>
      <c r="I239" s="98"/>
      <c r="J239" s="98"/>
      <c r="K239" s="20">
        <f>SUM(K235:K237)</f>
        <v>0</v>
      </c>
    </row>
    <row r="240" spans="1:12" ht="13.5" customHeight="1" x14ac:dyDescent="0.2">
      <c r="A240" s="96"/>
      <c r="B240" s="23"/>
      <c r="C240" s="23"/>
      <c r="D240" s="97"/>
      <c r="E240" s="98"/>
      <c r="F240" s="98"/>
      <c r="G240" s="99"/>
      <c r="H240" s="98"/>
      <c r="I240" s="98"/>
      <c r="J240" s="98"/>
      <c r="K240" s="100"/>
    </row>
    <row r="241" spans="1:11" ht="13.5" customHeight="1" x14ac:dyDescent="0.2">
      <c r="A241" s="17" t="s">
        <v>264</v>
      </c>
      <c r="B241" s="23"/>
      <c r="C241" s="104"/>
      <c r="D241" s="197" t="s">
        <v>263</v>
      </c>
      <c r="E241" s="197"/>
      <c r="F241" s="98"/>
      <c r="G241" s="99"/>
      <c r="H241" s="102" t="s">
        <v>40</v>
      </c>
      <c r="I241" s="98"/>
      <c r="J241" s="103" t="s">
        <v>44</v>
      </c>
      <c r="K241" s="20">
        <f>K235*I241/100</f>
        <v>0</v>
      </c>
    </row>
    <row r="242" spans="1:11" ht="13.5" customHeight="1" x14ac:dyDescent="0.2">
      <c r="A242" s="17"/>
      <c r="B242" s="23"/>
      <c r="C242" s="104"/>
      <c r="D242" s="197"/>
      <c r="E242" s="197"/>
      <c r="F242" s="98"/>
      <c r="G242" s="23"/>
      <c r="H242" s="98"/>
      <c r="I242" s="98"/>
      <c r="J242" s="98"/>
      <c r="K242" s="100"/>
    </row>
    <row r="243" spans="1:11" ht="13.5" customHeight="1" x14ac:dyDescent="0.2">
      <c r="A243" s="23"/>
      <c r="B243" s="23"/>
      <c r="C243" s="104"/>
      <c r="D243" s="23"/>
      <c r="E243" s="23"/>
      <c r="F243" s="98"/>
      <c r="G243" s="23"/>
      <c r="H243" s="105" t="s">
        <v>41</v>
      </c>
      <c r="I243" s="23"/>
      <c r="J243" s="23"/>
      <c r="K243" s="21">
        <f>SUM(K239:K241)</f>
        <v>0</v>
      </c>
    </row>
    <row r="244" spans="1:11" ht="48" customHeight="1" x14ac:dyDescent="0.2">
      <c r="A244" s="17" t="s">
        <v>265</v>
      </c>
      <c r="B244" s="17"/>
      <c r="C244" s="108"/>
      <c r="D244" s="17" t="s">
        <v>262</v>
      </c>
      <c r="E244" s="17"/>
      <c r="F244" s="98"/>
      <c r="G244" s="23"/>
      <c r="H244" s="106"/>
      <c r="I244" s="107"/>
      <c r="J244" s="17"/>
      <c r="K244" s="21"/>
    </row>
    <row r="245" spans="1:11" ht="13.5" customHeight="1" x14ac:dyDescent="0.2">
      <c r="A245" s="23"/>
      <c r="B245" s="23"/>
      <c r="C245" s="104"/>
      <c r="D245" s="23"/>
      <c r="E245" s="23"/>
      <c r="F245" s="98"/>
      <c r="G245" s="17"/>
      <c r="H245" s="109"/>
      <c r="I245" s="23"/>
      <c r="J245" s="23"/>
      <c r="K245" s="21"/>
    </row>
    <row r="246" spans="1:11" ht="13.5" customHeight="1" x14ac:dyDescent="0.2">
      <c r="A246" s="23"/>
      <c r="B246" s="23"/>
      <c r="C246" s="104"/>
      <c r="D246" s="23"/>
      <c r="E246" s="23"/>
      <c r="F246" s="98"/>
      <c r="G246" s="17"/>
      <c r="H246" s="109"/>
      <c r="I246" s="23"/>
      <c r="J246" s="23"/>
      <c r="K246" s="21"/>
    </row>
    <row r="247" spans="1:11" ht="13.5" customHeight="1" x14ac:dyDescent="0.2">
      <c r="A247" s="17"/>
      <c r="B247" s="17"/>
      <c r="C247" s="108"/>
      <c r="D247" s="17"/>
      <c r="E247" s="18"/>
      <c r="F247" s="98"/>
      <c r="G247" s="17"/>
      <c r="H247" s="109"/>
      <c r="I247" s="23"/>
      <c r="J247" s="23"/>
      <c r="K247" s="21"/>
    </row>
    <row r="248" spans="1:11" ht="13.5" customHeight="1" x14ac:dyDescent="0.2">
      <c r="A248" s="17"/>
      <c r="B248" s="17"/>
      <c r="C248" s="108"/>
      <c r="D248" s="17"/>
      <c r="E248" s="18"/>
      <c r="F248" s="106"/>
      <c r="G248" s="17"/>
      <c r="H248" s="109"/>
      <c r="I248" s="23"/>
      <c r="J248" s="23"/>
      <c r="K248" s="21"/>
    </row>
    <row r="249" spans="1:11" ht="23.25" customHeight="1" x14ac:dyDescent="0.2">
      <c r="A249" s="23"/>
      <c r="B249" s="23"/>
      <c r="C249" s="104"/>
      <c r="D249" s="98"/>
      <c r="E249" s="98"/>
      <c r="F249" s="99"/>
      <c r="G249" s="98"/>
      <c r="H249" s="109"/>
      <c r="I249" s="23"/>
      <c r="J249" s="23"/>
      <c r="K249" s="21"/>
    </row>
    <row r="250" spans="1:11" ht="21" customHeight="1" x14ac:dyDescent="0.3">
      <c r="A250" s="110" t="s">
        <v>43</v>
      </c>
      <c r="B250" s="111"/>
      <c r="C250" s="111"/>
      <c r="D250" s="112"/>
      <c r="E250" s="113"/>
      <c r="F250" s="113"/>
      <c r="G250" s="114"/>
      <c r="H250" s="115"/>
      <c r="I250" s="111"/>
      <c r="J250" s="111"/>
      <c r="K250" s="116"/>
    </row>
    <row r="251" spans="1:11" ht="13.5" customHeight="1" x14ac:dyDescent="0.2">
      <c r="D251"/>
    </row>
    <row r="252" spans="1:11" ht="13.5" customHeight="1" x14ac:dyDescent="0.2">
      <c r="D252"/>
    </row>
    <row r="253" spans="1:11" ht="13.5" customHeight="1" x14ac:dyDescent="0.2">
      <c r="D253"/>
    </row>
    <row r="254" spans="1:11" ht="13.5" customHeight="1" x14ac:dyDescent="0.2">
      <c r="D254"/>
    </row>
    <row r="255" spans="1:11" ht="17.25" customHeight="1" x14ac:dyDescent="0.2">
      <c r="D255"/>
    </row>
    <row r="256" spans="1:11" ht="26.25" customHeight="1" x14ac:dyDescent="0.2">
      <c r="D256"/>
    </row>
    <row r="257" spans="1:11" ht="13.5" customHeight="1" x14ac:dyDescent="0.2">
      <c r="A257" s="42"/>
      <c r="B257" s="43"/>
      <c r="C257" s="42"/>
      <c r="D257" s="40"/>
      <c r="E257" s="31"/>
      <c r="F257" s="41"/>
      <c r="G257" s="31"/>
      <c r="H257" s="31"/>
      <c r="I257" s="40"/>
      <c r="J257" s="40"/>
      <c r="K257" s="40"/>
    </row>
    <row r="258" spans="1:11" ht="13.5" customHeight="1" x14ac:dyDescent="0.2">
      <c r="A258" s="44"/>
      <c r="B258" s="45"/>
      <c r="C258" s="42"/>
      <c r="D258" s="40"/>
      <c r="E258" s="40"/>
      <c r="F258" s="46"/>
      <c r="G258" s="43"/>
      <c r="H258" s="47"/>
      <c r="I258" s="47"/>
      <c r="J258" s="47"/>
      <c r="K258" s="47"/>
    </row>
    <row r="259" spans="1:11" ht="13.5" customHeight="1" x14ac:dyDescent="0.2">
      <c r="A259" s="27"/>
      <c r="B259" s="27"/>
      <c r="C259" s="27"/>
      <c r="D259" s="29"/>
      <c r="E259" s="30"/>
      <c r="F259" s="30"/>
      <c r="G259" s="31"/>
      <c r="H259" s="30"/>
      <c r="I259" s="30"/>
      <c r="J259" s="30"/>
      <c r="K259" s="48"/>
    </row>
    <row r="260" spans="1:11" ht="13.5" customHeight="1" x14ac:dyDescent="0.2">
      <c r="A260" s="27"/>
      <c r="B260" s="27"/>
      <c r="C260" s="27"/>
      <c r="D260" s="29"/>
      <c r="E260" s="30"/>
      <c r="F260" s="32"/>
      <c r="G260" s="31"/>
      <c r="H260" s="33"/>
      <c r="I260" s="30"/>
      <c r="J260" s="30"/>
      <c r="K260" s="40"/>
    </row>
    <row r="261" spans="1:11" ht="13.5" customHeight="1" x14ac:dyDescent="0.2">
      <c r="A261" s="27"/>
      <c r="B261" s="27"/>
      <c r="C261" s="27"/>
      <c r="D261" s="29"/>
      <c r="E261" s="30"/>
      <c r="F261" s="30"/>
      <c r="G261" s="31"/>
      <c r="H261" s="30"/>
      <c r="I261" s="30"/>
      <c r="J261" s="30"/>
      <c r="K261" s="48"/>
    </row>
    <row r="262" spans="1:11" ht="13.5" customHeight="1" x14ac:dyDescent="0.2">
      <c r="A262" s="27"/>
      <c r="B262" s="27"/>
      <c r="C262" s="27"/>
      <c r="D262" s="29"/>
      <c r="E262" s="30"/>
      <c r="F262" s="30"/>
      <c r="G262" s="31"/>
      <c r="H262" s="33"/>
      <c r="I262" s="30"/>
      <c r="J262" s="30"/>
      <c r="K262" s="40"/>
    </row>
    <row r="263" spans="1:11" ht="13.5" customHeight="1" x14ac:dyDescent="0.2">
      <c r="A263" s="27"/>
      <c r="B263" s="27"/>
      <c r="C263" s="27"/>
      <c r="D263" s="29"/>
      <c r="E263" s="30"/>
      <c r="F263" s="30"/>
      <c r="G263" s="31"/>
      <c r="H263" s="33"/>
      <c r="I263" s="30"/>
      <c r="J263" s="30"/>
      <c r="K263" s="48"/>
    </row>
    <row r="264" spans="1:11" ht="13.5" customHeight="1" x14ac:dyDescent="0.2">
      <c r="A264" s="27"/>
      <c r="B264" s="27"/>
      <c r="C264" s="27"/>
      <c r="D264" s="29"/>
      <c r="E264" s="30"/>
      <c r="F264" s="30"/>
      <c r="G264" s="31"/>
      <c r="H264" s="33"/>
      <c r="I264" s="30"/>
      <c r="J264" s="30"/>
      <c r="K264" s="40"/>
    </row>
    <row r="265" spans="1:11" ht="13.5" customHeight="1" x14ac:dyDescent="0.2">
      <c r="A265" s="27"/>
      <c r="B265" s="27"/>
      <c r="C265" s="27"/>
      <c r="D265" s="29"/>
      <c r="E265" s="30"/>
      <c r="F265" s="30"/>
      <c r="G265" s="31"/>
      <c r="H265" s="30"/>
      <c r="I265" s="30"/>
      <c r="J265" s="30"/>
      <c r="K265" s="48"/>
    </row>
    <row r="266" spans="1:11" ht="13.5" customHeight="1" x14ac:dyDescent="0.2">
      <c r="A266" s="27"/>
      <c r="B266" s="27"/>
      <c r="C266" s="27"/>
      <c r="D266" s="29"/>
      <c r="E266" s="30"/>
      <c r="F266" s="30"/>
      <c r="G266" s="31"/>
      <c r="H266" s="33"/>
      <c r="I266" s="30"/>
      <c r="J266" s="30"/>
      <c r="K266" s="40"/>
    </row>
    <row r="267" spans="1:11" ht="13.5" customHeight="1" x14ac:dyDescent="0.2">
      <c r="A267" s="27"/>
      <c r="B267" s="27"/>
      <c r="C267" s="27"/>
      <c r="D267" s="29"/>
      <c r="E267" s="30"/>
      <c r="F267" s="30"/>
      <c r="G267" s="31"/>
      <c r="H267" s="30"/>
      <c r="I267" s="30"/>
      <c r="J267" s="30"/>
      <c r="K267" s="48"/>
    </row>
    <row r="268" spans="1:11" ht="13.5" customHeight="1" x14ac:dyDescent="0.2">
      <c r="A268" s="27"/>
      <c r="B268" s="27"/>
      <c r="C268" s="27"/>
      <c r="D268" s="29"/>
      <c r="E268" s="30"/>
      <c r="F268" s="30"/>
      <c r="G268" s="31"/>
      <c r="H268" s="33"/>
      <c r="I268" s="30"/>
      <c r="J268" s="34"/>
      <c r="K268" s="40"/>
    </row>
    <row r="269" spans="1:11" ht="13.5" customHeight="1" x14ac:dyDescent="0.2">
      <c r="A269" s="27"/>
      <c r="B269" s="27"/>
      <c r="C269" s="27"/>
      <c r="D269" s="29"/>
      <c r="E269" s="30"/>
      <c r="F269" s="30"/>
      <c r="G269" s="31"/>
      <c r="H269" s="30"/>
      <c r="I269" s="30"/>
      <c r="J269" s="30"/>
      <c r="K269" s="48"/>
    </row>
    <row r="270" spans="1:11" ht="13.5" customHeight="1" x14ac:dyDescent="0.2">
      <c r="A270" s="27"/>
      <c r="B270" s="27"/>
      <c r="C270" s="27"/>
      <c r="D270" s="29"/>
      <c r="E270" s="30"/>
      <c r="F270" s="30"/>
      <c r="G270" s="31"/>
      <c r="H270" s="33"/>
      <c r="I270" s="30"/>
      <c r="J270" s="30"/>
      <c r="K270" s="40"/>
    </row>
    <row r="271" spans="1:11" ht="13.5" customHeight="1" x14ac:dyDescent="0.2">
      <c r="A271" s="27"/>
      <c r="B271" s="27"/>
      <c r="C271" s="27"/>
      <c r="D271" s="29"/>
      <c r="E271" s="30"/>
      <c r="F271" s="30"/>
      <c r="G271" s="31"/>
      <c r="H271" s="30"/>
      <c r="I271" s="30"/>
      <c r="J271" s="30"/>
      <c r="K271" s="48"/>
    </row>
    <row r="272" spans="1:11" ht="13.5" customHeight="1" x14ac:dyDescent="0.2">
      <c r="A272" s="27"/>
      <c r="B272" s="27"/>
      <c r="C272" s="27"/>
      <c r="D272" s="29"/>
      <c r="E272" s="30"/>
      <c r="F272" s="30"/>
      <c r="G272" s="31"/>
      <c r="H272" s="33"/>
      <c r="I272" s="30"/>
      <c r="J272" s="34"/>
      <c r="K272" s="40"/>
    </row>
    <row r="273" spans="1:11" ht="13.5" customHeight="1" x14ac:dyDescent="0.2">
      <c r="A273" s="27"/>
      <c r="B273" s="27"/>
      <c r="C273" s="27"/>
      <c r="D273" s="29"/>
      <c r="E273" s="30"/>
      <c r="F273" s="30"/>
      <c r="G273" s="31"/>
      <c r="H273" s="30"/>
      <c r="I273" s="30"/>
      <c r="J273" s="30"/>
      <c r="K273" s="48"/>
    </row>
    <row r="274" spans="1:11" ht="13.5" customHeight="1" x14ac:dyDescent="0.2">
      <c r="A274" s="27"/>
      <c r="B274" s="26"/>
      <c r="C274" s="27"/>
      <c r="D274" s="35"/>
      <c r="E274" s="26"/>
      <c r="F274" s="26"/>
      <c r="G274" s="27"/>
      <c r="H274" s="27"/>
      <c r="I274" s="27"/>
      <c r="J274" s="30"/>
      <c r="K274" s="47"/>
    </row>
    <row r="275" spans="1:11" ht="13.5" customHeight="1" x14ac:dyDescent="0.2">
      <c r="A275" s="27"/>
      <c r="B275" s="27"/>
      <c r="C275" s="27"/>
      <c r="D275" s="35"/>
      <c r="E275" s="27"/>
      <c r="F275" s="27"/>
      <c r="G275" s="27"/>
      <c r="H275" s="36"/>
      <c r="I275" s="36"/>
      <c r="J275" s="27"/>
      <c r="K275" s="47"/>
    </row>
    <row r="276" spans="1:11" ht="13.5" customHeight="1" x14ac:dyDescent="0.2">
      <c r="A276" s="27"/>
      <c r="B276" s="27"/>
      <c r="C276" s="27"/>
      <c r="D276" s="35"/>
      <c r="E276" s="27"/>
      <c r="F276" s="27"/>
      <c r="G276" s="27"/>
      <c r="H276" s="39"/>
      <c r="I276" s="27"/>
      <c r="J276" s="27"/>
      <c r="K276" s="47"/>
    </row>
    <row r="277" spans="1:11" ht="13.5" customHeight="1" x14ac:dyDescent="0.2">
      <c r="A277" s="27"/>
      <c r="B277" s="26"/>
      <c r="C277" s="26"/>
      <c r="D277" s="37"/>
      <c r="E277" s="26"/>
      <c r="F277" s="38"/>
      <c r="G277" s="36"/>
      <c r="H277" s="26"/>
      <c r="I277" s="27"/>
      <c r="J277" s="30"/>
      <c r="K277" s="30"/>
    </row>
    <row r="278" spans="1:11" ht="13.5" customHeight="1" x14ac:dyDescent="0.3">
      <c r="A278" s="49"/>
      <c r="B278" s="27"/>
      <c r="C278" s="27"/>
      <c r="D278" s="35"/>
      <c r="E278" s="30"/>
      <c r="F278" s="30"/>
      <c r="G278" s="31"/>
      <c r="H278" s="30"/>
      <c r="I278" s="30"/>
      <c r="J278" s="30"/>
      <c r="K278" s="30"/>
    </row>
  </sheetData>
  <mergeCells count="108">
    <mergeCell ref="D234:E234"/>
    <mergeCell ref="D241:E241"/>
    <mergeCell ref="D242:E242"/>
    <mergeCell ref="A212:A213"/>
    <mergeCell ref="A214:A215"/>
    <mergeCell ref="A216:A217"/>
    <mergeCell ref="A218:A219"/>
    <mergeCell ref="A220:A221"/>
    <mergeCell ref="A224:A225"/>
    <mergeCell ref="A200:A201"/>
    <mergeCell ref="A202:A203"/>
    <mergeCell ref="A204:A205"/>
    <mergeCell ref="A206:A207"/>
    <mergeCell ref="A208:A209"/>
    <mergeCell ref="A210:A211"/>
    <mergeCell ref="A188:A189"/>
    <mergeCell ref="A190:A191"/>
    <mergeCell ref="A192:A193"/>
    <mergeCell ref="A194:A195"/>
    <mergeCell ref="A196:A197"/>
    <mergeCell ref="A198:A199"/>
    <mergeCell ref="A176:A177"/>
    <mergeCell ref="A178:A179"/>
    <mergeCell ref="A180:A181"/>
    <mergeCell ref="A182:A183"/>
    <mergeCell ref="A184:A185"/>
    <mergeCell ref="A186:A187"/>
    <mergeCell ref="A164:A165"/>
    <mergeCell ref="A166:A167"/>
    <mergeCell ref="A168:A169"/>
    <mergeCell ref="A170:A171"/>
    <mergeCell ref="A172:A173"/>
    <mergeCell ref="A174:A175"/>
    <mergeCell ref="A152:A153"/>
    <mergeCell ref="A154:A155"/>
    <mergeCell ref="A156:A157"/>
    <mergeCell ref="A158:A159"/>
    <mergeCell ref="A160:A161"/>
    <mergeCell ref="A162:A163"/>
    <mergeCell ref="A140:A141"/>
    <mergeCell ref="A142:A143"/>
    <mergeCell ref="A144:A145"/>
    <mergeCell ref="A146:A147"/>
    <mergeCell ref="A148:A149"/>
    <mergeCell ref="A150:A151"/>
    <mergeCell ref="A128:A129"/>
    <mergeCell ref="A130:A131"/>
    <mergeCell ref="A132:A133"/>
    <mergeCell ref="A134:A135"/>
    <mergeCell ref="A136:A137"/>
    <mergeCell ref="A138:A139"/>
    <mergeCell ref="A116:A117"/>
    <mergeCell ref="A118:A119"/>
    <mergeCell ref="A120:A121"/>
    <mergeCell ref="A122:A123"/>
    <mergeCell ref="A124:A125"/>
    <mergeCell ref="A126:A127"/>
    <mergeCell ref="A103:A104"/>
    <mergeCell ref="A105:A106"/>
    <mergeCell ref="A107:A108"/>
    <mergeCell ref="A110:A111"/>
    <mergeCell ref="A112:A113"/>
    <mergeCell ref="A114:A115"/>
    <mergeCell ref="A91:A92"/>
    <mergeCell ref="A93:A94"/>
    <mergeCell ref="A95:A96"/>
    <mergeCell ref="A97:A98"/>
    <mergeCell ref="A99:A100"/>
    <mergeCell ref="A101:A102"/>
    <mergeCell ref="A79:A80"/>
    <mergeCell ref="A81:A82"/>
    <mergeCell ref="A83:A84"/>
    <mergeCell ref="A85:A86"/>
    <mergeCell ref="A87:A88"/>
    <mergeCell ref="A89:A90"/>
    <mergeCell ref="A67:A68"/>
    <mergeCell ref="A69:A70"/>
    <mergeCell ref="A71:A72"/>
    <mergeCell ref="A73:A74"/>
    <mergeCell ref="A75:A76"/>
    <mergeCell ref="A77:A78"/>
    <mergeCell ref="A61:A62"/>
    <mergeCell ref="A63:A64"/>
    <mergeCell ref="A65:A66"/>
    <mergeCell ref="A39:A40"/>
    <mergeCell ref="A41:A42"/>
    <mergeCell ref="A43:A44"/>
    <mergeCell ref="A45:A46"/>
    <mergeCell ref="A47:A48"/>
    <mergeCell ref="A53:A54"/>
    <mergeCell ref="A51:A52"/>
    <mergeCell ref="A12:A13"/>
    <mergeCell ref="A14:A15"/>
    <mergeCell ref="A16:A17"/>
    <mergeCell ref="A18:A19"/>
    <mergeCell ref="A20:A21"/>
    <mergeCell ref="A22:A23"/>
    <mergeCell ref="A55:A56"/>
    <mergeCell ref="A57:A58"/>
    <mergeCell ref="A59:A60"/>
    <mergeCell ref="A37:A38"/>
    <mergeCell ref="A49:A50"/>
    <mergeCell ref="A24:A25"/>
    <mergeCell ref="A26:A27"/>
    <mergeCell ref="A28:A29"/>
    <mergeCell ref="A31:A32"/>
    <mergeCell ref="A33:A34"/>
    <mergeCell ref="A35:A36"/>
  </mergeCells>
  <printOptions horizontalCentered="1" verticalCentered="1" gridLines="1"/>
  <pageMargins left="0.25" right="0.25" top="0.25" bottom="0.25" header="0" footer="0.1"/>
  <pageSetup paperSize="9" fitToHeight="0" orientation="landscape" r:id="rId1"/>
  <headerFooter scaleWithDoc="0" alignWithMargins="0">
    <oddFooter xml:space="preserve">&amp;RPage &amp;P </oddFooter>
  </headerFooter>
  <rowBreaks count="11" manualBreakCount="11">
    <brk id="30" max="16383" man="1"/>
    <brk id="44" max="10" man="1"/>
    <brk id="56" max="16383" man="1"/>
    <brk id="76" max="16383" man="1"/>
    <brk id="94" max="16383" man="1"/>
    <brk id="113" max="10" man="1"/>
    <brk id="131" max="10" man="1"/>
    <brk id="147" max="10" man="1"/>
    <brk id="163" max="10" man="1"/>
    <brk id="185" max="10" man="1"/>
    <brk id="20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3360742F0A54383F2849E6C1E3253" ma:contentTypeVersion="4" ma:contentTypeDescription="Create a new document." ma:contentTypeScope="" ma:versionID="0fc296744dab6954dd9f1e1b61d0e67e">
  <xsd:schema xmlns:xsd="http://www.w3.org/2001/XMLSchema" xmlns:xs="http://www.w3.org/2001/XMLSchema" xmlns:p="http://schemas.microsoft.com/office/2006/metadata/properties" xmlns:ns2="8024a4ae-843b-4f9b-bf73-d231175c4896" targetNamespace="http://schemas.microsoft.com/office/2006/metadata/properties" ma:root="true" ma:fieldsID="458e28f72d7b7b57c83c008f22cc0ec2" ns2:_="">
    <xsd:import namespace="8024a4ae-843b-4f9b-bf73-d231175c48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4a4ae-843b-4f9b-bf73-d231175c4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7B840D-2638-40F0-AF21-E8FAA5113AE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bbc278-ecb6-4a63-b79e-8ef139c998e3"/>
    <ds:schemaRef ds:uri="b7e9c9f7-96c2-4cc8-b59f-09c865409871"/>
  </ds:schemaRefs>
</ds:datastoreItem>
</file>

<file path=customXml/itemProps2.xml><?xml version="1.0" encoding="utf-8"?>
<ds:datastoreItem xmlns:ds="http://schemas.openxmlformats.org/officeDocument/2006/customXml" ds:itemID="{49B7E5D9-A091-4BB3-B555-A7701575FA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CAA8C8-ED32-431D-9137-941C01AC08B9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KTR</vt:lpstr>
      <vt:lpstr>KTR!Print_Titles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JOSE LUIS VIDAL</dc:creator>
  <cp:lastModifiedBy>ZUMARRAGA-CARMONA, JOSE M CTR ES USAF USAFE 496 ABS/CE</cp:lastModifiedBy>
  <cp:lastPrinted>2026-03-16T10:16:40Z</cp:lastPrinted>
  <dcterms:created xsi:type="dcterms:W3CDTF">1998-01-19T09:07:58Z</dcterms:created>
  <dcterms:modified xsi:type="dcterms:W3CDTF">2026-03-17T10:04:17Z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0x010100E2F3360742F0A54383F2849E6C1E3253</vt:lpwstr>
  </property>
  <property fmtid="{D5CDD505-2E9C-101B-9397-08002B2CF9AE}" pid="3" name="MediaServiceImageTags">
    <vt:lpwstr/>
  </property>
  <property fmtid="{D5CDD505-2E9C-101B-9397-08002B2CF9AE}" pid="4" name="Order">
    <vt:r8>88770800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