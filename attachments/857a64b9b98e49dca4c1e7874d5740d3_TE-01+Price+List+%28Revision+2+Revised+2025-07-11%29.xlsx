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armyeitaas-my.sharepoint-mil.us/personal/scott_a_byrd_civ_army_mil/Documents/00 FILES TO FILE IN PCF/FY25 PROTECTIVE COATINGS FOLLOW ON/17 SOLICITAITON AMENDMENTS/Amendment #3/"/>
    </mc:Choice>
  </mc:AlternateContent>
  <xr:revisionPtr revIDLastSave="183" documentId="8_{6DFECFF9-2FD7-4331-918C-AE8B3F18F2ED}" xr6:coauthVersionLast="47" xr6:coauthVersionMax="47" xr10:uidLastSave="{02B2A87D-AB56-48B8-B6DA-BD8312AD8D29}"/>
  <bookViews>
    <workbookView xWindow="28680" yWindow="120" windowWidth="29040" windowHeight="15480" xr2:uid="{00000000-000D-0000-FFFF-FFFF00000000}"/>
  </bookViews>
  <sheets>
    <sheet name="Price Sheet" sheetId="1" r:id="rId1"/>
  </sheets>
  <definedNames>
    <definedName name="BID_ITEM">'Price Sheet'!$B$5:$B$153</definedName>
    <definedName name="DESCRIPTION">'Price Sheet'!$C$5:$C$153</definedName>
    <definedName name="UNIT">'Price Sheet'!$E$5:$E$153</definedName>
    <definedName name="UNIT_PRICE">'Price Sheet'!#REF!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17" i="1"/>
  <c r="G35" i="1"/>
  <c r="G36" i="1"/>
  <c r="G37" i="1"/>
  <c r="G38" i="1"/>
  <c r="G52" i="1"/>
  <c r="G103" i="1"/>
  <c r="G149" i="1"/>
  <c r="G150" i="1"/>
  <c r="G151" i="1"/>
  <c r="G152" i="1"/>
  <c r="G78" i="1"/>
  <c r="G79" i="1"/>
  <c r="G6" i="1"/>
  <c r="G7" i="1"/>
  <c r="G8" i="1"/>
  <c r="G9" i="1"/>
  <c r="G10" i="1"/>
  <c r="G11" i="1"/>
  <c r="G12" i="1"/>
  <c r="G13" i="1"/>
  <c r="G14" i="1"/>
  <c r="G15" i="1"/>
  <c r="G16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40" i="1"/>
  <c r="G41" i="1"/>
  <c r="G42" i="1"/>
  <c r="G43" i="1"/>
  <c r="G44" i="1"/>
  <c r="G45" i="1"/>
  <c r="G46" i="1"/>
  <c r="G47" i="1"/>
  <c r="G48" i="1"/>
  <c r="G49" i="1"/>
  <c r="G50" i="1"/>
  <c r="G51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9" i="1"/>
  <c r="G70" i="1"/>
  <c r="G71" i="1"/>
  <c r="G72" i="1"/>
  <c r="G73" i="1"/>
  <c r="G74" i="1"/>
  <c r="G75" i="1"/>
  <c r="G76" i="1"/>
  <c r="G77" i="1"/>
  <c r="G80" i="1"/>
  <c r="G82" i="1"/>
  <c r="G83" i="1"/>
  <c r="G84" i="1"/>
  <c r="G85" i="1"/>
  <c r="G86" i="1"/>
  <c r="G87" i="1"/>
  <c r="G88" i="1"/>
  <c r="G89" i="1"/>
  <c r="G90" i="1"/>
  <c r="G91" i="1"/>
  <c r="G92" i="1"/>
  <c r="G94" i="1"/>
  <c r="G95" i="1"/>
  <c r="G96" i="1"/>
  <c r="G97" i="1"/>
  <c r="G98" i="1"/>
  <c r="G99" i="1"/>
  <c r="G100" i="1"/>
  <c r="G101" i="1"/>
  <c r="G102" i="1"/>
  <c r="G104" i="1"/>
  <c r="G105" i="1"/>
  <c r="G106" i="1"/>
  <c r="G107" i="1"/>
  <c r="G108" i="1"/>
  <c r="G110" i="1"/>
  <c r="G111" i="1"/>
  <c r="G112" i="1"/>
  <c r="G113" i="1"/>
  <c r="G114" i="1"/>
  <c r="G115" i="1"/>
  <c r="G116" i="1"/>
  <c r="G117" i="1"/>
  <c r="G118" i="1"/>
  <c r="G119" i="1"/>
  <c r="G120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1" i="1"/>
  <c r="G142" i="1"/>
  <c r="G143" i="1"/>
  <c r="G144" i="1"/>
  <c r="G145" i="1"/>
  <c r="G146" i="1"/>
  <c r="G147" i="1"/>
  <c r="G148" i="1"/>
  <c r="G153" i="1"/>
  <c r="G154" i="1" l="1"/>
</calcChain>
</file>

<file path=xl/sharedStrings.xml><?xml version="1.0" encoding="utf-8"?>
<sst xmlns="http://schemas.openxmlformats.org/spreadsheetml/2006/main" count="302" uniqueCount="173">
  <si>
    <t>PC (Protective Coatings) for Exterior Wood Siding:</t>
  </si>
  <si>
    <t>SF</t>
  </si>
  <si>
    <t>PC for Exterior Wood Trim Surfaces: Doors, Door Trim, Window Trim, Fascia Boards, Rakes, Stair Railings:</t>
  </si>
  <si>
    <t>PC for Exterior Wood Soffits, Canopies, and Overhangs:</t>
  </si>
  <si>
    <t>PC for Exterior Cementitious Composition Board, Asbestos Hardboard Surfaces:</t>
  </si>
  <si>
    <t>PC for Exterior Concrete, Concrete Masonry, Brick Surfaces, Stucco, EIFS to receive paint finish:</t>
  </si>
  <si>
    <t>PC for Exterior Concrete, Concrete Masonry, Stucco, EIFS to receive High-Build Elastomeric Coating System:</t>
  </si>
  <si>
    <t>PC for Exterior Concrete Masonry, Brick Surfaces to receive clear sealant finish:</t>
  </si>
  <si>
    <t>PC for Exterior Metal Siding:</t>
  </si>
  <si>
    <t>PC for Exterior Metal Roofing:</t>
  </si>
  <si>
    <t>PC for Exterior Metal Trim: Doors, Door Trim, Window Trim, Stairs, Railing, Platforms, Pipe, Ducts, Vents, Stacks:</t>
  </si>
  <si>
    <t>PC for Exterior Metal Soffits, Canopies, and Overhangs:</t>
  </si>
  <si>
    <t xml:space="preserve">Apply Non-Skid Coating Surfaces: Porches, Decks, Docks, Steps, and Ramps: </t>
  </si>
  <si>
    <t>PC for Chain Link Fence:</t>
  </si>
  <si>
    <t>PC for Wood Fence:</t>
  </si>
  <si>
    <t>PC for Water tanks; POL Tanks Including Fuel Storage Tanks within 35 foot reach: (Surface Preparation and Prime Coat): Lift not included</t>
  </si>
  <si>
    <t>PC for Water tanks; POL Tanks Including Fuel Storage Tanks within 35 foot reach: (Single Finish Coat): Lift not included</t>
  </si>
  <si>
    <t>Elevated Surfaces (Hangars, Water Tower/Tanks) with reach requirements above 35 feet in height (Surface Preparation and Prime Coat): Lift not included</t>
  </si>
  <si>
    <t>Elevated Surfaces (Hangars, Water Tower/Tanks) with reach requirements above 35 feet in height (Single Finish Coat): Lift not included</t>
  </si>
  <si>
    <t>Application of Stenciled Graphic on Elevated Surfaces (Hangars, Water Tower/Tanks) Any reach requirements: Lift not included</t>
  </si>
  <si>
    <t xml:space="preserve">Structural Sealant/Caulking (Exterior) </t>
  </si>
  <si>
    <t>LF</t>
  </si>
  <si>
    <t>PC for Fire Hydrants (Prep, Prime, &amp; Paint):</t>
  </si>
  <si>
    <t>EA</t>
  </si>
  <si>
    <t>High Temp Paint; Exhaust Stacks; Jet Blast Deflectors; Incinerators:</t>
  </si>
  <si>
    <t>Ground Protection (drop cloth, plastic sheeting, etc)</t>
  </si>
  <si>
    <t>Surface Protection (drop cloth, plastic sheeting, etc)</t>
  </si>
  <si>
    <t>Surface Prep- Caulking</t>
  </si>
  <si>
    <t>Pressure Wash/Rinse- Water Only</t>
  </si>
  <si>
    <t>Re-Pointing &amp; Masonry Repairs</t>
  </si>
  <si>
    <t>Toothing Masonry</t>
  </si>
  <si>
    <t>VLF</t>
  </si>
  <si>
    <t>Chemical &amp; Brush Cleaning-Mold</t>
  </si>
  <si>
    <t>Misc Surface Repairs for Wood Surfaces (Ex: Sub CLINs 0001-0003)</t>
  </si>
  <si>
    <t>Misc Surface Repairs for Concrete Surfaces/Cementitous board (Ex: Sub CLINs 0004-0007)</t>
  </si>
  <si>
    <t>Misc Surface Repairs Metal Surfaces (Ex: Sub CLINs 0008-0011)</t>
  </si>
  <si>
    <t>PC for Interior Walls: Gypsum Wallboard, Hardboard, Plywood, Wood Panel, Plaster, Concrete, Concrete Masonry, Brick, Acoustical Wall Panels, or Metal Wall Panels</t>
  </si>
  <si>
    <t>PC for Interior Ceilings: Concrete, Gypsum Wallboard, Plaster, Acoustical, Wood, or Metal: (to 15')</t>
  </si>
  <si>
    <t>PC for Interior Metal Surfaces: Doors, Door Trim, Window Trim, Pipe, Radiators, Heaters/Grills, Cabinets, Structural Steel, Sheet Metal, Except Metal Wall Panels:</t>
  </si>
  <si>
    <t>Wood Stain</t>
  </si>
  <si>
    <t>Wood Varnish</t>
  </si>
  <si>
    <t>Exposed to View Paper Facing of Vapor Barrier Jackets of Presized or Adhesive Finished Glass Cloth over Insulation on Pipes, Ducts and Equipment:</t>
  </si>
  <si>
    <t>Primer Coat/Seal Coat for Interior and/or Exterior Surfaces not Previously Finished or to be Finished with a distinctive different color</t>
  </si>
  <si>
    <t>Special Multi-Color Durable Wall Coating (MPI #112)(Large Scale Application):</t>
  </si>
  <si>
    <t>Special Spot Repair of Multi-Color Durable Wall Coating     (MPI #112)(Under 75 Square Feet per Location):</t>
  </si>
  <si>
    <t>EACH</t>
  </si>
  <si>
    <t>Surface Preparation:Remove Existing Athletic Floor Coating to Bare Wood and Prepare For New Finish:</t>
  </si>
  <si>
    <t>Full coverage application of MFMA SSCLFMGF Athletic Floor Finish (Group-III):</t>
  </si>
  <si>
    <t>Application of Gymnasium/ Sports Court Graphics or Lines:</t>
  </si>
  <si>
    <t>Repair and/or Replace Damaged Gypsum Wallboard, Hardboard, Plywood, Wood Panel, Plaster, Acoustical Wall Panels, or Metal Wall Panels</t>
  </si>
  <si>
    <t>Repairs and/or Replace Damaged Interior Masonry and Brick work:</t>
  </si>
  <si>
    <t>Painting walls, complete, on drywall or plaster. Full coverage with roller, including surface preparation and spot repairs</t>
  </si>
  <si>
    <t>Interior Coatings Adder: (wall sections and ceilings over 15')</t>
  </si>
  <si>
    <t>Surface Preparation including all cosmetic cracks, pinholes, and dents. (Dents to 4" indiameter) Note: Measured per wall section (base x height)</t>
  </si>
  <si>
    <t>Miscellaneous Item Painting (Trim 6" or less, 2 Coats)</t>
  </si>
  <si>
    <t>Surface Preservative / Sealant (Clear, 3 Coats)</t>
  </si>
  <si>
    <t>Relocate Funishing - up to 100 lbs - (Removal/Protect/Reset is one action, not one each per removal &amp; protection &amp; reset)</t>
  </si>
  <si>
    <t>Floor Protection</t>
  </si>
  <si>
    <t>Surface Protection (furnishings, equipment, etc)</t>
  </si>
  <si>
    <t>Caulking</t>
  </si>
  <si>
    <t>Surface Cleaning</t>
  </si>
  <si>
    <t>Surface Texturing (Medium Knockdown)</t>
  </si>
  <si>
    <t>Industrial Flooring: Application of 100% Solids (Two-Component) Epoxy (includes Primer). 6.6-mil application</t>
  </si>
  <si>
    <t xml:space="preserve">Industrial Flooring: Application of 100% Solids High-Build Epoxy Coating (Build OR Top-Coat Application). 10-mil application </t>
  </si>
  <si>
    <t>Industrial Flooring: Application of Non-Slip Traction Grit (30 Mesh Quartz or Aluminum Oxide): Adder</t>
  </si>
  <si>
    <t>Industrial Flooring: Application of two-component, moisture-cured, high-traffic Urethane for Graphics and Floor Striping (no greater than 6-inch width):</t>
  </si>
  <si>
    <t>Gypsum Wall Board Joint and Fastener Concealment (Taping)</t>
  </si>
  <si>
    <t>Wall and Ceiling Texturing</t>
  </si>
  <si>
    <t>Small Area Painting Minimum (less than 10 SF per job order): Includes Repairs &amp; Prep</t>
  </si>
  <si>
    <t>Each Order</t>
  </si>
  <si>
    <t>Paint Hazard Test (TCLP Metals Test for all surfaces):</t>
  </si>
  <si>
    <t>Hazardous Waste Collection and Disposal (55-Gal Barrels):</t>
  </si>
  <si>
    <t>Surface Prep/Handling Procedures for Lead Painted Wood Trim Surfaces (Average 6-inch Wide Trim Surface):</t>
  </si>
  <si>
    <t>Re-Grout Tile (grind out &amp; epoxy grout)</t>
  </si>
  <si>
    <t>Acoustic Ceiling Tile</t>
  </si>
  <si>
    <t>Historic Surface Repairs (Repair/Replacing Wood to Match Existing)</t>
  </si>
  <si>
    <t>Historic Surface Repairs (Repair/Replacing Masonry to Match Existing)</t>
  </si>
  <si>
    <t>Critical Barrier Installation to Isolate Occupants form Work Site</t>
  </si>
  <si>
    <t>Swing Stage with Generator Set</t>
  </si>
  <si>
    <t>WEEK</t>
  </si>
  <si>
    <t>Aeiral lift, up to 30' high - rental per day</t>
  </si>
  <si>
    <t>DAY</t>
  </si>
  <si>
    <t>Aeiral lift, up to 30' high - rental per week</t>
  </si>
  <si>
    <t>Aeiral lift, up to 60' high - rental per day</t>
  </si>
  <si>
    <t>Aeiral lift, up to 60' high - rental per week</t>
  </si>
  <si>
    <t>3000 Watt Portable Generator</t>
  </si>
  <si>
    <t>Portable Water Storage Trailer (up to 2,000 gal)</t>
  </si>
  <si>
    <t>Scaffolding (5' Wide-Complete)</t>
  </si>
  <si>
    <t>Site Fencing</t>
  </si>
  <si>
    <t>LF/MONTH</t>
  </si>
  <si>
    <t>Protective Tenting (Shrink Wrap)</t>
  </si>
  <si>
    <t>Fire Alarm Securing and Restoration</t>
  </si>
  <si>
    <t>Move and Reset Equipment and/or Furnishings (over 100 lbs)</t>
  </si>
  <si>
    <t>Abrasive Blasting of Painted Surfaces Incorporating Special Environmental Handling Procedures:</t>
  </si>
  <si>
    <t>Abrasive Blasting Utilizing Isolated "Wet Spray" Dust Containment - (No Enclosure):</t>
  </si>
  <si>
    <t>Sand Blast Wet</t>
  </si>
  <si>
    <t>Sand Blast Dry</t>
  </si>
  <si>
    <t>Cleaning- Water Blast</t>
  </si>
  <si>
    <t>Cleaning- Brush and Blast</t>
  </si>
  <si>
    <t>Pressure / Chemical Cleaning</t>
  </si>
  <si>
    <t>Water Collection, Testing, and Storm Sewer disposal</t>
  </si>
  <si>
    <t>Gal</t>
  </si>
  <si>
    <t>Water Collection, Filtration, and Sanitary Sewer Disposal. The average rate of water used is .1 Gal/SF (Total SF x 10%)/ Rinse.</t>
  </si>
  <si>
    <t>GAL</t>
  </si>
  <si>
    <t>Surface Protection (Other)</t>
  </si>
  <si>
    <t>Lead Contamination Testing Soils</t>
  </si>
  <si>
    <t>Lead Paint Containment and Disposal</t>
  </si>
  <si>
    <t>Lead Paint Encapsulation</t>
  </si>
  <si>
    <t>Asbestos Abatement Window Putty</t>
  </si>
  <si>
    <t>Asbestos Encapsulation Sheathing</t>
  </si>
  <si>
    <t>Asbestos Removal - Calking and Sealants</t>
  </si>
  <si>
    <t>Asbestos/ Mold Containment and Disposal</t>
  </si>
  <si>
    <t>TCLP Sampling</t>
  </si>
  <si>
    <t>Toxicity Characteristic Leaching Procedure Review Existing Documents, Surveys and reports. Conduct a good faith survey of, the project.</t>
  </si>
  <si>
    <t>Lead &amp; Asbestos/Mold Work Plan Certified Industrial Hygienist, (CIP) prepare and review of work plan for compliance and worker safety</t>
  </si>
  <si>
    <t xml:space="preserve">EA </t>
  </si>
  <si>
    <t>Exposure Assessment Sample and provide reports of worker hazardous exposure for compliance and worker safety</t>
  </si>
  <si>
    <t>Mold remediation air test</t>
  </si>
  <si>
    <t>Pre-cleaning mold contaminated, flat surfaces, HEPA vacuum &amp; wet wipe</t>
  </si>
  <si>
    <t>Mold containment with negative air machine</t>
  </si>
  <si>
    <t>Containment area, doff, bag and seal protective sheeting</t>
  </si>
  <si>
    <t>Remove/Replace Interior Door &amp; Hardware (Labor Only)</t>
  </si>
  <si>
    <t>Provide Interior Wood Solid Core Door to 3/0x7/0 (Prepped to match existing) Paint Grade</t>
  </si>
  <si>
    <t>LEAF</t>
  </si>
  <si>
    <t>Provide Interior Wood Hollow Core Door to 3/0x7/0 (Prepped to match existing) Paint Grade</t>
  </si>
  <si>
    <t>Remove/Replace Exterior Door &amp; Hardware (Labor Only)</t>
  </si>
  <si>
    <t>Provide Exterior Wood Solid Core Door to 3/0x7/0 (Prepped to match existing) Paint Grade</t>
  </si>
  <si>
    <t>Provide Exterior Insulated Metal Door to 3/0x7/0 (Prepped to match existing) Paint Grade</t>
  </si>
  <si>
    <t>Replace window glazing (single pane)</t>
  </si>
  <si>
    <t>Replace window glazing (Insulated Unit)</t>
  </si>
  <si>
    <t>Reputty Window</t>
  </si>
  <si>
    <t>Exterior Surfaces</t>
  </si>
  <si>
    <t>Interior Surfaces</t>
  </si>
  <si>
    <t>Industrial Floor Coatings</t>
  </si>
  <si>
    <t>Miscellaneous Repair, Environmental Testing, Work Site Containment</t>
  </si>
  <si>
    <t>Personnel Lifts and Other Support Equipment</t>
  </si>
  <si>
    <t>Abrasive Blasting - Paint Removal - Pressure Washing</t>
  </si>
  <si>
    <t>Abatement</t>
  </si>
  <si>
    <t>Miscellaneous Door and Window Repair</t>
  </si>
  <si>
    <t>Base Year Unit Price</t>
  </si>
  <si>
    <t>Unit</t>
  </si>
  <si>
    <t>Description</t>
  </si>
  <si>
    <t>Bid Item</t>
  </si>
  <si>
    <t>Blocking Primer for Distinctive Color Change</t>
  </si>
  <si>
    <t>Athletic Floor Recoat: Prepare Existing Floor Finish and Apply 2 Coats of New Finish</t>
  </si>
  <si>
    <t>Industrial Flooring: Surface Preparation in accordance with UFC 3-190-06, Chap 2</t>
  </si>
  <si>
    <t>Industrial Flooring: Supplemental Surface Preparation  in accordance with UFC 3-190-06 Chap 2 as it pertains to mechanized means of top coat removal</t>
  </si>
  <si>
    <t>Industrial Flooring: Crack &amp; Joint Repair in accordance with UFC 3-190-06, Chap 2-2.1, including mechanically cleaning and filling all cracks, gouges, and small spalls along joint edges with epoxy crack filler</t>
  </si>
  <si>
    <t xml:space="preserve">Industrial Flooring: Treatment of Existing Sealant Joints per UFGS 07 92 00, paragraphs 2.4-2.7 (Over-Cutting Existing Sealant Joints): </t>
  </si>
  <si>
    <t xml:space="preserve">Industrial Flooring: Treatment of Existing Sealant Joints per UFGS 07 92 00, paragrpahs 2.4-2.7 (Complete Sealant Joint Replacement): </t>
  </si>
  <si>
    <t>Industrial Flooring: Application of Chemical-Resistant Urethane per UFGS 09 67 23.15 (includes Primer, Build-Coat, and/or Top Coat: 3-Coat system)</t>
  </si>
  <si>
    <t>Industrial Flooring: Application of Chemical-Resistant Urethane per UFGS 09 67 23.15 (includes Primer, Build-Coat, and/or Top Coat: 5-coat system for Aircraft maintenance hangars)</t>
  </si>
  <si>
    <t>Industrial Flooring Moisture Mitigation System (Base coat slab on grade)</t>
  </si>
  <si>
    <t>Historic Wood Trim Replacement</t>
  </si>
  <si>
    <t>PC for Interior Wood Trim Surfaces: Doors, Door Trim, Window Trim, Cabinets, Baseboards, Etc.: (Complete-putty, prep, prime and topcoats)</t>
  </si>
  <si>
    <t>Special Interior/Exterior Epoxy Paint for Symbols/Graphics on Asphalt or Uncoated Concrete Floor Surfaces</t>
  </si>
  <si>
    <t>SF/MONTH</t>
  </si>
  <si>
    <t>Interior Platform Scaffolding (Floor Area x Height) Per Month</t>
  </si>
  <si>
    <t>CF/MONTH</t>
  </si>
  <si>
    <t>Water Containment &amp; Collection System/Linear Foot (Up to 20 feet wide)</t>
  </si>
  <si>
    <t>Lead Paint Sampling and Testing Report (Including paint, flooring, and mastic/adhesive)</t>
  </si>
  <si>
    <t>Asbestos Sampling and Testint Report (Including paint, flooring, and mastic/adhesive)</t>
  </si>
  <si>
    <t>Asbestos Siding Removal</t>
  </si>
  <si>
    <t>Replace Historic District Wood Window Sash w/Hardware</t>
  </si>
  <si>
    <t>Replace Historic District Wood Window Sash w/Weather Striping</t>
  </si>
  <si>
    <t>Provide Interior Wall Corner Protectors (4 foot strips)</t>
  </si>
  <si>
    <t>Provide and Replace Wall Cove Base (up to 5" tall strips)</t>
  </si>
  <si>
    <t>W911S8-25-X-XXXX</t>
  </si>
  <si>
    <t>Estimated 5-Year Quantity</t>
  </si>
  <si>
    <t>5-Year Total Estimated Price</t>
  </si>
  <si>
    <t>Extended
Line Item Prices</t>
  </si>
  <si>
    <t xml:space="preserve">
**NOTE** Quantity is reflective of the estimated quantity for a (5) five year ordering period.  Pricing will be evaluated by the sum total of Cells G5:G153 in cell G154.  At the time of award, this Bid Schedule will be incorporated as Technical Exhibit 1 - Price List.  All quantities will be reduced and pricing will be reflective of one each per bid item.
</t>
  </si>
  <si>
    <t>TE-01 Price List
(Revision 2 Revised 2025-07-11)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</si>
</sst>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###0;###0"/>
    <numFmt numFmtId="166" formatCode="_([$$-409]* #,##0.00_);_([$$-409]* \(#,##0.00\);_([$$-409]* &quot;-&quot;??_);_(@_)"/>
    <numFmt numFmtId="167" formatCode="&quot;$&quot;#,##0.00"/>
    <numFmt numFmtId="168" formatCode="_(* #,##0_);_(* \(#,##0\);_(* &quot;-&quot;??_);_(@_)"/>
  </numFmts>
  <fonts count="12" x14ac:knownFonts="1">
    <font>
      <sz val="12"/>
      <name val="Helv"/>
    </font>
    <font>
      <sz val="10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8"/>
      <name val="Helv"/>
    </font>
    <font>
      <sz val="9"/>
      <name val="Arial"/>
      <family val="2"/>
    </font>
    <font>
      <b/>
      <sz val="9"/>
      <name val="Arial"/>
      <family val="2"/>
    </font>
    <font>
      <sz val="12"/>
      <name val="Helv"/>
    </font>
    <font>
      <b/>
      <sz val="12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Helv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164" fontId="0" fillId="0" borderId="0"/>
    <xf numFmtId="44" fontId="1" fillId="0" borderId="0" applyFont="0" applyFill="0" applyBorder="0" applyAlignment="0" applyProtection="0"/>
    <xf numFmtId="166" fontId="1" fillId="0" borderId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49">
    <xf numFmtId="164" fontId="0" fillId="0" borderId="0" xfId="0"/>
    <xf numFmtId="0" fontId="0" fillId="2" borderId="0" xfId="0" applyNumberForma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center" vertical="center" wrapText="1"/>
    </xf>
    <xf numFmtId="166" fontId="2" fillId="0" borderId="2" xfId="2" applyFont="1" applyBorder="1" applyAlignment="1">
      <alignment horizontal="center" vertical="center"/>
    </xf>
    <xf numFmtId="166" fontId="2" fillId="0" borderId="2" xfId="2" applyFont="1" applyBorder="1" applyAlignment="1">
      <alignment horizontal="left" vertical="center" wrapText="1"/>
    </xf>
    <xf numFmtId="166" fontId="2" fillId="0" borderId="2" xfId="2" applyFont="1" applyFill="1" applyBorder="1" applyAlignment="1">
      <alignment horizontal="left" vertical="center" wrapText="1"/>
    </xf>
    <xf numFmtId="166" fontId="2" fillId="0" borderId="2" xfId="2" applyFont="1" applyBorder="1" applyAlignment="1">
      <alignment horizontal="center" vertical="center" wrapText="1"/>
    </xf>
    <xf numFmtId="166" fontId="2" fillId="0" borderId="2" xfId="2" applyFont="1" applyFill="1" applyBorder="1" applyAlignment="1">
      <alignment horizontal="center" vertical="center" wrapText="1"/>
    </xf>
    <xf numFmtId="3" fontId="2" fillId="0" borderId="2" xfId="2" applyNumberFormat="1" applyFont="1" applyFill="1" applyBorder="1" applyAlignment="1">
      <alignment horizontal="center" vertical="center" wrapText="1"/>
    </xf>
    <xf numFmtId="3" fontId="2" fillId="0" borderId="2" xfId="2" applyNumberFormat="1" applyFont="1" applyBorder="1" applyAlignment="1">
      <alignment horizontal="center" vertical="center" wrapText="1"/>
    </xf>
    <xf numFmtId="0" fontId="0" fillId="2" borderId="0" xfId="0" applyNumberFormat="1" applyFill="1" applyBorder="1" applyAlignment="1">
      <alignment horizontal="left" vertical="center"/>
    </xf>
    <xf numFmtId="167" fontId="5" fillId="2" borderId="2" xfId="0" applyNumberFormat="1" applyFont="1" applyFill="1" applyBorder="1" applyAlignment="1">
      <alignment horizontal="center" vertical="center"/>
    </xf>
    <xf numFmtId="165" fontId="3" fillId="2" borderId="3" xfId="0" applyNumberFormat="1" applyFont="1" applyFill="1" applyBorder="1" applyAlignment="1">
      <alignment horizontal="center" vertical="center" wrapText="1"/>
    </xf>
    <xf numFmtId="166" fontId="2" fillId="0" borderId="4" xfId="2" applyFont="1" applyBorder="1" applyAlignment="1">
      <alignment horizontal="left" vertical="center" wrapText="1"/>
    </xf>
    <xf numFmtId="166" fontId="2" fillId="0" borderId="4" xfId="2" applyFont="1" applyBorder="1" applyAlignment="1">
      <alignment horizontal="center" vertical="center" wrapText="1"/>
    </xf>
    <xf numFmtId="167" fontId="5" fillId="2" borderId="4" xfId="0" applyNumberFormat="1" applyFont="1" applyFill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8" fontId="5" fillId="2" borderId="2" xfId="4" applyNumberFormat="1" applyFont="1" applyFill="1" applyBorder="1" applyAlignment="1">
      <alignment horizontal="center" vertical="center"/>
    </xf>
    <xf numFmtId="0" fontId="6" fillId="2" borderId="2" xfId="0" applyNumberFormat="1" applyFont="1" applyFill="1" applyBorder="1" applyAlignment="1">
      <alignment horizontal="center" vertical="center" wrapText="1"/>
    </xf>
    <xf numFmtId="167" fontId="6" fillId="2" borderId="2" xfId="1" applyNumberFormat="1" applyFont="1" applyFill="1" applyBorder="1" applyAlignment="1">
      <alignment horizontal="center" vertical="center" wrapText="1"/>
    </xf>
    <xf numFmtId="165" fontId="3" fillId="2" borderId="5" xfId="0" applyNumberFormat="1" applyFont="1" applyFill="1" applyBorder="1" applyAlignment="1">
      <alignment horizontal="center" vertical="center" wrapText="1"/>
    </xf>
    <xf numFmtId="166" fontId="2" fillId="0" borderId="6" xfId="2" applyFont="1" applyBorder="1" applyAlignment="1">
      <alignment horizontal="left" vertical="center"/>
    </xf>
    <xf numFmtId="168" fontId="5" fillId="2" borderId="6" xfId="4" applyNumberFormat="1" applyFont="1" applyFill="1" applyBorder="1" applyAlignment="1">
      <alignment horizontal="center" vertical="center"/>
    </xf>
    <xf numFmtId="166" fontId="2" fillId="0" borderId="6" xfId="2" applyFont="1" applyBorder="1" applyAlignment="1">
      <alignment horizontal="center" vertical="center"/>
    </xf>
    <xf numFmtId="167" fontId="5" fillId="2" borderId="6" xfId="0" applyNumberFormat="1" applyFont="1" applyFill="1" applyBorder="1" applyAlignment="1">
      <alignment horizontal="center" vertical="center"/>
    </xf>
    <xf numFmtId="168" fontId="5" fillId="2" borderId="4" xfId="4" applyNumberFormat="1" applyFont="1" applyFill="1" applyBorder="1" applyAlignment="1">
      <alignment horizontal="center" vertical="center"/>
    </xf>
    <xf numFmtId="165" fontId="3" fillId="0" borderId="3" xfId="0" applyNumberFormat="1" applyFont="1" applyFill="1" applyBorder="1" applyAlignment="1">
      <alignment horizontal="center" vertical="center" wrapText="1"/>
    </xf>
    <xf numFmtId="166" fontId="2" fillId="0" borderId="4" xfId="2" applyFont="1" applyFill="1" applyBorder="1" applyAlignment="1">
      <alignment horizontal="left" vertical="center" wrapText="1"/>
    </xf>
    <xf numFmtId="166" fontId="2" fillId="0" borderId="4" xfId="2" applyFont="1" applyFill="1" applyBorder="1" applyAlignment="1">
      <alignment horizontal="center" vertical="center" wrapText="1"/>
    </xf>
    <xf numFmtId="166" fontId="2" fillId="0" borderId="6" xfId="2" applyFont="1" applyBorder="1" applyAlignment="1">
      <alignment horizontal="left" vertical="center" wrapText="1"/>
    </xf>
    <xf numFmtId="3" fontId="2" fillId="0" borderId="4" xfId="2" applyNumberFormat="1" applyFont="1" applyFill="1" applyBorder="1" applyAlignment="1">
      <alignment horizontal="center" vertical="center" wrapText="1"/>
    </xf>
    <xf numFmtId="3" fontId="2" fillId="0" borderId="6" xfId="2" applyNumberFormat="1" applyFont="1" applyBorder="1" applyAlignment="1">
      <alignment horizontal="center" vertical="center" wrapText="1"/>
    </xf>
    <xf numFmtId="166" fontId="2" fillId="0" borderId="6" xfId="2" applyFont="1" applyFill="1" applyBorder="1" applyAlignment="1">
      <alignment horizontal="left" vertical="center" wrapText="1"/>
    </xf>
    <xf numFmtId="166" fontId="2" fillId="0" borderId="6" xfId="2" applyFont="1" applyFill="1" applyBorder="1" applyAlignment="1">
      <alignment horizontal="center" vertical="center" wrapText="1"/>
    </xf>
    <xf numFmtId="166" fontId="2" fillId="0" borderId="4" xfId="2" applyFont="1" applyFill="1" applyBorder="1" applyAlignment="1">
      <alignment horizontal="center" vertical="center"/>
    </xf>
    <xf numFmtId="166" fontId="2" fillId="0" borderId="6" xfId="2" applyFont="1" applyBorder="1" applyAlignment="1">
      <alignment horizontal="center" vertical="center" wrapText="1"/>
    </xf>
    <xf numFmtId="167" fontId="5" fillId="2" borderId="6" xfId="1" applyNumberFormat="1" applyFont="1" applyFill="1" applyBorder="1" applyAlignment="1" applyProtection="1">
      <alignment horizontal="center" vertical="center"/>
      <protection locked="0"/>
    </xf>
    <xf numFmtId="167" fontId="5" fillId="2" borderId="2" xfId="1" applyNumberFormat="1" applyFont="1" applyFill="1" applyBorder="1" applyAlignment="1" applyProtection="1">
      <alignment horizontal="center" vertical="center"/>
      <protection locked="0"/>
    </xf>
    <xf numFmtId="167" fontId="5" fillId="2" borderId="4" xfId="1" applyNumberFormat="1" applyFont="1" applyFill="1" applyBorder="1" applyAlignment="1" applyProtection="1">
      <alignment horizontal="center" vertical="center"/>
      <protection locked="0"/>
    </xf>
    <xf numFmtId="44" fontId="5" fillId="2" borderId="6" xfId="1" applyFont="1" applyFill="1" applyBorder="1" applyAlignment="1" applyProtection="1">
      <alignment horizontal="center" vertical="center"/>
      <protection locked="0"/>
    </xf>
    <xf numFmtId="44" fontId="5" fillId="2" borderId="2" xfId="1" applyFont="1" applyFill="1" applyBorder="1" applyAlignment="1" applyProtection="1">
      <alignment horizontal="center" vertical="center"/>
      <protection locked="0"/>
    </xf>
    <xf numFmtId="44" fontId="5" fillId="2" borderId="4" xfId="1" applyFont="1" applyFill="1" applyBorder="1" applyAlignment="1" applyProtection="1">
      <alignment horizontal="center" vertical="center"/>
      <protection locked="0"/>
    </xf>
    <xf numFmtId="164" fontId="11" fillId="4" borderId="2" xfId="0" applyFont="1" applyFill="1" applyBorder="1" applyAlignment="1">
      <alignment horizontal="left" vertical="center" wrapText="1"/>
    </xf>
    <xf numFmtId="164" fontId="8" fillId="3" borderId="2" xfId="0" applyFont="1" applyFill="1" applyBorder="1" applyAlignment="1">
      <alignment horizontal="center" vertical="center"/>
    </xf>
    <xf numFmtId="166" fontId="8" fillId="0" borderId="2" xfId="2" applyFont="1" applyBorder="1" applyAlignment="1">
      <alignment horizontal="center" vertical="center" wrapText="1"/>
    </xf>
    <xf numFmtId="166" fontId="8" fillId="0" borderId="2" xfId="2" applyFont="1" applyBorder="1" applyAlignment="1">
      <alignment horizontal="center" vertical="center"/>
    </xf>
    <xf numFmtId="0" fontId="6" fillId="3" borderId="2" xfId="0" applyNumberFormat="1" applyFont="1" applyFill="1" applyBorder="1" applyAlignment="1">
      <alignment horizontal="left" vertical="center" wrapText="1"/>
    </xf>
    <xf numFmtId="165" fontId="9" fillId="3" borderId="2" xfId="0" applyNumberFormat="1" applyFont="1" applyFill="1" applyBorder="1" applyAlignment="1">
      <alignment horizontal="left" vertical="center" wrapText="1"/>
    </xf>
    <xf numFmtId="165" fontId="9" fillId="3" borderId="2" xfId="0" applyNumberFormat="1" applyFont="1" applyFill="1" applyBorder="1" applyAlignment="1">
      <alignment horizontal="right" vertical="center" wrapText="1"/>
    </xf>
  </cellXfs>
  <cellStyles count="5">
    <cellStyle name="Comma" xfId="4" builtinId="3"/>
    <cellStyle name="Currency" xfId="1" builtinId="4"/>
    <cellStyle name="Currency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156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5" sqref="F5"/>
    </sheetView>
  </sheetViews>
  <sheetFormatPr defaultColWidth="8.88671875" defaultRowHeight="15.75" x14ac:dyDescent="0.25"/>
  <cols>
    <col min="1" max="1" width="3.21875" style="1" customWidth="1"/>
    <col min="2" max="2" width="9.88671875" style="1" customWidth="1"/>
    <col min="3" max="3" width="36.44140625" style="10" customWidth="1"/>
    <col min="4" max="4" width="11.33203125" style="10" customWidth="1"/>
    <col min="5" max="5" width="8.44140625" style="10" customWidth="1"/>
    <col min="6" max="6" width="8.88671875" style="1"/>
    <col min="7" max="7" width="12.6640625" style="1" bestFit="1" customWidth="1"/>
    <col min="8" max="16384" width="8.88671875" style="1"/>
  </cols>
  <sheetData>
    <row r="1" spans="2:7" ht="32.1" customHeight="1" x14ac:dyDescent="0.25">
      <c r="B1" s="44" t="s">
        <v>172</v>
      </c>
      <c r="C1" s="45"/>
      <c r="D1" s="45"/>
      <c r="E1" s="45"/>
      <c r="F1" s="45"/>
      <c r="G1" s="45"/>
    </row>
    <row r="2" spans="2:7" ht="32.1" customHeight="1" x14ac:dyDescent="0.25">
      <c r="B2" s="43" t="s">
        <v>167</v>
      </c>
      <c r="C2" s="43"/>
      <c r="D2" s="43"/>
      <c r="E2" s="43"/>
      <c r="F2" s="43"/>
      <c r="G2" s="43"/>
    </row>
    <row r="3" spans="2:7" ht="24" x14ac:dyDescent="0.25">
      <c r="B3" s="18" t="s">
        <v>142</v>
      </c>
      <c r="C3" s="18" t="s">
        <v>141</v>
      </c>
      <c r="D3" s="18" t="s">
        <v>168</v>
      </c>
      <c r="E3" s="18" t="s">
        <v>140</v>
      </c>
      <c r="F3" s="19" t="s">
        <v>139</v>
      </c>
      <c r="G3" s="19" t="s">
        <v>170</v>
      </c>
    </row>
    <row r="4" spans="2:7" ht="15.75" customHeight="1" x14ac:dyDescent="0.25">
      <c r="B4" s="46" t="s">
        <v>131</v>
      </c>
      <c r="C4" s="46"/>
      <c r="D4" s="46"/>
      <c r="E4" s="46"/>
      <c r="F4" s="46"/>
      <c r="G4" s="46"/>
    </row>
    <row r="5" spans="2:7" ht="32.1" customHeight="1" x14ac:dyDescent="0.25">
      <c r="B5" s="20">
        <v>1</v>
      </c>
      <c r="C5" s="21" t="s">
        <v>0</v>
      </c>
      <c r="D5" s="22">
        <v>1254851.7117543814</v>
      </c>
      <c r="E5" s="23" t="s">
        <v>1</v>
      </c>
      <c r="F5" s="39"/>
      <c r="G5" s="24">
        <f>D5*F5</f>
        <v>0</v>
      </c>
    </row>
    <row r="6" spans="2:7" ht="32.1" customHeight="1" x14ac:dyDescent="0.25">
      <c r="B6" s="2">
        <v>2</v>
      </c>
      <c r="C6" s="4" t="s">
        <v>2</v>
      </c>
      <c r="D6" s="17">
        <v>250970.34235087631</v>
      </c>
      <c r="E6" s="3" t="s">
        <v>1</v>
      </c>
      <c r="F6" s="40"/>
      <c r="G6" s="11">
        <f>D6*F6</f>
        <v>0</v>
      </c>
    </row>
    <row r="7" spans="2:7" ht="32.1" customHeight="1" x14ac:dyDescent="0.25">
      <c r="B7" s="2">
        <v>3</v>
      </c>
      <c r="C7" s="4" t="s">
        <v>3</v>
      </c>
      <c r="D7" s="17">
        <v>135523.98486947321</v>
      </c>
      <c r="E7" s="3" t="s">
        <v>1</v>
      </c>
      <c r="F7" s="40"/>
      <c r="G7" s="11">
        <f t="shared" ref="G7:G74" si="0">D7*F7</f>
        <v>0</v>
      </c>
    </row>
    <row r="8" spans="2:7" ht="32.1" customHeight="1" x14ac:dyDescent="0.25">
      <c r="B8" s="2">
        <v>4</v>
      </c>
      <c r="C8" s="4" t="s">
        <v>4</v>
      </c>
      <c r="D8" s="17">
        <v>476843.65046666493</v>
      </c>
      <c r="E8" s="3" t="s">
        <v>1</v>
      </c>
      <c r="F8" s="40"/>
      <c r="G8" s="11">
        <f t="shared" si="0"/>
        <v>0</v>
      </c>
    </row>
    <row r="9" spans="2:7" ht="32.1" customHeight="1" x14ac:dyDescent="0.25">
      <c r="B9" s="2">
        <v>5</v>
      </c>
      <c r="C9" s="4" t="s">
        <v>5</v>
      </c>
      <c r="D9" s="17">
        <v>1129366.5405789434</v>
      </c>
      <c r="E9" s="3" t="s">
        <v>1</v>
      </c>
      <c r="F9" s="40"/>
      <c r="G9" s="11">
        <f t="shared" si="0"/>
        <v>0</v>
      </c>
    </row>
    <row r="10" spans="2:7" ht="32.1" customHeight="1" x14ac:dyDescent="0.25">
      <c r="B10" s="2">
        <v>6</v>
      </c>
      <c r="C10" s="4" t="s">
        <v>6</v>
      </c>
      <c r="D10" s="17">
        <v>250970.34235087631</v>
      </c>
      <c r="E10" s="3" t="s">
        <v>1</v>
      </c>
      <c r="F10" s="40"/>
      <c r="G10" s="11">
        <f t="shared" si="0"/>
        <v>0</v>
      </c>
    </row>
    <row r="11" spans="2:7" ht="32.1" customHeight="1" x14ac:dyDescent="0.25">
      <c r="B11" s="2">
        <v>7</v>
      </c>
      <c r="C11" s="4" t="s">
        <v>7</v>
      </c>
      <c r="D11" s="17">
        <v>1505822.0541052576</v>
      </c>
      <c r="E11" s="3" t="s">
        <v>1</v>
      </c>
      <c r="F11" s="40"/>
      <c r="G11" s="11">
        <f t="shared" si="0"/>
        <v>0</v>
      </c>
    </row>
    <row r="12" spans="2:7" ht="32.1" customHeight="1" x14ac:dyDescent="0.25">
      <c r="B12" s="2">
        <v>8</v>
      </c>
      <c r="C12" s="4" t="s">
        <v>8</v>
      </c>
      <c r="D12" s="17">
        <v>351358.47929122683</v>
      </c>
      <c r="E12" s="3" t="s">
        <v>1</v>
      </c>
      <c r="F12" s="40"/>
      <c r="G12" s="11">
        <f t="shared" si="0"/>
        <v>0</v>
      </c>
    </row>
    <row r="13" spans="2:7" ht="32.1" customHeight="1" x14ac:dyDescent="0.25">
      <c r="B13" s="2">
        <v>9</v>
      </c>
      <c r="C13" s="4" t="s">
        <v>9</v>
      </c>
      <c r="D13" s="17">
        <v>376455.5135263144</v>
      </c>
      <c r="E13" s="3" t="s">
        <v>1</v>
      </c>
      <c r="F13" s="40"/>
      <c r="G13" s="11">
        <f t="shared" si="0"/>
        <v>0</v>
      </c>
    </row>
    <row r="14" spans="2:7" ht="32.1" customHeight="1" x14ac:dyDescent="0.25">
      <c r="B14" s="2">
        <v>10</v>
      </c>
      <c r="C14" s="4" t="s">
        <v>10</v>
      </c>
      <c r="D14" s="17">
        <v>752911.02705262881</v>
      </c>
      <c r="E14" s="3" t="s">
        <v>1</v>
      </c>
      <c r="F14" s="40"/>
      <c r="G14" s="11">
        <f t="shared" si="0"/>
        <v>0</v>
      </c>
    </row>
    <row r="15" spans="2:7" ht="32.1" customHeight="1" x14ac:dyDescent="0.25">
      <c r="B15" s="2">
        <v>11</v>
      </c>
      <c r="C15" s="4" t="s">
        <v>11</v>
      </c>
      <c r="D15" s="17">
        <v>75291.102705262892</v>
      </c>
      <c r="E15" s="3" t="s">
        <v>1</v>
      </c>
      <c r="F15" s="40"/>
      <c r="G15" s="11">
        <f t="shared" si="0"/>
        <v>0</v>
      </c>
    </row>
    <row r="16" spans="2:7" ht="32.1" customHeight="1" x14ac:dyDescent="0.25">
      <c r="B16" s="2">
        <v>12</v>
      </c>
      <c r="C16" s="4" t="s">
        <v>12</v>
      </c>
      <c r="D16" s="17">
        <v>25097.034235087631</v>
      </c>
      <c r="E16" s="3" t="s">
        <v>1</v>
      </c>
      <c r="F16" s="40"/>
      <c r="G16" s="11">
        <f t="shared" si="0"/>
        <v>0</v>
      </c>
    </row>
    <row r="17" spans="2:7" ht="32.1" customHeight="1" x14ac:dyDescent="0.25">
      <c r="B17" s="2">
        <v>13</v>
      </c>
      <c r="C17" s="4" t="s">
        <v>143</v>
      </c>
      <c r="D17" s="17">
        <v>13393.320924860796</v>
      </c>
      <c r="E17" s="3" t="s">
        <v>1</v>
      </c>
      <c r="F17" s="40"/>
      <c r="G17" s="11">
        <f t="shared" si="0"/>
        <v>0</v>
      </c>
    </row>
    <row r="18" spans="2:7" ht="32.1" customHeight="1" x14ac:dyDescent="0.25">
      <c r="B18" s="2">
        <v>14</v>
      </c>
      <c r="C18" s="4" t="s">
        <v>13</v>
      </c>
      <c r="D18" s="17">
        <v>10038.813694035052</v>
      </c>
      <c r="E18" s="3" t="s">
        <v>1</v>
      </c>
      <c r="F18" s="40"/>
      <c r="G18" s="11">
        <f t="shared" si="0"/>
        <v>0</v>
      </c>
    </row>
    <row r="19" spans="2:7" ht="32.1" customHeight="1" x14ac:dyDescent="0.25">
      <c r="B19" s="2">
        <v>15</v>
      </c>
      <c r="C19" s="4" t="s">
        <v>14</v>
      </c>
      <c r="D19" s="17">
        <v>10038.813694035052</v>
      </c>
      <c r="E19" s="3" t="s">
        <v>1</v>
      </c>
      <c r="F19" s="40"/>
      <c r="G19" s="11">
        <f t="shared" si="0"/>
        <v>0</v>
      </c>
    </row>
    <row r="20" spans="2:7" ht="32.1" customHeight="1" x14ac:dyDescent="0.25">
      <c r="B20" s="2">
        <v>16</v>
      </c>
      <c r="C20" s="4" t="s">
        <v>15</v>
      </c>
      <c r="D20" s="17">
        <v>250970.34235087631</v>
      </c>
      <c r="E20" s="3" t="s">
        <v>1</v>
      </c>
      <c r="F20" s="40"/>
      <c r="G20" s="11">
        <f t="shared" si="0"/>
        <v>0</v>
      </c>
    </row>
    <row r="21" spans="2:7" ht="32.1" customHeight="1" x14ac:dyDescent="0.25">
      <c r="B21" s="2">
        <v>17</v>
      </c>
      <c r="C21" s="4" t="s">
        <v>16</v>
      </c>
      <c r="D21" s="17">
        <v>501940.68470175262</v>
      </c>
      <c r="E21" s="3" t="s">
        <v>1</v>
      </c>
      <c r="F21" s="40"/>
      <c r="G21" s="11">
        <f t="shared" si="0"/>
        <v>0</v>
      </c>
    </row>
    <row r="22" spans="2:7" ht="32.1" customHeight="1" x14ac:dyDescent="0.25">
      <c r="B22" s="2">
        <v>18</v>
      </c>
      <c r="C22" s="5" t="s">
        <v>17</v>
      </c>
      <c r="D22" s="17">
        <v>627425.85587719071</v>
      </c>
      <c r="E22" s="3" t="s">
        <v>1</v>
      </c>
      <c r="F22" s="40"/>
      <c r="G22" s="11">
        <f t="shared" si="0"/>
        <v>0</v>
      </c>
    </row>
    <row r="23" spans="2:7" ht="32.1" customHeight="1" x14ac:dyDescent="0.25">
      <c r="B23" s="2">
        <v>19</v>
      </c>
      <c r="C23" s="5" t="s">
        <v>18</v>
      </c>
      <c r="D23" s="17">
        <v>1254851.7117543814</v>
      </c>
      <c r="E23" s="3" t="s">
        <v>1</v>
      </c>
      <c r="F23" s="40"/>
      <c r="G23" s="11">
        <f t="shared" si="0"/>
        <v>0</v>
      </c>
    </row>
    <row r="24" spans="2:7" ht="32.1" customHeight="1" x14ac:dyDescent="0.25">
      <c r="B24" s="2">
        <v>20</v>
      </c>
      <c r="C24" s="4" t="s">
        <v>19</v>
      </c>
      <c r="D24" s="17">
        <v>25097.034235087631</v>
      </c>
      <c r="E24" s="3" t="s">
        <v>1</v>
      </c>
      <c r="F24" s="40"/>
      <c r="G24" s="11">
        <f t="shared" si="0"/>
        <v>0</v>
      </c>
    </row>
    <row r="25" spans="2:7" ht="32.1" customHeight="1" x14ac:dyDescent="0.25">
      <c r="B25" s="2">
        <v>21</v>
      </c>
      <c r="C25" s="4" t="s">
        <v>20</v>
      </c>
      <c r="D25" s="17">
        <v>150582.20541052578</v>
      </c>
      <c r="E25" s="3" t="s">
        <v>21</v>
      </c>
      <c r="F25" s="40"/>
      <c r="G25" s="11">
        <f t="shared" si="0"/>
        <v>0</v>
      </c>
    </row>
    <row r="26" spans="2:7" ht="32.1" customHeight="1" x14ac:dyDescent="0.25">
      <c r="B26" s="2">
        <v>22</v>
      </c>
      <c r="C26" s="4" t="s">
        <v>22</v>
      </c>
      <c r="D26" s="17">
        <v>250.97034235087631</v>
      </c>
      <c r="E26" s="3" t="s">
        <v>23</v>
      </c>
      <c r="F26" s="40"/>
      <c r="G26" s="11">
        <f t="shared" si="0"/>
        <v>0</v>
      </c>
    </row>
    <row r="27" spans="2:7" ht="32.1" customHeight="1" x14ac:dyDescent="0.25">
      <c r="B27" s="2">
        <v>23</v>
      </c>
      <c r="C27" s="4" t="s">
        <v>24</v>
      </c>
      <c r="D27" s="17">
        <v>2509.7034235087631</v>
      </c>
      <c r="E27" s="3" t="s">
        <v>1</v>
      </c>
      <c r="F27" s="40"/>
      <c r="G27" s="11">
        <f t="shared" si="0"/>
        <v>0</v>
      </c>
    </row>
    <row r="28" spans="2:7" ht="32.1" customHeight="1" x14ac:dyDescent="0.25">
      <c r="B28" s="2">
        <v>24</v>
      </c>
      <c r="C28" s="5" t="s">
        <v>25</v>
      </c>
      <c r="D28" s="17">
        <v>1254851.7117543814</v>
      </c>
      <c r="E28" s="6" t="s">
        <v>1</v>
      </c>
      <c r="F28" s="40"/>
      <c r="G28" s="11">
        <f t="shared" si="0"/>
        <v>0</v>
      </c>
    </row>
    <row r="29" spans="2:7" ht="32.1" customHeight="1" x14ac:dyDescent="0.25">
      <c r="B29" s="2">
        <v>25</v>
      </c>
      <c r="C29" s="5" t="s">
        <v>26</v>
      </c>
      <c r="D29" s="17">
        <v>501940.68470175262</v>
      </c>
      <c r="E29" s="6" t="s">
        <v>1</v>
      </c>
      <c r="F29" s="40"/>
      <c r="G29" s="11">
        <f t="shared" si="0"/>
        <v>0</v>
      </c>
    </row>
    <row r="30" spans="2:7" ht="32.1" customHeight="1" x14ac:dyDescent="0.25">
      <c r="B30" s="2">
        <v>26</v>
      </c>
      <c r="C30" s="4" t="s">
        <v>27</v>
      </c>
      <c r="D30" s="17">
        <v>250970.34235087631</v>
      </c>
      <c r="E30" s="6" t="s">
        <v>21</v>
      </c>
      <c r="F30" s="40"/>
      <c r="G30" s="11">
        <f t="shared" si="0"/>
        <v>0</v>
      </c>
    </row>
    <row r="31" spans="2:7" ht="32.1" customHeight="1" x14ac:dyDescent="0.25">
      <c r="B31" s="2">
        <v>27</v>
      </c>
      <c r="C31" s="4" t="s">
        <v>28</v>
      </c>
      <c r="D31" s="17">
        <v>1003881.3694035052</v>
      </c>
      <c r="E31" s="6" t="s">
        <v>1</v>
      </c>
      <c r="F31" s="40"/>
      <c r="G31" s="11">
        <f t="shared" si="0"/>
        <v>0</v>
      </c>
    </row>
    <row r="32" spans="2:7" ht="32.1" customHeight="1" x14ac:dyDescent="0.25">
      <c r="B32" s="2">
        <v>28</v>
      </c>
      <c r="C32" s="4" t="s">
        <v>29</v>
      </c>
      <c r="D32" s="17">
        <v>20077.627388070105</v>
      </c>
      <c r="E32" s="6" t="s">
        <v>1</v>
      </c>
      <c r="F32" s="40"/>
      <c r="G32" s="11">
        <f t="shared" si="0"/>
        <v>0</v>
      </c>
    </row>
    <row r="33" spans="2:7" ht="32.1" customHeight="1" x14ac:dyDescent="0.25">
      <c r="B33" s="2">
        <v>29</v>
      </c>
      <c r="C33" s="4" t="s">
        <v>30</v>
      </c>
      <c r="D33" s="17">
        <v>5019.4068470175262</v>
      </c>
      <c r="E33" s="6" t="s">
        <v>31</v>
      </c>
      <c r="F33" s="40"/>
      <c r="G33" s="11">
        <f t="shared" si="0"/>
        <v>0</v>
      </c>
    </row>
    <row r="34" spans="2:7" ht="32.1" customHeight="1" x14ac:dyDescent="0.25">
      <c r="B34" s="2">
        <v>30</v>
      </c>
      <c r="C34" s="4" t="s">
        <v>32</v>
      </c>
      <c r="D34" s="17">
        <v>100388.13694035052</v>
      </c>
      <c r="E34" s="6" t="s">
        <v>1</v>
      </c>
      <c r="F34" s="40"/>
      <c r="G34" s="11">
        <f t="shared" si="0"/>
        <v>0</v>
      </c>
    </row>
    <row r="35" spans="2:7" ht="32.1" customHeight="1" x14ac:dyDescent="0.25">
      <c r="B35" s="2">
        <v>31</v>
      </c>
      <c r="C35" s="4" t="s">
        <v>153</v>
      </c>
      <c r="D35" s="17">
        <v>5357.3283699443182</v>
      </c>
      <c r="E35" s="6" t="s">
        <v>21</v>
      </c>
      <c r="F35" s="40"/>
      <c r="G35" s="11">
        <f t="shared" si="0"/>
        <v>0</v>
      </c>
    </row>
    <row r="36" spans="2:7" ht="32.1" customHeight="1" x14ac:dyDescent="0.25">
      <c r="B36" s="2">
        <v>32</v>
      </c>
      <c r="C36" s="4" t="s">
        <v>33</v>
      </c>
      <c r="D36" s="17">
        <v>25097.034235087631</v>
      </c>
      <c r="E36" s="6" t="s">
        <v>1</v>
      </c>
      <c r="F36" s="40"/>
      <c r="G36" s="11">
        <f t="shared" si="0"/>
        <v>0</v>
      </c>
    </row>
    <row r="37" spans="2:7" ht="32.1" customHeight="1" x14ac:dyDescent="0.25">
      <c r="B37" s="2">
        <v>33</v>
      </c>
      <c r="C37" s="4" t="s">
        <v>34</v>
      </c>
      <c r="D37" s="17">
        <v>25097.034235087631</v>
      </c>
      <c r="E37" s="6" t="s">
        <v>1</v>
      </c>
      <c r="F37" s="40"/>
      <c r="G37" s="11">
        <f t="shared" si="0"/>
        <v>0</v>
      </c>
    </row>
    <row r="38" spans="2:7" ht="32.1" customHeight="1" x14ac:dyDescent="0.25">
      <c r="B38" s="12">
        <v>34</v>
      </c>
      <c r="C38" s="13" t="s">
        <v>35</v>
      </c>
      <c r="D38" s="25">
        <v>25097.034235087631</v>
      </c>
      <c r="E38" s="14" t="s">
        <v>1</v>
      </c>
      <c r="F38" s="41"/>
      <c r="G38" s="15">
        <f t="shared" si="0"/>
        <v>0</v>
      </c>
    </row>
    <row r="39" spans="2:7" ht="15.75" customHeight="1" x14ac:dyDescent="0.25">
      <c r="B39" s="46" t="s">
        <v>132</v>
      </c>
      <c r="C39" s="46"/>
      <c r="D39" s="46"/>
      <c r="E39" s="46"/>
      <c r="F39" s="46"/>
      <c r="G39" s="46"/>
    </row>
    <row r="40" spans="2:7" ht="32.1" customHeight="1" x14ac:dyDescent="0.25">
      <c r="B40" s="20">
        <v>35</v>
      </c>
      <c r="C40" s="29" t="s">
        <v>36</v>
      </c>
      <c r="D40" s="22">
        <v>577231.78740701545</v>
      </c>
      <c r="E40" s="23" t="s">
        <v>1</v>
      </c>
      <c r="F40" s="36"/>
      <c r="G40" s="24">
        <f t="shared" si="0"/>
        <v>0</v>
      </c>
    </row>
    <row r="41" spans="2:7" ht="32.1" customHeight="1" x14ac:dyDescent="0.25">
      <c r="B41" s="2">
        <v>36</v>
      </c>
      <c r="C41" s="4" t="s">
        <v>37</v>
      </c>
      <c r="D41" s="17">
        <v>225873.30811578868</v>
      </c>
      <c r="E41" s="3" t="s">
        <v>1</v>
      </c>
      <c r="F41" s="37"/>
      <c r="G41" s="11">
        <f t="shared" si="0"/>
        <v>0</v>
      </c>
    </row>
    <row r="42" spans="2:7" ht="32.1" customHeight="1" x14ac:dyDescent="0.25">
      <c r="B42" s="2">
        <v>37</v>
      </c>
      <c r="C42" s="5" t="s">
        <v>38</v>
      </c>
      <c r="D42" s="17">
        <v>90349.323246315456</v>
      </c>
      <c r="E42" s="3" t="s">
        <v>1</v>
      </c>
      <c r="F42" s="37"/>
      <c r="G42" s="11">
        <f t="shared" si="0"/>
        <v>0</v>
      </c>
    </row>
    <row r="43" spans="2:7" ht="32.1" customHeight="1" x14ac:dyDescent="0.25">
      <c r="B43" s="2">
        <v>38</v>
      </c>
      <c r="C43" s="5" t="s">
        <v>154</v>
      </c>
      <c r="D43" s="17">
        <v>25097.034235087631</v>
      </c>
      <c r="E43" s="3" t="s">
        <v>1</v>
      </c>
      <c r="F43" s="37"/>
      <c r="G43" s="11">
        <f t="shared" si="0"/>
        <v>0</v>
      </c>
    </row>
    <row r="44" spans="2:7" ht="32.1" customHeight="1" x14ac:dyDescent="0.25">
      <c r="B44" s="2">
        <v>39</v>
      </c>
      <c r="C44" s="4" t="s">
        <v>39</v>
      </c>
      <c r="D44" s="17">
        <v>1254.8517117543815</v>
      </c>
      <c r="E44" s="3" t="s">
        <v>1</v>
      </c>
      <c r="F44" s="37"/>
      <c r="G44" s="11">
        <f t="shared" si="0"/>
        <v>0</v>
      </c>
    </row>
    <row r="45" spans="2:7" ht="32.1" customHeight="1" x14ac:dyDescent="0.25">
      <c r="B45" s="2">
        <v>40</v>
      </c>
      <c r="C45" s="4" t="s">
        <v>40</v>
      </c>
      <c r="D45" s="17">
        <v>13050.457802245566</v>
      </c>
      <c r="E45" s="3" t="s">
        <v>1</v>
      </c>
      <c r="F45" s="37"/>
      <c r="G45" s="11">
        <f t="shared" si="0"/>
        <v>0</v>
      </c>
    </row>
    <row r="46" spans="2:7" ht="32.1" customHeight="1" x14ac:dyDescent="0.25">
      <c r="B46" s="2">
        <v>41</v>
      </c>
      <c r="C46" s="4" t="s">
        <v>41</v>
      </c>
      <c r="D46" s="17">
        <v>5019.4068470175262</v>
      </c>
      <c r="E46" s="3" t="s">
        <v>1</v>
      </c>
      <c r="F46" s="37"/>
      <c r="G46" s="11">
        <f t="shared" si="0"/>
        <v>0</v>
      </c>
    </row>
    <row r="47" spans="2:7" ht="32.1" customHeight="1" x14ac:dyDescent="0.25">
      <c r="B47" s="2">
        <v>42</v>
      </c>
      <c r="C47" s="5" t="s">
        <v>42</v>
      </c>
      <c r="D47" s="17">
        <v>1505822.0541052576</v>
      </c>
      <c r="E47" s="3" t="s">
        <v>1</v>
      </c>
      <c r="F47" s="37"/>
      <c r="G47" s="11">
        <f t="shared" si="0"/>
        <v>0</v>
      </c>
    </row>
    <row r="48" spans="2:7" ht="32.1" customHeight="1" x14ac:dyDescent="0.25">
      <c r="B48" s="2">
        <v>43</v>
      </c>
      <c r="C48" s="4" t="s">
        <v>155</v>
      </c>
      <c r="D48" s="17">
        <v>2509.7034235087631</v>
      </c>
      <c r="E48" s="3" t="s">
        <v>1</v>
      </c>
      <c r="F48" s="37"/>
      <c r="G48" s="11">
        <f t="shared" si="0"/>
        <v>0</v>
      </c>
    </row>
    <row r="49" spans="2:7" ht="32.1" customHeight="1" x14ac:dyDescent="0.25">
      <c r="B49" s="2">
        <v>44</v>
      </c>
      <c r="C49" s="4" t="s">
        <v>43</v>
      </c>
      <c r="D49" s="17">
        <v>50194.068470175262</v>
      </c>
      <c r="E49" s="3" t="s">
        <v>1</v>
      </c>
      <c r="F49" s="37"/>
      <c r="G49" s="11">
        <f t="shared" si="0"/>
        <v>0</v>
      </c>
    </row>
    <row r="50" spans="2:7" ht="32.1" customHeight="1" x14ac:dyDescent="0.25">
      <c r="B50" s="2">
        <v>45</v>
      </c>
      <c r="C50" s="4" t="s">
        <v>44</v>
      </c>
      <c r="D50" s="17">
        <v>50.194068470175253</v>
      </c>
      <c r="E50" s="3" t="s">
        <v>45</v>
      </c>
      <c r="F50" s="37"/>
      <c r="G50" s="11">
        <f t="shared" si="0"/>
        <v>0</v>
      </c>
    </row>
    <row r="51" spans="2:7" ht="32.1" customHeight="1" x14ac:dyDescent="0.25">
      <c r="B51" s="2">
        <v>46</v>
      </c>
      <c r="C51" s="4" t="s">
        <v>46</v>
      </c>
      <c r="D51" s="17">
        <v>50194.068470175262</v>
      </c>
      <c r="E51" s="3" t="s">
        <v>1</v>
      </c>
      <c r="F51" s="37"/>
      <c r="G51" s="11">
        <f t="shared" si="0"/>
        <v>0</v>
      </c>
    </row>
    <row r="52" spans="2:7" ht="32.1" customHeight="1" x14ac:dyDescent="0.25">
      <c r="B52" s="2">
        <v>47</v>
      </c>
      <c r="C52" s="4" t="s">
        <v>144</v>
      </c>
      <c r="D52" s="17">
        <v>49555.287421984947</v>
      </c>
      <c r="E52" s="3" t="s">
        <v>1</v>
      </c>
      <c r="F52" s="37"/>
      <c r="G52" s="11">
        <f t="shared" si="0"/>
        <v>0</v>
      </c>
    </row>
    <row r="53" spans="2:7" ht="32.1" customHeight="1" x14ac:dyDescent="0.25">
      <c r="B53" s="2">
        <v>48</v>
      </c>
      <c r="C53" s="5" t="s">
        <v>47</v>
      </c>
      <c r="D53" s="17">
        <v>50194.068470175262</v>
      </c>
      <c r="E53" s="3" t="s">
        <v>1</v>
      </c>
      <c r="F53" s="37"/>
      <c r="G53" s="11">
        <f t="shared" si="0"/>
        <v>0</v>
      </c>
    </row>
    <row r="54" spans="2:7" ht="32.1" customHeight="1" x14ac:dyDescent="0.25">
      <c r="B54" s="2">
        <v>49</v>
      </c>
      <c r="C54" s="5" t="s">
        <v>48</v>
      </c>
      <c r="D54" s="17">
        <v>12548.517117543815</v>
      </c>
      <c r="E54" s="3" t="s">
        <v>21</v>
      </c>
      <c r="F54" s="37"/>
      <c r="G54" s="11">
        <f t="shared" si="0"/>
        <v>0</v>
      </c>
    </row>
    <row r="55" spans="2:7" ht="32.1" customHeight="1" x14ac:dyDescent="0.25">
      <c r="B55" s="2">
        <v>50</v>
      </c>
      <c r="C55" s="5" t="s">
        <v>49</v>
      </c>
      <c r="D55" s="17">
        <v>30116.441082105157</v>
      </c>
      <c r="E55" s="3" t="s">
        <v>1</v>
      </c>
      <c r="F55" s="37"/>
      <c r="G55" s="11">
        <f t="shared" si="0"/>
        <v>0</v>
      </c>
    </row>
    <row r="56" spans="2:7" ht="32.1" customHeight="1" x14ac:dyDescent="0.25">
      <c r="B56" s="2">
        <v>51</v>
      </c>
      <c r="C56" s="4" t="s">
        <v>50</v>
      </c>
      <c r="D56" s="17">
        <v>2509.7034235087631</v>
      </c>
      <c r="E56" s="3" t="s">
        <v>1</v>
      </c>
      <c r="F56" s="37"/>
      <c r="G56" s="11">
        <f t="shared" si="0"/>
        <v>0</v>
      </c>
    </row>
    <row r="57" spans="2:7" ht="32.1" customHeight="1" x14ac:dyDescent="0.25">
      <c r="B57" s="2">
        <v>52</v>
      </c>
      <c r="C57" s="5" t="s">
        <v>51</v>
      </c>
      <c r="D57" s="17">
        <v>752911.02705262881</v>
      </c>
      <c r="E57" s="3" t="s">
        <v>1</v>
      </c>
      <c r="F57" s="37"/>
      <c r="G57" s="11">
        <f t="shared" si="0"/>
        <v>0</v>
      </c>
    </row>
    <row r="58" spans="2:7" ht="32.1" customHeight="1" x14ac:dyDescent="0.25">
      <c r="B58" s="2">
        <v>53</v>
      </c>
      <c r="C58" s="5" t="s">
        <v>52</v>
      </c>
      <c r="D58" s="17">
        <v>50194.068470175262</v>
      </c>
      <c r="E58" s="3" t="s">
        <v>1</v>
      </c>
      <c r="F58" s="37"/>
      <c r="G58" s="11">
        <f t="shared" si="0"/>
        <v>0</v>
      </c>
    </row>
    <row r="59" spans="2:7" ht="32.1" customHeight="1" x14ac:dyDescent="0.25">
      <c r="B59" s="2">
        <v>54</v>
      </c>
      <c r="C59" s="5" t="s">
        <v>53</v>
      </c>
      <c r="D59" s="17">
        <v>752911.02705262881</v>
      </c>
      <c r="E59" s="3" t="s">
        <v>1</v>
      </c>
      <c r="F59" s="37"/>
      <c r="G59" s="11">
        <f t="shared" si="0"/>
        <v>0</v>
      </c>
    </row>
    <row r="60" spans="2:7" ht="32.1" customHeight="1" x14ac:dyDescent="0.25">
      <c r="B60" s="2">
        <v>55</v>
      </c>
      <c r="C60" s="4" t="s">
        <v>54</v>
      </c>
      <c r="D60" s="17">
        <v>60232.882164210314</v>
      </c>
      <c r="E60" s="3" t="s">
        <v>21</v>
      </c>
      <c r="F60" s="37"/>
      <c r="G60" s="11">
        <f t="shared" si="0"/>
        <v>0</v>
      </c>
    </row>
    <row r="61" spans="2:7" ht="32.1" customHeight="1" x14ac:dyDescent="0.25">
      <c r="B61" s="2">
        <v>56</v>
      </c>
      <c r="C61" s="4" t="s">
        <v>55</v>
      </c>
      <c r="D61" s="17">
        <v>250970.34235087631</v>
      </c>
      <c r="E61" s="3" t="s">
        <v>1</v>
      </c>
      <c r="F61" s="37"/>
      <c r="G61" s="11">
        <f t="shared" si="0"/>
        <v>0</v>
      </c>
    </row>
    <row r="62" spans="2:7" ht="32.1" customHeight="1" x14ac:dyDescent="0.25">
      <c r="B62" s="2">
        <v>57</v>
      </c>
      <c r="C62" s="5" t="s">
        <v>56</v>
      </c>
      <c r="D62" s="17">
        <v>1505.8220541052576</v>
      </c>
      <c r="E62" s="3" t="s">
        <v>45</v>
      </c>
      <c r="F62" s="37"/>
      <c r="G62" s="11">
        <f t="shared" si="0"/>
        <v>0</v>
      </c>
    </row>
    <row r="63" spans="2:7" ht="32.1" customHeight="1" x14ac:dyDescent="0.25">
      <c r="B63" s="2">
        <v>58</v>
      </c>
      <c r="C63" s="4" t="s">
        <v>57</v>
      </c>
      <c r="D63" s="17">
        <v>501940.68470175262</v>
      </c>
      <c r="E63" s="3" t="s">
        <v>1</v>
      </c>
      <c r="F63" s="37"/>
      <c r="G63" s="11">
        <f t="shared" si="0"/>
        <v>0</v>
      </c>
    </row>
    <row r="64" spans="2:7" ht="32.1" customHeight="1" x14ac:dyDescent="0.25">
      <c r="B64" s="2">
        <v>59</v>
      </c>
      <c r="C64" s="4" t="s">
        <v>58</v>
      </c>
      <c r="D64" s="17">
        <v>752911.02705262881</v>
      </c>
      <c r="E64" s="3" t="s">
        <v>1</v>
      </c>
      <c r="F64" s="37"/>
      <c r="G64" s="11">
        <f t="shared" si="0"/>
        <v>0</v>
      </c>
    </row>
    <row r="65" spans="2:7" ht="32.1" customHeight="1" x14ac:dyDescent="0.25">
      <c r="B65" s="2">
        <v>60</v>
      </c>
      <c r="C65" s="4" t="s">
        <v>59</v>
      </c>
      <c r="D65" s="17">
        <v>125485.17117543815</v>
      </c>
      <c r="E65" s="3" t="s">
        <v>21</v>
      </c>
      <c r="F65" s="37"/>
      <c r="G65" s="11">
        <f t="shared" si="0"/>
        <v>0</v>
      </c>
    </row>
    <row r="66" spans="2:7" ht="32.1" customHeight="1" x14ac:dyDescent="0.25">
      <c r="B66" s="2">
        <v>61</v>
      </c>
      <c r="C66" s="4" t="s">
        <v>60</v>
      </c>
      <c r="D66" s="17">
        <v>200776.27388070105</v>
      </c>
      <c r="E66" s="3" t="s">
        <v>1</v>
      </c>
      <c r="F66" s="37"/>
      <c r="G66" s="11">
        <f t="shared" si="0"/>
        <v>0</v>
      </c>
    </row>
    <row r="67" spans="2:7" ht="32.1" customHeight="1" x14ac:dyDescent="0.25">
      <c r="B67" s="26">
        <v>62</v>
      </c>
      <c r="C67" s="27" t="s">
        <v>61</v>
      </c>
      <c r="D67" s="25">
        <v>50194.068470175262</v>
      </c>
      <c r="E67" s="34" t="s">
        <v>1</v>
      </c>
      <c r="F67" s="38"/>
      <c r="G67" s="15">
        <f t="shared" si="0"/>
        <v>0</v>
      </c>
    </row>
    <row r="68" spans="2:7" ht="15.75" customHeight="1" x14ac:dyDescent="0.25">
      <c r="B68" s="47" t="s">
        <v>133</v>
      </c>
      <c r="C68" s="47"/>
      <c r="D68" s="47"/>
      <c r="E68" s="47"/>
      <c r="F68" s="47"/>
      <c r="G68" s="47"/>
    </row>
    <row r="69" spans="2:7" ht="32.1" customHeight="1" x14ac:dyDescent="0.25">
      <c r="B69" s="20">
        <v>63</v>
      </c>
      <c r="C69" s="32" t="s">
        <v>145</v>
      </c>
      <c r="D69" s="22">
        <v>75291.102705262892</v>
      </c>
      <c r="E69" s="23" t="s">
        <v>1</v>
      </c>
      <c r="F69" s="36"/>
      <c r="G69" s="24">
        <f t="shared" si="0"/>
        <v>0</v>
      </c>
    </row>
    <row r="70" spans="2:7" ht="32.1" customHeight="1" x14ac:dyDescent="0.25">
      <c r="B70" s="2">
        <v>64</v>
      </c>
      <c r="C70" s="5" t="s">
        <v>146</v>
      </c>
      <c r="D70" s="17">
        <v>75291.102705262892</v>
      </c>
      <c r="E70" s="3" t="s">
        <v>1</v>
      </c>
      <c r="F70" s="37"/>
      <c r="G70" s="11">
        <f t="shared" si="0"/>
        <v>0</v>
      </c>
    </row>
    <row r="71" spans="2:7" ht="32.1" customHeight="1" x14ac:dyDescent="0.25">
      <c r="B71" s="2">
        <v>65</v>
      </c>
      <c r="C71" s="5" t="s">
        <v>147</v>
      </c>
      <c r="D71" s="17">
        <v>7529.1102705262892</v>
      </c>
      <c r="E71" s="3" t="s">
        <v>21</v>
      </c>
      <c r="F71" s="37"/>
      <c r="G71" s="11">
        <f t="shared" si="0"/>
        <v>0</v>
      </c>
    </row>
    <row r="72" spans="2:7" ht="32.1" customHeight="1" x14ac:dyDescent="0.25">
      <c r="B72" s="2">
        <v>66</v>
      </c>
      <c r="C72" s="5" t="s">
        <v>148</v>
      </c>
      <c r="D72" s="17">
        <v>7529.1102705262892</v>
      </c>
      <c r="E72" s="3" t="s">
        <v>21</v>
      </c>
      <c r="F72" s="37"/>
      <c r="G72" s="11">
        <f t="shared" si="0"/>
        <v>0</v>
      </c>
    </row>
    <row r="73" spans="2:7" ht="32.1" customHeight="1" x14ac:dyDescent="0.25">
      <c r="B73" s="2">
        <v>67</v>
      </c>
      <c r="C73" s="5" t="s">
        <v>149</v>
      </c>
      <c r="D73" s="17">
        <v>7529.1102705262892</v>
      </c>
      <c r="E73" s="3" t="s">
        <v>21</v>
      </c>
      <c r="F73" s="37"/>
      <c r="G73" s="11">
        <f t="shared" si="0"/>
        <v>0</v>
      </c>
    </row>
    <row r="74" spans="2:7" ht="32.1" customHeight="1" x14ac:dyDescent="0.25">
      <c r="B74" s="2">
        <v>68</v>
      </c>
      <c r="C74" s="5" t="s">
        <v>150</v>
      </c>
      <c r="D74" s="17">
        <v>62742.585587719077</v>
      </c>
      <c r="E74" s="3" t="s">
        <v>1</v>
      </c>
      <c r="F74" s="37"/>
      <c r="G74" s="11">
        <f t="shared" si="0"/>
        <v>0</v>
      </c>
    </row>
    <row r="75" spans="2:7" ht="32.1" customHeight="1" x14ac:dyDescent="0.25">
      <c r="B75" s="2">
        <v>69</v>
      </c>
      <c r="C75" s="5" t="s">
        <v>151</v>
      </c>
      <c r="D75" s="17">
        <v>66966.604624303989</v>
      </c>
      <c r="E75" s="3" t="s">
        <v>1</v>
      </c>
      <c r="F75" s="37"/>
      <c r="G75" s="11">
        <f t="shared" ref="G75:G146" si="1">D75*F75</f>
        <v>0</v>
      </c>
    </row>
    <row r="76" spans="2:7" ht="32.1" customHeight="1" x14ac:dyDescent="0.25">
      <c r="B76" s="2">
        <v>70</v>
      </c>
      <c r="C76" s="4" t="s">
        <v>152</v>
      </c>
      <c r="D76" s="17">
        <v>13393.320924860796</v>
      </c>
      <c r="E76" s="6" t="s">
        <v>1</v>
      </c>
      <c r="F76" s="37"/>
      <c r="G76" s="11">
        <f t="shared" si="1"/>
        <v>0</v>
      </c>
    </row>
    <row r="77" spans="2:7" ht="32.1" customHeight="1" x14ac:dyDescent="0.25">
      <c r="B77" s="2">
        <v>71</v>
      </c>
      <c r="C77" s="4" t="s">
        <v>62</v>
      </c>
      <c r="D77" s="17">
        <v>62742.585587719077</v>
      </c>
      <c r="E77" s="3" t="s">
        <v>1</v>
      </c>
      <c r="F77" s="37"/>
      <c r="G77" s="11">
        <f t="shared" si="1"/>
        <v>0</v>
      </c>
    </row>
    <row r="78" spans="2:7" ht="32.1" customHeight="1" x14ac:dyDescent="0.25">
      <c r="B78" s="2">
        <v>72</v>
      </c>
      <c r="C78" s="4" t="s">
        <v>63</v>
      </c>
      <c r="D78" s="17">
        <v>62742.585587719077</v>
      </c>
      <c r="E78" s="3" t="s">
        <v>1</v>
      </c>
      <c r="F78" s="37"/>
      <c r="G78" s="11">
        <f t="shared" si="1"/>
        <v>0</v>
      </c>
    </row>
    <row r="79" spans="2:7" ht="32.1" customHeight="1" x14ac:dyDescent="0.25">
      <c r="B79" s="2">
        <v>73</v>
      </c>
      <c r="C79" s="4" t="s">
        <v>64</v>
      </c>
      <c r="D79" s="17">
        <v>62742.585587719077</v>
      </c>
      <c r="E79" s="3" t="s">
        <v>1</v>
      </c>
      <c r="F79" s="37"/>
      <c r="G79" s="11">
        <f t="shared" si="1"/>
        <v>0</v>
      </c>
    </row>
    <row r="80" spans="2:7" ht="32.1" customHeight="1" x14ac:dyDescent="0.25">
      <c r="B80" s="26">
        <v>74</v>
      </c>
      <c r="C80" s="27" t="s">
        <v>65</v>
      </c>
      <c r="D80" s="25">
        <v>50194.068470175262</v>
      </c>
      <c r="E80" s="34" t="s">
        <v>21</v>
      </c>
      <c r="F80" s="38"/>
      <c r="G80" s="15">
        <f t="shared" si="1"/>
        <v>0</v>
      </c>
    </row>
    <row r="81" spans="2:7" ht="15.75" customHeight="1" x14ac:dyDescent="0.25">
      <c r="B81" s="47" t="s">
        <v>134</v>
      </c>
      <c r="C81" s="47"/>
      <c r="D81" s="47"/>
      <c r="E81" s="47"/>
      <c r="F81" s="47"/>
      <c r="G81" s="47"/>
    </row>
    <row r="82" spans="2:7" ht="32.1" customHeight="1" x14ac:dyDescent="0.25">
      <c r="B82" s="20">
        <v>75</v>
      </c>
      <c r="C82" s="32" t="s">
        <v>66</v>
      </c>
      <c r="D82" s="22">
        <v>10038.813694035052</v>
      </c>
      <c r="E82" s="23" t="s">
        <v>21</v>
      </c>
      <c r="F82" s="36"/>
      <c r="G82" s="24">
        <f t="shared" si="1"/>
        <v>0</v>
      </c>
    </row>
    <row r="83" spans="2:7" ht="32.1" customHeight="1" x14ac:dyDescent="0.25">
      <c r="B83" s="2">
        <v>76</v>
      </c>
      <c r="C83" s="5" t="s">
        <v>67</v>
      </c>
      <c r="D83" s="17">
        <v>32626.14450561392</v>
      </c>
      <c r="E83" s="3" t="s">
        <v>1</v>
      </c>
      <c r="F83" s="37"/>
      <c r="G83" s="11">
        <f t="shared" si="1"/>
        <v>0</v>
      </c>
    </row>
    <row r="84" spans="2:7" ht="32.1" customHeight="1" x14ac:dyDescent="0.25">
      <c r="B84" s="2">
        <v>77</v>
      </c>
      <c r="C84" s="4" t="s">
        <v>68</v>
      </c>
      <c r="D84" s="17">
        <v>125.48517117543815</v>
      </c>
      <c r="E84" s="6" t="s">
        <v>69</v>
      </c>
      <c r="F84" s="37"/>
      <c r="G84" s="11">
        <f t="shared" si="1"/>
        <v>0</v>
      </c>
    </row>
    <row r="85" spans="2:7" ht="32.1" customHeight="1" x14ac:dyDescent="0.25">
      <c r="B85" s="2">
        <v>78</v>
      </c>
      <c r="C85" s="4" t="s">
        <v>70</v>
      </c>
      <c r="D85" s="17">
        <v>125.48517117543815</v>
      </c>
      <c r="E85" s="3" t="s">
        <v>23</v>
      </c>
      <c r="F85" s="37"/>
      <c r="G85" s="11">
        <f t="shared" si="1"/>
        <v>0</v>
      </c>
    </row>
    <row r="86" spans="2:7" ht="32.1" customHeight="1" x14ac:dyDescent="0.25">
      <c r="B86" s="2">
        <v>79</v>
      </c>
      <c r="C86" s="4" t="s">
        <v>71</v>
      </c>
      <c r="D86" s="17">
        <v>125.48517117543815</v>
      </c>
      <c r="E86" s="3" t="s">
        <v>23</v>
      </c>
      <c r="F86" s="37"/>
      <c r="G86" s="11">
        <f t="shared" si="1"/>
        <v>0</v>
      </c>
    </row>
    <row r="87" spans="2:7" ht="32.1" customHeight="1" x14ac:dyDescent="0.25">
      <c r="B87" s="2">
        <v>80</v>
      </c>
      <c r="C87" s="4" t="s">
        <v>72</v>
      </c>
      <c r="D87" s="17">
        <v>5019.4068470175262</v>
      </c>
      <c r="E87" s="3" t="s">
        <v>21</v>
      </c>
      <c r="F87" s="37"/>
      <c r="G87" s="11">
        <f t="shared" si="1"/>
        <v>0</v>
      </c>
    </row>
    <row r="88" spans="2:7" ht="32.1" customHeight="1" x14ac:dyDescent="0.25">
      <c r="B88" s="2">
        <v>81</v>
      </c>
      <c r="C88" s="4" t="s">
        <v>73</v>
      </c>
      <c r="D88" s="17">
        <v>5019.4068470175262</v>
      </c>
      <c r="E88" s="3" t="s">
        <v>21</v>
      </c>
      <c r="F88" s="37"/>
      <c r="G88" s="11">
        <f t="shared" si="1"/>
        <v>0</v>
      </c>
    </row>
    <row r="89" spans="2:7" ht="32.1" customHeight="1" x14ac:dyDescent="0.25">
      <c r="B89" s="2">
        <v>82</v>
      </c>
      <c r="C89" s="4" t="s">
        <v>74</v>
      </c>
      <c r="D89" s="17">
        <v>50194.068470175262</v>
      </c>
      <c r="E89" s="3" t="s">
        <v>1</v>
      </c>
      <c r="F89" s="37"/>
      <c r="G89" s="11">
        <f t="shared" si="1"/>
        <v>0</v>
      </c>
    </row>
    <row r="90" spans="2:7" ht="32.1" customHeight="1" x14ac:dyDescent="0.25">
      <c r="B90" s="2">
        <v>83</v>
      </c>
      <c r="C90" s="5" t="s">
        <v>75</v>
      </c>
      <c r="D90" s="17">
        <v>5019.4068470175262</v>
      </c>
      <c r="E90" s="3" t="s">
        <v>1</v>
      </c>
      <c r="F90" s="37"/>
      <c r="G90" s="11">
        <f t="shared" si="1"/>
        <v>0</v>
      </c>
    </row>
    <row r="91" spans="2:7" ht="32.1" customHeight="1" x14ac:dyDescent="0.25">
      <c r="B91" s="2">
        <v>84</v>
      </c>
      <c r="C91" s="5" t="s">
        <v>76</v>
      </c>
      <c r="D91" s="17">
        <v>5019.4068470175262</v>
      </c>
      <c r="E91" s="3" t="s">
        <v>1</v>
      </c>
      <c r="F91" s="37"/>
      <c r="G91" s="11">
        <f t="shared" si="1"/>
        <v>0</v>
      </c>
    </row>
    <row r="92" spans="2:7" ht="32.1" customHeight="1" x14ac:dyDescent="0.25">
      <c r="B92" s="26">
        <v>85</v>
      </c>
      <c r="C92" s="27" t="s">
        <v>77</v>
      </c>
      <c r="D92" s="25">
        <v>1003881.3694035052</v>
      </c>
      <c r="E92" s="34" t="s">
        <v>1</v>
      </c>
      <c r="F92" s="38"/>
      <c r="G92" s="15">
        <f t="shared" si="1"/>
        <v>0</v>
      </c>
    </row>
    <row r="93" spans="2:7" ht="15.75" customHeight="1" x14ac:dyDescent="0.25">
      <c r="B93" s="47" t="s">
        <v>135</v>
      </c>
      <c r="C93" s="47"/>
      <c r="D93" s="47"/>
      <c r="E93" s="47"/>
      <c r="F93" s="47"/>
      <c r="G93" s="47"/>
    </row>
    <row r="94" spans="2:7" ht="32.1" customHeight="1" x14ac:dyDescent="0.25">
      <c r="B94" s="20">
        <v>86</v>
      </c>
      <c r="C94" s="29" t="s">
        <v>78</v>
      </c>
      <c r="D94" s="22">
        <v>10.038813694035051</v>
      </c>
      <c r="E94" s="35" t="s">
        <v>79</v>
      </c>
      <c r="F94" s="36"/>
      <c r="G94" s="24">
        <f t="shared" si="1"/>
        <v>0</v>
      </c>
    </row>
    <row r="95" spans="2:7" ht="32.1" customHeight="1" x14ac:dyDescent="0.25">
      <c r="B95" s="2">
        <v>87</v>
      </c>
      <c r="C95" s="5" t="s">
        <v>80</v>
      </c>
      <c r="D95" s="17">
        <v>225.87330811578866</v>
      </c>
      <c r="E95" s="6" t="s">
        <v>81</v>
      </c>
      <c r="F95" s="37"/>
      <c r="G95" s="11">
        <f t="shared" si="1"/>
        <v>0</v>
      </c>
    </row>
    <row r="96" spans="2:7" ht="32.1" customHeight="1" x14ac:dyDescent="0.25">
      <c r="B96" s="2">
        <v>88</v>
      </c>
      <c r="C96" s="5" t="s">
        <v>82</v>
      </c>
      <c r="D96" s="17">
        <v>100.38813694035051</v>
      </c>
      <c r="E96" s="6" t="s">
        <v>79</v>
      </c>
      <c r="F96" s="37"/>
      <c r="G96" s="11">
        <f t="shared" si="1"/>
        <v>0</v>
      </c>
    </row>
    <row r="97" spans="2:7" ht="32.1" customHeight="1" x14ac:dyDescent="0.25">
      <c r="B97" s="2">
        <v>89</v>
      </c>
      <c r="C97" s="5" t="s">
        <v>83</v>
      </c>
      <c r="D97" s="17">
        <v>150.58220541052577</v>
      </c>
      <c r="E97" s="6" t="s">
        <v>81</v>
      </c>
      <c r="F97" s="37"/>
      <c r="G97" s="11">
        <f t="shared" si="1"/>
        <v>0</v>
      </c>
    </row>
    <row r="98" spans="2:7" ht="32.1" customHeight="1" x14ac:dyDescent="0.25">
      <c r="B98" s="2">
        <v>90</v>
      </c>
      <c r="C98" s="5" t="s">
        <v>84</v>
      </c>
      <c r="D98" s="17">
        <v>50.194068470175253</v>
      </c>
      <c r="E98" s="6" t="s">
        <v>79</v>
      </c>
      <c r="F98" s="37"/>
      <c r="G98" s="11">
        <f t="shared" si="1"/>
        <v>0</v>
      </c>
    </row>
    <row r="99" spans="2:7" ht="32.1" customHeight="1" x14ac:dyDescent="0.25">
      <c r="B99" s="2">
        <v>91</v>
      </c>
      <c r="C99" s="5" t="s">
        <v>85</v>
      </c>
      <c r="D99" s="17">
        <v>75.291102705262887</v>
      </c>
      <c r="E99" s="6" t="s">
        <v>81</v>
      </c>
      <c r="F99" s="37"/>
      <c r="G99" s="11">
        <f t="shared" si="1"/>
        <v>0</v>
      </c>
    </row>
    <row r="100" spans="2:7" ht="32.1" customHeight="1" x14ac:dyDescent="0.25">
      <c r="B100" s="2">
        <v>92</v>
      </c>
      <c r="C100" s="5" t="s">
        <v>85</v>
      </c>
      <c r="D100" s="17">
        <v>10.038813694035051</v>
      </c>
      <c r="E100" s="6" t="s">
        <v>79</v>
      </c>
      <c r="F100" s="37"/>
      <c r="G100" s="11">
        <f t="shared" si="1"/>
        <v>0</v>
      </c>
    </row>
    <row r="101" spans="2:7" ht="32.1" customHeight="1" x14ac:dyDescent="0.25">
      <c r="B101" s="2">
        <v>93</v>
      </c>
      <c r="C101" s="5" t="s">
        <v>86</v>
      </c>
      <c r="D101" s="17">
        <v>75.291102705262887</v>
      </c>
      <c r="E101" s="6" t="s">
        <v>81</v>
      </c>
      <c r="F101" s="37"/>
      <c r="G101" s="11">
        <f t="shared" si="1"/>
        <v>0</v>
      </c>
    </row>
    <row r="102" spans="2:7" ht="32.1" customHeight="1" x14ac:dyDescent="0.25">
      <c r="B102" s="2">
        <v>94</v>
      </c>
      <c r="C102" s="5" t="s">
        <v>86</v>
      </c>
      <c r="D102" s="17">
        <v>10.038813694035051</v>
      </c>
      <c r="E102" s="6" t="s">
        <v>79</v>
      </c>
      <c r="F102" s="37"/>
      <c r="G102" s="11">
        <f t="shared" si="1"/>
        <v>0</v>
      </c>
    </row>
    <row r="103" spans="2:7" ht="32.1" customHeight="1" x14ac:dyDescent="0.25">
      <c r="B103" s="2">
        <v>95</v>
      </c>
      <c r="C103" s="5" t="s">
        <v>87</v>
      </c>
      <c r="D103" s="17">
        <v>25097.034235087631</v>
      </c>
      <c r="E103" s="6" t="s">
        <v>156</v>
      </c>
      <c r="F103" s="37"/>
      <c r="G103" s="11">
        <f t="shared" si="1"/>
        <v>0</v>
      </c>
    </row>
    <row r="104" spans="2:7" ht="32.1" customHeight="1" x14ac:dyDescent="0.25">
      <c r="B104" s="2">
        <v>96</v>
      </c>
      <c r="C104" s="4" t="s">
        <v>157</v>
      </c>
      <c r="D104" s="17">
        <v>25096.404749004159</v>
      </c>
      <c r="E104" s="6" t="s">
        <v>158</v>
      </c>
      <c r="F104" s="37"/>
      <c r="G104" s="11">
        <f t="shared" si="1"/>
        <v>0</v>
      </c>
    </row>
    <row r="105" spans="2:7" ht="32.1" customHeight="1" x14ac:dyDescent="0.25">
      <c r="B105" s="2">
        <v>97</v>
      </c>
      <c r="C105" s="4" t="s">
        <v>88</v>
      </c>
      <c r="D105" s="17">
        <v>50194.068470175262</v>
      </c>
      <c r="E105" s="6" t="s">
        <v>89</v>
      </c>
      <c r="F105" s="37"/>
      <c r="G105" s="11">
        <f t="shared" si="1"/>
        <v>0</v>
      </c>
    </row>
    <row r="106" spans="2:7" ht="32.1" customHeight="1" x14ac:dyDescent="0.25">
      <c r="B106" s="2">
        <v>98</v>
      </c>
      <c r="C106" s="4" t="s">
        <v>90</v>
      </c>
      <c r="D106" s="17">
        <v>150582.20541052578</v>
      </c>
      <c r="E106" s="6" t="s">
        <v>1</v>
      </c>
      <c r="F106" s="37"/>
      <c r="G106" s="11">
        <f t="shared" si="1"/>
        <v>0</v>
      </c>
    </row>
    <row r="107" spans="2:7" ht="32.1" customHeight="1" x14ac:dyDescent="0.25">
      <c r="B107" s="2">
        <v>99</v>
      </c>
      <c r="C107" s="4" t="s">
        <v>91</v>
      </c>
      <c r="D107" s="17">
        <v>752.91102705262881</v>
      </c>
      <c r="E107" s="6" t="s">
        <v>23</v>
      </c>
      <c r="F107" s="37"/>
      <c r="G107" s="11">
        <f t="shared" si="1"/>
        <v>0</v>
      </c>
    </row>
    <row r="108" spans="2:7" ht="32.1" customHeight="1" x14ac:dyDescent="0.25">
      <c r="B108" s="26">
        <v>100</v>
      </c>
      <c r="C108" s="27" t="s">
        <v>92</v>
      </c>
      <c r="D108" s="25">
        <v>2007.7627388070105</v>
      </c>
      <c r="E108" s="28" t="s">
        <v>23</v>
      </c>
      <c r="F108" s="38"/>
      <c r="G108" s="15">
        <f t="shared" si="1"/>
        <v>0</v>
      </c>
    </row>
    <row r="109" spans="2:7" ht="15.75" customHeight="1" x14ac:dyDescent="0.25">
      <c r="B109" s="47" t="s">
        <v>136</v>
      </c>
      <c r="C109" s="47"/>
      <c r="D109" s="47"/>
      <c r="E109" s="47"/>
      <c r="F109" s="47"/>
      <c r="G109" s="47"/>
    </row>
    <row r="110" spans="2:7" ht="32.1" customHeight="1" x14ac:dyDescent="0.25">
      <c r="B110" s="20">
        <v>101</v>
      </c>
      <c r="C110" s="32" t="s">
        <v>93</v>
      </c>
      <c r="D110" s="22">
        <v>10038.813694035052</v>
      </c>
      <c r="E110" s="33" t="s">
        <v>1</v>
      </c>
      <c r="F110" s="36"/>
      <c r="G110" s="24">
        <f t="shared" si="1"/>
        <v>0</v>
      </c>
    </row>
    <row r="111" spans="2:7" ht="32.1" customHeight="1" x14ac:dyDescent="0.25">
      <c r="B111" s="2">
        <v>102</v>
      </c>
      <c r="C111" s="5" t="s">
        <v>94</v>
      </c>
      <c r="D111" s="17">
        <v>10038.813694035052</v>
      </c>
      <c r="E111" s="7" t="s">
        <v>1</v>
      </c>
      <c r="F111" s="37"/>
      <c r="G111" s="11">
        <f t="shared" si="1"/>
        <v>0</v>
      </c>
    </row>
    <row r="112" spans="2:7" ht="32.1" customHeight="1" x14ac:dyDescent="0.25">
      <c r="B112" s="2">
        <v>103</v>
      </c>
      <c r="C112" s="5" t="s">
        <v>95</v>
      </c>
      <c r="D112" s="17">
        <v>100388.13694035052</v>
      </c>
      <c r="E112" s="7" t="s">
        <v>1</v>
      </c>
      <c r="F112" s="37"/>
      <c r="G112" s="11">
        <f t="shared" si="1"/>
        <v>0</v>
      </c>
    </row>
    <row r="113" spans="2:7" ht="32.1" customHeight="1" x14ac:dyDescent="0.25">
      <c r="B113" s="2">
        <v>104</v>
      </c>
      <c r="C113" s="5" t="s">
        <v>96</v>
      </c>
      <c r="D113" s="17">
        <v>75291.102705262892</v>
      </c>
      <c r="E113" s="7" t="s">
        <v>1</v>
      </c>
      <c r="F113" s="37"/>
      <c r="G113" s="11">
        <f t="shared" si="1"/>
        <v>0</v>
      </c>
    </row>
    <row r="114" spans="2:7" ht="32.1" customHeight="1" x14ac:dyDescent="0.25">
      <c r="B114" s="2">
        <v>105</v>
      </c>
      <c r="C114" s="5" t="s">
        <v>97</v>
      </c>
      <c r="D114" s="17">
        <v>1505822.0541052576</v>
      </c>
      <c r="E114" s="7" t="s">
        <v>1</v>
      </c>
      <c r="F114" s="37"/>
      <c r="G114" s="11">
        <f t="shared" si="1"/>
        <v>0</v>
      </c>
    </row>
    <row r="115" spans="2:7" ht="32.1" customHeight="1" x14ac:dyDescent="0.25">
      <c r="B115" s="2">
        <v>106</v>
      </c>
      <c r="C115" s="5" t="s">
        <v>98</v>
      </c>
      <c r="D115" s="17">
        <v>1505822.0541052576</v>
      </c>
      <c r="E115" s="7" t="s">
        <v>1</v>
      </c>
      <c r="F115" s="37"/>
      <c r="G115" s="11">
        <f t="shared" si="1"/>
        <v>0</v>
      </c>
    </row>
    <row r="116" spans="2:7" ht="32.1" customHeight="1" x14ac:dyDescent="0.25">
      <c r="B116" s="2">
        <v>107</v>
      </c>
      <c r="C116" s="5" t="s">
        <v>99</v>
      </c>
      <c r="D116" s="17">
        <v>1505822.0541052576</v>
      </c>
      <c r="E116" s="7" t="s">
        <v>1</v>
      </c>
      <c r="F116" s="37"/>
      <c r="G116" s="11">
        <f t="shared" si="1"/>
        <v>0</v>
      </c>
    </row>
    <row r="117" spans="2:7" ht="32.1" customHeight="1" x14ac:dyDescent="0.25">
      <c r="B117" s="2">
        <v>108</v>
      </c>
      <c r="C117" s="5" t="s">
        <v>100</v>
      </c>
      <c r="D117" s="17">
        <v>250970.34235087631</v>
      </c>
      <c r="E117" s="7" t="s">
        <v>101</v>
      </c>
      <c r="F117" s="37"/>
      <c r="G117" s="11">
        <f t="shared" si="1"/>
        <v>0</v>
      </c>
    </row>
    <row r="118" spans="2:7" ht="32.1" customHeight="1" x14ac:dyDescent="0.25">
      <c r="B118" s="2">
        <v>109</v>
      </c>
      <c r="C118" s="4" t="s">
        <v>102</v>
      </c>
      <c r="D118" s="17">
        <v>200776.27388070105</v>
      </c>
      <c r="E118" s="6" t="s">
        <v>103</v>
      </c>
      <c r="F118" s="37"/>
      <c r="G118" s="11">
        <f t="shared" si="1"/>
        <v>0</v>
      </c>
    </row>
    <row r="119" spans="2:7" ht="32.1" customHeight="1" x14ac:dyDescent="0.25">
      <c r="B119" s="2">
        <v>110</v>
      </c>
      <c r="C119" s="5" t="s">
        <v>159</v>
      </c>
      <c r="D119" s="17">
        <v>652522.8901122784</v>
      </c>
      <c r="E119" s="8" t="s">
        <v>21</v>
      </c>
      <c r="F119" s="37"/>
      <c r="G119" s="11">
        <f t="shared" si="1"/>
        <v>0</v>
      </c>
    </row>
    <row r="120" spans="2:7" ht="32.1" customHeight="1" x14ac:dyDescent="0.25">
      <c r="B120" s="26">
        <v>111</v>
      </c>
      <c r="C120" s="27" t="s">
        <v>104</v>
      </c>
      <c r="D120" s="25">
        <v>1254851.7117543814</v>
      </c>
      <c r="E120" s="30" t="s">
        <v>1</v>
      </c>
      <c r="F120" s="38"/>
      <c r="G120" s="15">
        <f t="shared" si="1"/>
        <v>0</v>
      </c>
    </row>
    <row r="121" spans="2:7" x14ac:dyDescent="0.25">
      <c r="B121" s="47" t="s">
        <v>137</v>
      </c>
      <c r="C121" s="47"/>
      <c r="D121" s="47"/>
      <c r="E121" s="47"/>
      <c r="F121" s="47"/>
      <c r="G121" s="47"/>
    </row>
    <row r="122" spans="2:7" ht="32.1" customHeight="1" x14ac:dyDescent="0.25">
      <c r="B122" s="20">
        <v>112</v>
      </c>
      <c r="C122" s="29" t="s">
        <v>160</v>
      </c>
      <c r="D122" s="22">
        <v>1254.8517117543815</v>
      </c>
      <c r="E122" s="31" t="s">
        <v>23</v>
      </c>
      <c r="F122" s="36"/>
      <c r="G122" s="24">
        <f t="shared" si="1"/>
        <v>0</v>
      </c>
    </row>
    <row r="123" spans="2:7" ht="32.1" customHeight="1" x14ac:dyDescent="0.25">
      <c r="B123" s="2">
        <v>113</v>
      </c>
      <c r="C123" s="4" t="s">
        <v>105</v>
      </c>
      <c r="D123" s="17">
        <v>50.194068470175253</v>
      </c>
      <c r="E123" s="9" t="s">
        <v>23</v>
      </c>
      <c r="F123" s="37"/>
      <c r="G123" s="11">
        <f t="shared" si="1"/>
        <v>0</v>
      </c>
    </row>
    <row r="124" spans="2:7" ht="32.1" customHeight="1" x14ac:dyDescent="0.25">
      <c r="B124" s="2">
        <v>114</v>
      </c>
      <c r="C124" s="4" t="s">
        <v>106</v>
      </c>
      <c r="D124" s="17">
        <v>250970.34235087631</v>
      </c>
      <c r="E124" s="9" t="s">
        <v>1</v>
      </c>
      <c r="F124" s="37"/>
      <c r="G124" s="11">
        <f t="shared" si="1"/>
        <v>0</v>
      </c>
    </row>
    <row r="125" spans="2:7" ht="32.1" customHeight="1" x14ac:dyDescent="0.25">
      <c r="B125" s="2">
        <v>115</v>
      </c>
      <c r="C125" s="4" t="s">
        <v>107</v>
      </c>
      <c r="D125" s="17">
        <v>50194.068470175262</v>
      </c>
      <c r="E125" s="9" t="s">
        <v>1</v>
      </c>
      <c r="F125" s="37"/>
      <c r="G125" s="11">
        <f t="shared" si="1"/>
        <v>0</v>
      </c>
    </row>
    <row r="126" spans="2:7" ht="32.1" customHeight="1" x14ac:dyDescent="0.25">
      <c r="B126" s="2">
        <v>116</v>
      </c>
      <c r="C126" s="5" t="s">
        <v>161</v>
      </c>
      <c r="D126" s="17">
        <v>1254.8517117543815</v>
      </c>
      <c r="E126" s="9" t="s">
        <v>23</v>
      </c>
      <c r="F126" s="37"/>
      <c r="G126" s="11">
        <f t="shared" si="1"/>
        <v>0</v>
      </c>
    </row>
    <row r="127" spans="2:7" ht="32.1" customHeight="1" x14ac:dyDescent="0.25">
      <c r="B127" s="2">
        <v>117</v>
      </c>
      <c r="C127" s="5" t="s">
        <v>108</v>
      </c>
      <c r="D127" s="17">
        <v>50194.068470175262</v>
      </c>
      <c r="E127" s="9" t="s">
        <v>1</v>
      </c>
      <c r="F127" s="37"/>
      <c r="G127" s="11">
        <f t="shared" si="1"/>
        <v>0</v>
      </c>
    </row>
    <row r="128" spans="2:7" ht="32.1" customHeight="1" x14ac:dyDescent="0.25">
      <c r="B128" s="2">
        <v>118</v>
      </c>
      <c r="C128" s="5" t="s">
        <v>162</v>
      </c>
      <c r="D128" s="17">
        <v>6023.2882164210305</v>
      </c>
      <c r="E128" s="9" t="s">
        <v>1</v>
      </c>
      <c r="F128" s="37"/>
      <c r="G128" s="11">
        <f t="shared" si="1"/>
        <v>0</v>
      </c>
    </row>
    <row r="129" spans="2:7" ht="32.1" customHeight="1" x14ac:dyDescent="0.25">
      <c r="B129" s="2">
        <v>119</v>
      </c>
      <c r="C129" s="5" t="s">
        <v>109</v>
      </c>
      <c r="D129" s="17">
        <v>10038.813694035052</v>
      </c>
      <c r="E129" s="9" t="s">
        <v>1</v>
      </c>
      <c r="F129" s="37"/>
      <c r="G129" s="11">
        <f t="shared" si="1"/>
        <v>0</v>
      </c>
    </row>
    <row r="130" spans="2:7" ht="32.1" customHeight="1" x14ac:dyDescent="0.25">
      <c r="B130" s="2">
        <v>120</v>
      </c>
      <c r="C130" s="5" t="s">
        <v>110</v>
      </c>
      <c r="D130" s="17">
        <v>25097.034235087631</v>
      </c>
      <c r="E130" s="9" t="s">
        <v>21</v>
      </c>
      <c r="F130" s="37"/>
      <c r="G130" s="11">
        <f t="shared" si="1"/>
        <v>0</v>
      </c>
    </row>
    <row r="131" spans="2:7" ht="32.1" customHeight="1" x14ac:dyDescent="0.25">
      <c r="B131" s="2">
        <v>121</v>
      </c>
      <c r="C131" s="5" t="s">
        <v>111</v>
      </c>
      <c r="D131" s="17">
        <v>501940.68470175262</v>
      </c>
      <c r="E131" s="6" t="s">
        <v>1</v>
      </c>
      <c r="F131" s="37"/>
      <c r="G131" s="11">
        <f t="shared" si="1"/>
        <v>0</v>
      </c>
    </row>
    <row r="132" spans="2:7" ht="32.1" customHeight="1" x14ac:dyDescent="0.25">
      <c r="B132" s="2">
        <v>122</v>
      </c>
      <c r="C132" s="4" t="s">
        <v>112</v>
      </c>
      <c r="D132" s="17">
        <v>250.97034235087631</v>
      </c>
      <c r="E132" s="6" t="s">
        <v>23</v>
      </c>
      <c r="F132" s="37"/>
      <c r="G132" s="11">
        <f t="shared" si="1"/>
        <v>0</v>
      </c>
    </row>
    <row r="133" spans="2:7" ht="32.1" customHeight="1" x14ac:dyDescent="0.25">
      <c r="B133" s="2">
        <v>123</v>
      </c>
      <c r="C133" s="4" t="s">
        <v>113</v>
      </c>
      <c r="D133" s="17">
        <v>125.48517117543815</v>
      </c>
      <c r="E133" s="6" t="s">
        <v>23</v>
      </c>
      <c r="F133" s="37"/>
      <c r="G133" s="11">
        <f t="shared" si="1"/>
        <v>0</v>
      </c>
    </row>
    <row r="134" spans="2:7" ht="32.1" customHeight="1" x14ac:dyDescent="0.25">
      <c r="B134" s="2">
        <v>124</v>
      </c>
      <c r="C134" s="4" t="s">
        <v>114</v>
      </c>
      <c r="D134" s="17">
        <v>250.97034235087631</v>
      </c>
      <c r="E134" s="6" t="s">
        <v>115</v>
      </c>
      <c r="F134" s="37"/>
      <c r="G134" s="11">
        <f t="shared" si="1"/>
        <v>0</v>
      </c>
    </row>
    <row r="135" spans="2:7" ht="32.1" customHeight="1" x14ac:dyDescent="0.25">
      <c r="B135" s="2">
        <v>125</v>
      </c>
      <c r="C135" s="4" t="s">
        <v>116</v>
      </c>
      <c r="D135" s="17">
        <v>250.97034235087631</v>
      </c>
      <c r="E135" s="6" t="s">
        <v>23</v>
      </c>
      <c r="F135" s="37"/>
      <c r="G135" s="11">
        <f t="shared" si="1"/>
        <v>0</v>
      </c>
    </row>
    <row r="136" spans="2:7" ht="32.1" customHeight="1" x14ac:dyDescent="0.25">
      <c r="B136" s="2">
        <v>126</v>
      </c>
      <c r="C136" s="4" t="s">
        <v>117</v>
      </c>
      <c r="D136" s="17">
        <v>1003.8813694035052</v>
      </c>
      <c r="E136" s="6" t="s">
        <v>23</v>
      </c>
      <c r="F136" s="37"/>
      <c r="G136" s="11">
        <f t="shared" si="1"/>
        <v>0</v>
      </c>
    </row>
    <row r="137" spans="2:7" ht="32.1" customHeight="1" x14ac:dyDescent="0.25">
      <c r="B137" s="2">
        <v>127</v>
      </c>
      <c r="C137" s="4" t="s">
        <v>118</v>
      </c>
      <c r="D137" s="17">
        <v>1002890.9475923294</v>
      </c>
      <c r="E137" s="6" t="s">
        <v>1</v>
      </c>
      <c r="F137" s="37"/>
      <c r="G137" s="11">
        <f t="shared" si="1"/>
        <v>0</v>
      </c>
    </row>
    <row r="138" spans="2:7" ht="32.1" customHeight="1" x14ac:dyDescent="0.25">
      <c r="B138" s="2">
        <v>128</v>
      </c>
      <c r="C138" s="4" t="s">
        <v>119</v>
      </c>
      <c r="D138" s="17">
        <v>482.15955329498865</v>
      </c>
      <c r="E138" s="6" t="s">
        <v>23</v>
      </c>
      <c r="F138" s="37"/>
      <c r="G138" s="11">
        <f t="shared" si="1"/>
        <v>0</v>
      </c>
    </row>
    <row r="139" spans="2:7" ht="32.1" customHeight="1" x14ac:dyDescent="0.25">
      <c r="B139" s="26">
        <v>129</v>
      </c>
      <c r="C139" s="27" t="s">
        <v>120</v>
      </c>
      <c r="D139" s="25">
        <v>752911.02705262881</v>
      </c>
      <c r="E139" s="28" t="s">
        <v>1</v>
      </c>
      <c r="F139" s="38"/>
      <c r="G139" s="15">
        <f t="shared" si="1"/>
        <v>0</v>
      </c>
    </row>
    <row r="140" spans="2:7" ht="15.75" customHeight="1" x14ac:dyDescent="0.25">
      <c r="B140" s="47" t="s">
        <v>138</v>
      </c>
      <c r="C140" s="47"/>
      <c r="D140" s="47"/>
      <c r="E140" s="47"/>
      <c r="F140" s="47"/>
      <c r="G140" s="47"/>
    </row>
    <row r="141" spans="2:7" ht="32.1" customHeight="1" x14ac:dyDescent="0.25">
      <c r="B141" s="20">
        <v>130</v>
      </c>
      <c r="C141" s="29" t="s">
        <v>121</v>
      </c>
      <c r="D141" s="22">
        <v>241.07977664749433</v>
      </c>
      <c r="E141" s="23" t="s">
        <v>45</v>
      </c>
      <c r="F141" s="36"/>
      <c r="G141" s="24">
        <f t="shared" si="1"/>
        <v>0</v>
      </c>
    </row>
    <row r="142" spans="2:7" ht="32.1" customHeight="1" x14ac:dyDescent="0.25">
      <c r="B142" s="2">
        <v>131</v>
      </c>
      <c r="C142" s="4" t="s">
        <v>122</v>
      </c>
      <c r="D142" s="17">
        <v>175.67923964561339</v>
      </c>
      <c r="E142" s="3" t="s">
        <v>123</v>
      </c>
      <c r="F142" s="37"/>
      <c r="G142" s="11">
        <f t="shared" si="1"/>
        <v>0</v>
      </c>
    </row>
    <row r="143" spans="2:7" ht="32.1" customHeight="1" x14ac:dyDescent="0.25">
      <c r="B143" s="2">
        <v>132</v>
      </c>
      <c r="C143" s="4" t="s">
        <v>124</v>
      </c>
      <c r="D143" s="17">
        <v>75.291102705262887</v>
      </c>
      <c r="E143" s="3" t="s">
        <v>123</v>
      </c>
      <c r="F143" s="37"/>
      <c r="G143" s="11">
        <f t="shared" si="1"/>
        <v>0</v>
      </c>
    </row>
    <row r="144" spans="2:7" ht="32.1" customHeight="1" x14ac:dyDescent="0.25">
      <c r="B144" s="2">
        <v>133</v>
      </c>
      <c r="C144" s="4" t="s">
        <v>125</v>
      </c>
      <c r="D144" s="17">
        <v>104.46790321391421</v>
      </c>
      <c r="E144" s="3" t="s">
        <v>45</v>
      </c>
      <c r="F144" s="37"/>
      <c r="G144" s="11">
        <f t="shared" si="1"/>
        <v>0</v>
      </c>
    </row>
    <row r="145" spans="2:7" ht="32.1" customHeight="1" x14ac:dyDescent="0.25">
      <c r="B145" s="2">
        <v>134</v>
      </c>
      <c r="C145" s="4" t="s">
        <v>126</v>
      </c>
      <c r="D145" s="17">
        <v>75.291102705262887</v>
      </c>
      <c r="E145" s="6" t="s">
        <v>123</v>
      </c>
      <c r="F145" s="37"/>
      <c r="G145" s="11">
        <f t="shared" si="1"/>
        <v>0</v>
      </c>
    </row>
    <row r="146" spans="2:7" ht="32.1" customHeight="1" x14ac:dyDescent="0.25">
      <c r="B146" s="2">
        <v>135</v>
      </c>
      <c r="C146" s="4" t="s">
        <v>127</v>
      </c>
      <c r="D146" s="17">
        <v>26.786641849721594</v>
      </c>
      <c r="E146" s="6" t="s">
        <v>123</v>
      </c>
      <c r="F146" s="37"/>
      <c r="G146" s="11">
        <f t="shared" si="1"/>
        <v>0</v>
      </c>
    </row>
    <row r="147" spans="2:7" ht="15.95" customHeight="1" x14ac:dyDescent="0.25">
      <c r="B147" s="2">
        <v>136</v>
      </c>
      <c r="C147" s="4" t="s">
        <v>128</v>
      </c>
      <c r="D147" s="17">
        <v>1505.8220541052576</v>
      </c>
      <c r="E147" s="6" t="s">
        <v>1</v>
      </c>
      <c r="F147" s="37"/>
      <c r="G147" s="11">
        <f t="shared" ref="G147:G153" si="2">D147*F147</f>
        <v>0</v>
      </c>
    </row>
    <row r="148" spans="2:7" x14ac:dyDescent="0.25">
      <c r="B148" s="2">
        <v>137</v>
      </c>
      <c r="C148" s="4" t="s">
        <v>129</v>
      </c>
      <c r="D148" s="17">
        <v>501.94068470175262</v>
      </c>
      <c r="E148" s="6" t="s">
        <v>1</v>
      </c>
      <c r="F148" s="37"/>
      <c r="G148" s="11">
        <f t="shared" si="2"/>
        <v>0</v>
      </c>
    </row>
    <row r="149" spans="2:7" x14ac:dyDescent="0.25">
      <c r="B149" s="12">
        <v>138</v>
      </c>
      <c r="C149" s="13" t="s">
        <v>130</v>
      </c>
      <c r="D149" s="17">
        <v>7529.1102705262892</v>
      </c>
      <c r="E149" s="14" t="s">
        <v>21</v>
      </c>
      <c r="F149" s="38"/>
      <c r="G149" s="11">
        <f t="shared" si="2"/>
        <v>0</v>
      </c>
    </row>
    <row r="150" spans="2:7" x14ac:dyDescent="0.25">
      <c r="B150" s="12">
        <v>139</v>
      </c>
      <c r="C150" s="13" t="s">
        <v>163</v>
      </c>
      <c r="D150" s="17">
        <v>1339.3320924860795</v>
      </c>
      <c r="E150" s="14" t="s">
        <v>23</v>
      </c>
      <c r="F150" s="38"/>
      <c r="G150" s="11">
        <f t="shared" si="2"/>
        <v>0</v>
      </c>
    </row>
    <row r="151" spans="2:7" x14ac:dyDescent="0.25">
      <c r="B151" s="12">
        <v>140</v>
      </c>
      <c r="C151" s="13" t="s">
        <v>164</v>
      </c>
      <c r="D151" s="17">
        <v>1339.3320924860795</v>
      </c>
      <c r="E151" s="14" t="s">
        <v>23</v>
      </c>
      <c r="F151" s="38"/>
      <c r="G151" s="11">
        <f t="shared" si="2"/>
        <v>0</v>
      </c>
    </row>
    <row r="152" spans="2:7" x14ac:dyDescent="0.25">
      <c r="B152" s="12">
        <v>141</v>
      </c>
      <c r="C152" s="13" t="s">
        <v>165</v>
      </c>
      <c r="D152" s="17">
        <v>6696.6604624303982</v>
      </c>
      <c r="E152" s="14" t="s">
        <v>21</v>
      </c>
      <c r="F152" s="38"/>
      <c r="G152" s="11">
        <f t="shared" si="2"/>
        <v>0</v>
      </c>
    </row>
    <row r="153" spans="2:7" x14ac:dyDescent="0.25">
      <c r="B153" s="12">
        <v>142</v>
      </c>
      <c r="C153" s="13" t="s">
        <v>166</v>
      </c>
      <c r="D153" s="25">
        <v>13393.320924860796</v>
      </c>
      <c r="E153" s="14" t="s">
        <v>21</v>
      </c>
      <c r="F153" s="38"/>
      <c r="G153" s="15">
        <f t="shared" si="2"/>
        <v>0</v>
      </c>
    </row>
    <row r="154" spans="2:7" x14ac:dyDescent="0.25">
      <c r="B154" s="48" t="s">
        <v>169</v>
      </c>
      <c r="C154" s="48"/>
      <c r="D154" s="48"/>
      <c r="E154" s="48"/>
      <c r="F154" s="48"/>
      <c r="G154" s="16">
        <f>SUM(G5:G38)+SUM(G40:G67)+SUM(G69:G80)+SUM(G82:G92)+SUM(G94:G108)+SUM(G110:G120)+SUM(G122:G139)+SUM(G141:G153)</f>
        <v>0</v>
      </c>
    </row>
    <row r="156" spans="2:7" ht="76.5" customHeight="1" x14ac:dyDescent="0.25">
      <c r="B156" s="42" t="s">
        <v>171</v>
      </c>
      <c r="C156" s="42"/>
      <c r="D156" s="42"/>
      <c r="E156" s="42"/>
      <c r="F156" s="42"/>
      <c r="G156" s="42"/>
    </row>
  </sheetData>
  <sheetProtection algorithmName="SHA-512" hashValue="2il2M+tR4WPT5fqmrOaUFAf/OrX32esq0rwheeXqO9Xp1qEWrs4UJLVGR5L9aYjIlZ/xhTdy2C4CG7uTCmYCDw==" saltValue="tcxjaJVCcR7AjxVitnV/3A==" spinCount="100000" sheet="1" formatColumns="0" selectLockedCells="1"/>
  <mergeCells count="12">
    <mergeCell ref="B156:G156"/>
    <mergeCell ref="B2:G2"/>
    <mergeCell ref="B1:G1"/>
    <mergeCell ref="B4:G4"/>
    <mergeCell ref="B39:G39"/>
    <mergeCell ref="B68:G68"/>
    <mergeCell ref="B81:G81"/>
    <mergeCell ref="B93:G93"/>
    <mergeCell ref="B109:G109"/>
    <mergeCell ref="B121:G121"/>
    <mergeCell ref="B140:G140"/>
    <mergeCell ref="B154:F154"/>
  </mergeCells>
  <phoneticPr fontId="4" type="noConversion"/>
  <pageMargins left="0.7" right="0.7" top="0.75" bottom="0.75" header="0.3" footer="0.3"/>
  <pageSetup fitToHeight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Price Sheet</vt:lpstr>
      <vt:lpstr>BID_ITEM</vt:lpstr>
      <vt:lpstr>DESCRIPTION</vt:lpstr>
      <vt:lpstr>UNIT</vt:lpstr>
    </vt:vector>
  </TitlesOfParts>
  <Company>US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Lowder, Kellen I CIV</dc:creator>
  <cp:lastModifiedBy>Byrd, Scott A CIV USARMY ACC MICC (USA)</cp:lastModifiedBy>
  <cp:lastPrinted>2023-05-08T22:31:53Z</cp:lastPrinted>
  <dcterms:created xsi:type="dcterms:W3CDTF">2021-06-23T14:54:36Z</dcterms:created>
  <dcterms:modified xsi:type="dcterms:W3CDTF">2025-07-14T23:44:46Z</dcterms:modified>
</cp:coreProperties>
</file>