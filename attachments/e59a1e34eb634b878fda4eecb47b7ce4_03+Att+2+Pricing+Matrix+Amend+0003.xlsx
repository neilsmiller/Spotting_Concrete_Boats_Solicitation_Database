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EAD NOS Branch - CorpSrv\1_OR&amp;R\FY26\Follow on for 0013 Data Integration\Sol Amend 0003\"/>
    </mc:Choice>
  </mc:AlternateContent>
  <xr:revisionPtr revIDLastSave="0" documentId="13_ncr:1_{2263AACD-1B2C-44F0-983D-639544D44F60}" xr6:coauthVersionLast="47" xr6:coauthVersionMax="47" xr10:uidLastSave="{00000000-0000-0000-0000-000000000000}"/>
  <bookViews>
    <workbookView xWindow="37125" yWindow="2595" windowWidth="22410" windowHeight="15360" xr2:uid="{00000000-000D-0000-FFFF-FFFF00000000}"/>
  </bookViews>
  <sheets>
    <sheet name="Pricing CLINs" sheetId="4" r:id="rId1"/>
    <sheet name="Base Year" sheetId="1" r:id="rId2"/>
    <sheet name="OY1" sheetId="6" r:id="rId3"/>
    <sheet name="OY2" sheetId="7" r:id="rId4"/>
    <sheet name="OY3" sheetId="8" r:id="rId5"/>
    <sheet name="OY4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9" l="1"/>
  <c r="F10" i="9" s="1"/>
  <c r="D9" i="9"/>
  <c r="F9" i="9" s="1"/>
  <c r="D8" i="9"/>
  <c r="F8" i="9" s="1"/>
  <c r="F11" i="9" s="1"/>
  <c r="D7" i="9"/>
  <c r="F7" i="9" s="1"/>
  <c r="D10" i="8"/>
  <c r="F10" i="8" s="1"/>
  <c r="D9" i="8"/>
  <c r="F9" i="8" s="1"/>
  <c r="F11" i="8" s="1"/>
  <c r="D8" i="8"/>
  <c r="F8" i="8" s="1"/>
  <c r="D7" i="8"/>
  <c r="F7" i="8" s="1"/>
  <c r="F10" i="7"/>
  <c r="D10" i="7"/>
  <c r="D9" i="7"/>
  <c r="F9" i="7" s="1"/>
  <c r="D8" i="7"/>
  <c r="F8" i="7" s="1"/>
  <c r="D7" i="7"/>
  <c r="F7" i="7" s="1"/>
  <c r="D10" i="6"/>
  <c r="F10" i="6" s="1"/>
  <c r="D9" i="6"/>
  <c r="F9" i="6" s="1"/>
  <c r="D8" i="6"/>
  <c r="F8" i="6" s="1"/>
  <c r="D7" i="6"/>
  <c r="F7" i="6" s="1"/>
  <c r="F11" i="7" l="1"/>
  <c r="F11" i="6"/>
  <c r="D10" i="1" l="1"/>
  <c r="F10" i="1" s="1"/>
  <c r="D9" i="1"/>
  <c r="F9" i="1" s="1"/>
  <c r="D8" i="1"/>
  <c r="F8" i="1" s="1"/>
  <c r="D7" i="1"/>
  <c r="F7" i="1" s="1"/>
  <c r="D27" i="9"/>
  <c r="F27" i="9" s="1"/>
  <c r="D26" i="9"/>
  <c r="F26" i="9" s="1"/>
  <c r="D25" i="9"/>
  <c r="F25" i="9" s="1"/>
  <c r="D24" i="9"/>
  <c r="F24" i="9" s="1"/>
  <c r="D20" i="9"/>
  <c r="F20" i="9" s="1"/>
  <c r="D19" i="9"/>
  <c r="F19" i="9" s="1"/>
  <c r="D18" i="9"/>
  <c r="F18" i="9" s="1"/>
  <c r="D17" i="9"/>
  <c r="F17" i="9" s="1"/>
  <c r="D16" i="9"/>
  <c r="F16" i="9" s="1"/>
  <c r="D15" i="9"/>
  <c r="F15" i="9" s="1"/>
  <c r="D14" i="9"/>
  <c r="F14" i="9" s="1"/>
  <c r="C19" i="4"/>
  <c r="D27" i="8"/>
  <c r="F27" i="8" s="1"/>
  <c r="D26" i="8"/>
  <c r="F26" i="8" s="1"/>
  <c r="D25" i="8"/>
  <c r="F25" i="8" s="1"/>
  <c r="D24" i="8"/>
  <c r="F24" i="8" s="1"/>
  <c r="D20" i="8"/>
  <c r="F20" i="8" s="1"/>
  <c r="D19" i="8"/>
  <c r="F19" i="8" s="1"/>
  <c r="D18" i="8"/>
  <c r="F18" i="8" s="1"/>
  <c r="D17" i="8"/>
  <c r="F17" i="8" s="1"/>
  <c r="D16" i="8"/>
  <c r="F16" i="8" s="1"/>
  <c r="D15" i="8"/>
  <c r="F15" i="8" s="1"/>
  <c r="D14" i="8"/>
  <c r="F14" i="8" s="1"/>
  <c r="C15" i="4"/>
  <c r="D27" i="7"/>
  <c r="F27" i="7" s="1"/>
  <c r="D26" i="7"/>
  <c r="F26" i="7" s="1"/>
  <c r="D25" i="7"/>
  <c r="F25" i="7" s="1"/>
  <c r="D24" i="7"/>
  <c r="F24" i="7" s="1"/>
  <c r="D20" i="7"/>
  <c r="F20" i="7" s="1"/>
  <c r="D19" i="7"/>
  <c r="F19" i="7" s="1"/>
  <c r="D18" i="7"/>
  <c r="F18" i="7" s="1"/>
  <c r="D17" i="7"/>
  <c r="F17" i="7" s="1"/>
  <c r="D16" i="7"/>
  <c r="F16" i="7" s="1"/>
  <c r="D15" i="7"/>
  <c r="F15" i="7" s="1"/>
  <c r="D14" i="7"/>
  <c r="F14" i="7" s="1"/>
  <c r="C11" i="4"/>
  <c r="D27" i="1"/>
  <c r="F27" i="1" s="1"/>
  <c r="D26" i="1"/>
  <c r="F26" i="1" s="1"/>
  <c r="D25" i="1"/>
  <c r="F25" i="1" s="1"/>
  <c r="D24" i="1"/>
  <c r="F24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27" i="6"/>
  <c r="F27" i="6" s="1"/>
  <c r="D26" i="6"/>
  <c r="F26" i="6" s="1"/>
  <c r="D25" i="6"/>
  <c r="F25" i="6" s="1"/>
  <c r="D24" i="6"/>
  <c r="F24" i="6" s="1"/>
  <c r="D20" i="6"/>
  <c r="F20" i="6" s="1"/>
  <c r="D19" i="6"/>
  <c r="F19" i="6" s="1"/>
  <c r="D18" i="6"/>
  <c r="F18" i="6" s="1"/>
  <c r="D17" i="6"/>
  <c r="F17" i="6" s="1"/>
  <c r="D16" i="6"/>
  <c r="F16" i="6" s="1"/>
  <c r="D15" i="6"/>
  <c r="F15" i="6" s="1"/>
  <c r="D14" i="6"/>
  <c r="F14" i="6" s="1"/>
  <c r="C7" i="4"/>
  <c r="F11" i="1" l="1"/>
  <c r="C3" i="4" s="1"/>
  <c r="F21" i="9"/>
  <c r="C20" i="4" s="1"/>
  <c r="F21" i="8"/>
  <c r="C16" i="4" s="1"/>
  <c r="F28" i="8"/>
  <c r="F21" i="6"/>
  <c r="C8" i="4" s="1"/>
  <c r="F28" i="6"/>
  <c r="C9" i="4" s="1"/>
  <c r="F28" i="1"/>
  <c r="F28" i="9"/>
  <c r="F21" i="7"/>
  <c r="C12" i="4" s="1"/>
  <c r="F28" i="7"/>
  <c r="F21" i="1"/>
  <c r="C4" i="4" s="1"/>
  <c r="C21" i="4" l="1"/>
  <c r="C22" i="4" s="1"/>
  <c r="F30" i="9"/>
  <c r="F30" i="8"/>
  <c r="C17" i="4"/>
  <c r="C18" i="4" s="1"/>
  <c r="F30" i="7"/>
  <c r="C13" i="4"/>
  <c r="F30" i="6"/>
  <c r="F30" i="1"/>
  <c r="C5" i="4"/>
  <c r="C6" i="4" s="1"/>
  <c r="C14" i="4" l="1"/>
  <c r="C10" i="4"/>
  <c r="C23" i="4" s="1"/>
</calcChain>
</file>

<file path=xl/sharedStrings.xml><?xml version="1.0" encoding="utf-8"?>
<sst xmlns="http://schemas.openxmlformats.org/spreadsheetml/2006/main" count="259" uniqueCount="60">
  <si>
    <t>Labor Category</t>
  </si>
  <si>
    <t>Rate</t>
  </si>
  <si>
    <t>Database Management Coordinator</t>
  </si>
  <si>
    <t>Database Programmer/Analyst</t>
  </si>
  <si>
    <t>Database Technician</t>
  </si>
  <si>
    <t>Spatial Database Manager</t>
  </si>
  <si>
    <t>Statistician/Data Manager</t>
  </si>
  <si>
    <t>Senior Scientist</t>
  </si>
  <si>
    <t>Project Manager/Administrator</t>
  </si>
  <si>
    <t>Estimate of Project and Database Management for Firm Fixed Portion of contract</t>
  </si>
  <si>
    <t>Category</t>
  </si>
  <si>
    <t>Task 2.1 Database Management (FFP)*</t>
  </si>
  <si>
    <t>Tasks 2.2 and 2.3 Labor Subtotal (T&amp;M):</t>
  </si>
  <si>
    <t>Discount Rate</t>
  </si>
  <si>
    <t>Gov. Est. Annual Hours</t>
  </si>
  <si>
    <t>Discount %</t>
  </si>
  <si>
    <t>Total Base Year Cost</t>
  </si>
  <si>
    <t>Option Year One Cost</t>
  </si>
  <si>
    <t>Total OY2 Cost</t>
  </si>
  <si>
    <t>Total OY4 Cost</t>
  </si>
  <si>
    <t>Total</t>
  </si>
  <si>
    <t>Total OY3 Cost</t>
  </si>
  <si>
    <t xml:space="preserve">CLIN </t>
  </si>
  <si>
    <t xml:space="preserve">CLIN Description </t>
  </si>
  <si>
    <t>Total Extended Price</t>
  </si>
  <si>
    <t>CLIN 0001</t>
  </si>
  <si>
    <t>CLIN 0003</t>
  </si>
  <si>
    <t>Base Period Total Price</t>
  </si>
  <si>
    <t>CLIN 1001</t>
  </si>
  <si>
    <t>CLIN 1002</t>
  </si>
  <si>
    <t>CLIN 1003</t>
  </si>
  <si>
    <t>CLIN 2001</t>
  </si>
  <si>
    <t>CLIN 2002</t>
  </si>
  <si>
    <t>CLIN 2003</t>
  </si>
  <si>
    <t>Total All Periods</t>
  </si>
  <si>
    <t>Option One Total Price</t>
  </si>
  <si>
    <t>Option Two Total Price</t>
  </si>
  <si>
    <t>Option Three Total Price</t>
  </si>
  <si>
    <t>Option Four Total Price</t>
  </si>
  <si>
    <t>Database Management (FFP) Task 2.1</t>
  </si>
  <si>
    <t>Labor T&amp;M Task 2.2 and 2.3</t>
  </si>
  <si>
    <t>CLIN 3001</t>
  </si>
  <si>
    <t>CLIN 4001</t>
  </si>
  <si>
    <t>CLIN 4002</t>
  </si>
  <si>
    <t>Emergency Contingency T&amp;M NTE, Task 2.4</t>
  </si>
  <si>
    <t>CLIN 4003</t>
  </si>
  <si>
    <t>CLIN 3003</t>
  </si>
  <si>
    <t>CLIN 3002</t>
  </si>
  <si>
    <t>Monthly Price</t>
  </si>
  <si>
    <t>Task 2.4 Labor Subtotal (T&amp;M):</t>
  </si>
  <si>
    <t>DIVER Data Integration OPTION YEAR TWO</t>
  </si>
  <si>
    <t>DIVER Data Integration OPTION YEAR ONE</t>
  </si>
  <si>
    <t>DIVER Data Integration BASE YEAR</t>
  </si>
  <si>
    <t>DIVER Data Integration OPTION YEAR THREE</t>
  </si>
  <si>
    <t>DIVER Data Integration OPTION YEAR FOUR</t>
  </si>
  <si>
    <t>Historical Hours</t>
  </si>
  <si>
    <t>Base Year Cost</t>
  </si>
  <si>
    <t>Option Year Two Cost</t>
  </si>
  <si>
    <t>Option Year Three Cost</t>
  </si>
  <si>
    <t>Option Year Four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</si>
</sst>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color rgb="FF000000"/>
      <name val="Arial"/>
      <scheme val="minor"/>
    </font>
    <font>
      <b/>
      <sz val="16"/>
      <color rgb="FF000000"/>
      <name val="Times New Roman"/>
    </font>
    <font>
      <b/>
      <i/>
      <sz val="14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i/>
      <sz val="14"/>
      <color rgb="FF000000"/>
      <name val="Times New Roman"/>
    </font>
    <font>
      <sz val="10"/>
      <color theme="1"/>
      <name val="Times New Roman"/>
    </font>
    <font>
      <b/>
      <sz val="15"/>
      <color theme="1"/>
      <name val="Times New Roman"/>
    </font>
    <font>
      <sz val="10"/>
      <color rgb="FF000000"/>
      <name val="Arial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92D05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4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/>
    <xf numFmtId="0" fontId="3" fillId="0" borderId="0" xfId="0" applyFont="1" applyAlignment="1"/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0" fontId="5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7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5" fillId="2" borderId="1" xfId="0" applyFont="1" applyFill="1" applyBorder="1" applyAlignment="1">
      <alignment horizontal="center" wrapText="1"/>
    </xf>
    <xf numFmtId="0" fontId="3" fillId="0" borderId="0" xfId="0" applyFont="1" applyBorder="1" applyAlignment="1"/>
    <xf numFmtId="164" fontId="3" fillId="3" borderId="2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65" fontId="3" fillId="0" borderId="0" xfId="0" applyNumberFormat="1" applyFont="1" applyBorder="1" applyAlignment="1"/>
    <xf numFmtId="165" fontId="3" fillId="0" borderId="0" xfId="0" applyNumberFormat="1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/>
    </xf>
    <xf numFmtId="165" fontId="3" fillId="0" borderId="0" xfId="0" applyNumberFormat="1" applyFont="1" applyFill="1" applyBorder="1" applyAlignment="1"/>
    <xf numFmtId="165" fontId="4" fillId="0" borderId="0" xfId="0" applyNumberFormat="1" applyFont="1" applyFill="1" applyBorder="1"/>
    <xf numFmtId="44" fontId="3" fillId="3" borderId="1" xfId="1" applyFont="1" applyFill="1" applyBorder="1" applyAlignment="1">
      <alignment horizontal="right"/>
    </xf>
    <xf numFmtId="0" fontId="8" fillId="0" borderId="0" xfId="0" applyFont="1" applyBorder="1" applyAlignment="1"/>
    <xf numFmtId="0" fontId="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5" xfId="0" applyFont="1" applyBorder="1" applyAlignment="1"/>
    <xf numFmtId="0" fontId="10" fillId="2" borderId="1" xfId="0" applyFont="1" applyFill="1" applyBorder="1" applyAlignment="1">
      <alignment horizontal="center"/>
    </xf>
    <xf numFmtId="0" fontId="11" fillId="0" borderId="0" xfId="0" applyFont="1"/>
    <xf numFmtId="44" fontId="3" fillId="3" borderId="6" xfId="1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164" fontId="5" fillId="4" borderId="9" xfId="0" applyNumberFormat="1" applyFont="1" applyFill="1" applyBorder="1" applyAlignment="1">
      <alignment horizontal="right"/>
    </xf>
    <xf numFmtId="164" fontId="11" fillId="0" borderId="0" xfId="0" applyNumberFormat="1" applyFont="1"/>
    <xf numFmtId="0" fontId="10" fillId="2" borderId="2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3" fillId="0" borderId="10" xfId="0" applyFont="1" applyBorder="1"/>
    <xf numFmtId="164" fontId="13" fillId="0" borderId="10" xfId="0" applyNumberFormat="1" applyFont="1" applyBorder="1" applyAlignment="1">
      <alignment horizontal="center" vertical="center"/>
    </xf>
    <xf numFmtId="0" fontId="0" fillId="0" borderId="0" xfId="0"/>
    <xf numFmtId="0" fontId="14" fillId="5" borderId="11" xfId="0" applyFont="1" applyFill="1" applyBorder="1" applyAlignment="1">
      <alignment horizontal="left" vertical="center"/>
    </xf>
    <xf numFmtId="0" fontId="14" fillId="5" borderId="12" xfId="0" applyFont="1" applyFill="1" applyBorder="1" applyAlignment="1">
      <alignment horizontal="center" vertical="center"/>
    </xf>
    <xf numFmtId="164" fontId="14" fillId="5" borderId="13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14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15" xfId="0" applyNumberFormat="1" applyFont="1" applyBorder="1" applyAlignment="1">
      <alignment horizontal="center" vertical="center"/>
    </xf>
    <xf numFmtId="8" fontId="16" fillId="0" borderId="0" xfId="0" applyNumberFormat="1" applyFont="1"/>
    <xf numFmtId="0" fontId="15" fillId="5" borderId="16" xfId="0" applyFont="1" applyFill="1" applyBorder="1" applyAlignment="1">
      <alignment vertical="center"/>
    </xf>
    <xf numFmtId="0" fontId="17" fillId="5" borderId="4" xfId="0" applyFont="1" applyFill="1" applyBorder="1" applyAlignment="1">
      <alignment horizontal="right" vertical="center"/>
    </xf>
    <xf numFmtId="164" fontId="15" fillId="5" borderId="17" xfId="0" applyNumberFormat="1" applyFont="1" applyFill="1" applyBorder="1" applyAlignment="1">
      <alignment horizontal="center" vertical="center"/>
    </xf>
    <xf numFmtId="0" fontId="15" fillId="6" borderId="0" xfId="0" applyFont="1" applyFill="1"/>
    <xf numFmtId="0" fontId="18" fillId="6" borderId="0" xfId="0" applyFont="1" applyFill="1" applyAlignment="1">
      <alignment horizontal="right"/>
    </xf>
    <xf numFmtId="164" fontId="15" fillId="6" borderId="0" xfId="0" applyNumberFormat="1" applyFont="1" applyFill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44" fontId="3" fillId="7" borderId="1" xfId="1" applyFont="1" applyFill="1" applyBorder="1" applyAlignment="1">
      <alignment horizontal="right"/>
    </xf>
    <xf numFmtId="9" fontId="3" fillId="7" borderId="1" xfId="2" applyFont="1" applyFill="1" applyBorder="1" applyAlignment="1">
      <alignment horizontal="right"/>
    </xf>
    <xf numFmtId="44" fontId="3" fillId="7" borderId="6" xfId="1" applyFont="1" applyFill="1" applyBorder="1" applyAlignment="1">
      <alignment horizontal="right"/>
    </xf>
    <xf numFmtId="9" fontId="3" fillId="7" borderId="6" xfId="2" applyFont="1" applyFill="1" applyBorder="1" applyAlignment="1">
      <alignment horizontal="right"/>
    </xf>
    <xf numFmtId="0" fontId="0" fillId="0" borderId="0" xfId="0" applyFont="1" applyAlignment="1"/>
    <xf numFmtId="0" fontId="5" fillId="8" borderId="3" xfId="0" applyFont="1" applyFill="1" applyBorder="1" applyAlignment="1">
      <alignment horizontal="right"/>
    </xf>
    <xf numFmtId="164" fontId="4" fillId="0" borderId="0" xfId="0" applyNumberFormat="1" applyFont="1"/>
    <xf numFmtId="164" fontId="3" fillId="0" borderId="0" xfId="0" applyNumberFormat="1" applyFont="1" applyBorder="1" applyAlignment="1"/>
    <xf numFmtId="0" fontId="12" fillId="0" borderId="0" xfId="0" applyFont="1" applyAlignment="1"/>
    <xf numFmtId="0" fontId="0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2c14f4ca-15cc-4cc9-a4b1-5c2af28551d0}">
    <Anchor>
      <Comment id="{09450521-d91a-415e-a615-e4505f959eab}"/>
    </Anchor>
    <History>
      <Event time="2026-02-12T16:29:20.00" id="{4f0cd25a-57e7-40d5-8432-50f64a4d702d}">
        <Attribution userId="placeholder@email.com" userName="Benjamin Shorr - NOAA Federal" userProvider="google-sheets"/>
        <Anchor>
          <Comment id="{4567a6c0-0970-4693-b6d1-52a568e7348d}"/>
        </Anchor>
        <Create/>
      </Event>
      <Event time="2026-02-12T16:29:20.00" id="{30012089-62ab-4a0e-817e-939d311b7a67}">
        <Attribution userId="placeholder@email.com" userName="Benjamin Shorr - NOAA Federal" userProvider="google-sheets"/>
        <Anchor>
          <Comment id="{4567a6c0-0970-4693-b6d1-52a568e7348d}"/>
        </Anchor>
        <Assign userId="heather.l.coleman@noaa.gov" userName="heather.l.coleman@noaa.gov" userProvider="google-sheets"/>
      </Event>
    </History>
  </Task>
  <Task id="{81480f83-e3ad-459e-803d-c7852d53bef2}">
    <Anchor>
      <Comment id="{dc23b282-ab8c-4c97-a31f-e5fe938c1864}"/>
    </Anchor>
    <History>
      <Event time="2026-02-26T16:56:29.00" id="{78c816b0-cac4-407a-ac22-d20f817c6598}">
        <Attribution userId="placeholder@email.com" userName="Benjamin Shorr - NOAA Federal" userProvider="google-sheets"/>
        <Anchor>
          <Comment id="{322d7b94-a38d-4799-a4d5-8df980ec5cbe}"/>
        </Anchor>
        <Create/>
      </Event>
      <Event time="2026-02-26T16:56:29.00" id="{7de76e2e-676f-4a88-9c91-c5460f540867}">
        <Attribution userId="placeholder@email.com" userName="Benjamin Shorr - NOAA Federal" userProvider="google-sheets"/>
        <Anchor>
          <Comment id="{322d7b94-a38d-4799-a4d5-8df980ec5cbe}"/>
        </Anchor>
        <Assign userId="heather.l.coleman@noaa.gov" userName="heather.l.coleman@noaa.gov" userProvider="google-sheets"/>
      </Event>
    </History>
  </Task>
  <Task id="{5d2401d2-46b7-4d0c-a900-8cc0dca4cae7}">
    <Anchor>
      <Comment id="{c2ff4cad-8335-4731-b829-2791d0ffba96}"/>
    </Anchor>
    <History>
      <Event time="2026-02-23T22:00:49.00" id="{798267b3-0792-48de-a5bf-c78fa9cee10a}">
        <Attribution userId="placeholder@email.com" userName="Heather Coleman - NOAA Federal" userProvider="google-sheets"/>
        <Anchor>
          <Comment id="{c2ff4cad-8335-4731-b829-2791d0ffba96}"/>
        </Anchor>
        <Create/>
      </Event>
      <Event time="2026-02-23T22:00:49.00" id="{bc69dc78-2bc3-4119-be30-20e7da51217a}">
        <Attribution userId="placeholder@email.com" userName="Heather Coleman - NOAA Federal" userProvider="google-sheets"/>
        <Anchor>
          <Comment id="{c2ff4cad-8335-4731-b829-2791d0ffba96}"/>
        </Anchor>
        <Assign userId="benjamin.shorr@noaa.gov" userName="benjamin.shorr@noaa.gov" userProvider="google-sheets"/>
      </Event>
    </History>
  </Task>
</Tasks>
</file>

<file path=xl/persons/person.xml><?xml version="1.0" encoding="utf-8"?>
<x18tc:personList xmlns:x18tc="http://schemas.microsoft.com/office/spreadsheetml/2018/threadedcomments">
  <x18tc:person displayName="Heather Coleman - NOAA Federal" id="{bb191eac-9cb4-4f26-a504-37f3be7f7bfc}" providerId="google-sheets"/>
  <x18tc:person displayName="heather.l.coleman@noaa.gov" id="{d2982dc2-5b39-4424-bf38-29b0717fa2b5}" userId="heather.l.coleman@noaa.gov" providerId="google-sheets"/>
  <x18tc:person displayName="Benjamin Shorr - NOAA Federal" id="{f6ecbcc6-e376-4b88-b756-ab2370b16509}" providerId="google-sheets"/>
  <x18tc:person displayName="benjamin.shorr@noaa.gov" id="{c1fc9187-f410-46d8-8ded-fbc9b95fa152}" userId="benjamin.shorr@noaa.gov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6-02-12T13:12:27.00" personId="{bb191eac-9cb4-4f26-a504-37f3be7f7bfc}" id="{09450521-d91a-415e-a615-e4505f959eab}" done="1">
    <x18tc:text xml:space="preserve">@benjamin.shorr@noaa.gov What are these rates based off of?
Assigned to benjamin.shorr@noaa.gov</x18tc:text>
    <x18tc:mentions>
      <x18tc:mention mentionpersonId="{c1fc9187-f410-46d8-8ded-fbc9b95fa152}" mentionId="{bf863771-a98b-41e9-a46f-09eda0be86da}" startIndex="0" length="24"/>
    </x18tc:mentions>
  </x18tc:threadedComment>
  <x18tc:threadedComment ref="B8" dT="2026-02-12T16:29:20.00" personId="{f6ecbcc6-e376-4b88-b756-ab2370b16509}" id="{4567a6c0-0970-4693-b6d1-52a568e7348d}" parentId="{09450521-d91a-415e-a615-e4505f959eab}">
    <x18tc:text xml:space="preserve">These rates were based on my Option Year 2 IGCE for the current contract; I've updated these rates to reflect the current contract x 0.02. @heather.l.coleman@noaa.gov
Reassigned to heather.l.coleman@noaa.gov</x18tc:text>
    <x18tc:mentions>
      <x18tc:mention mentionpersonId="{d2982dc2-5b39-4424-bf38-29b0717fa2b5}" mentionId="{ca4e64be-71b0-4e99-b79c-8e103ca49875}" startIndex="139" length="27"/>
    </x18tc:mentions>
  </x18tc:threadedComment>
  <x18tc:threadedComment ref="A17" dT="2026-02-24T12:46:37.00" personId="{bb191eac-9cb4-4f26-a504-37f3be7f7bfc}" id="{dc23b282-ab8c-4c97-a31f-e5fe938c1864}" done="1">
    <x18tc:text xml:space="preserve">@benjamin.shorr@noaa.gov Can this not be included in the above T&amp;M? Does it have to be a separate CLIN? Since it is T&amp;M, it can be funded on an as-needed but could potentially be quicker to "activate" if there is funding available instead of waiting on a funding mod.
Assigned to benjamin.shorr@noaa.gov</x18tc:text>
    <x18tc:mentions>
      <x18tc:mention mentionpersonId="{c1fc9187-f410-46d8-8ded-fbc9b95fa152}" mentionId="{2c88b66d-bbdc-4658-8369-b4391ee82912}" startIndex="0" length="24"/>
    </x18tc:mentions>
  </x18tc:threadedComment>
  <x18tc:threadedComment ref="A17" dT="2026-02-26T16:56:29.00" personId="{f6ecbcc6-e376-4b88-b756-ab2370b16509}" id="{322d7b94-a38d-4799-a4d5-8df980ec5cbe}" parentId="{dc23b282-ab8c-4c97-a31f-e5fe938c1864}">
    <x18tc:text xml:space="preserve">@heather.l.coleman@noaa.gov I'm happy to do this however you think best - however I don't know how I would include in T&amp;M with unknown hours.
Reassigned to heather.l.coleman@noaa.gov</x18tc:text>
    <x18tc:mentions>
      <x18tc:mention mentionpersonId="{d2982dc2-5b39-4424-bf38-29b0717fa2b5}" mentionId="{920a3a63-21d1-43fa-bf03-019f45fb3ed6}" startIndex="0" length="27"/>
    </x18tc:mentions>
  </x18tc:threadedComment>
  <x18tc:threadedComment ref="A17" dT="2026-02-26T17:10:14.00" personId="{bb191eac-9cb4-4f26-a504-37f3be7f7bfc}" id="{db63b8d4-1fd4-409d-97d6-9a6a32bed662}" parentId="{dc23b282-ab8c-4c97-a31f-e5fe938c1864}">
    <x18tc:text xml:space="preserve">Either way there has to be basis, even if just an estimate. There is no mechanism that we can set an amount for anything other than travel/ODCs.</x18tc:text>
  </x18tc:threadedComment>
  <x18tc:threadedComment ref="E4" dT="2026-02-23T22:00:49.00" personId="{bb191eac-9cb4-4f26-a504-37f3be7f7bfc}" id="{c2ff4cad-8335-4731-b829-2791d0ffba96}" done="1">
    <x18tc:text xml:space="preserve">@benjamin.shorr@noaa.gov Where did this come from? What is the breakdown here?
Assigned to benjamin.shorr@noaa.gov</x18tc:text>
    <x18tc:mentions>
      <x18tc:mention mentionpersonId="{c1fc9187-f410-46d8-8ded-fbc9b95fa152}" mentionId="{fd1fb46d-8f45-4054-9130-f66ac2b47043}" startIndex="0" length="24"/>
    </x18tc:mentions>
  </x18tc:threadedComment>
  <x18tc:threadedComment ref="E4" dT="2026-02-23T23:39:12.00" personId="{f6ecbcc6-e376-4b88-b756-ab2370b16509}" id="{3dc928b9-1039-4690-83b9-6ea158cfe6ab}" parentId="{c2ff4cad-8335-4731-b829-2791d0ffba96}">
    <x18tc:text xml:space="preserve">I will provide a breakdown of prior T&amp;M that was used to derive this FFP based on AGO's prior directive to convert some of the T&amp;M to FFP. Basically, there is a minimum amount of overall support needed per month for database management, dataset review and data template management and updates.</x18tc:text>
  </x18tc:threadedComment>
  <x18tc:threadedComment ref="E4" dT="2026-02-24T12:45:02.00" personId="{bb191eac-9cb4-4f26-a504-37f3be7f7bfc}" id="{ceba13b2-a789-433e-ae04-b61ff7fb1356}" parentId="{c2ff4cad-8335-4731-b829-2791d0ffba96}">
    <x18tc:text xml:space="preserve">Great, that is perfect. thank you!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7054-3D87-474B-9404-7D995584B156}">
  <sheetPr>
    <outlinePr summaryBelow="0" summaryRight="0"/>
  </sheetPr>
  <dimension ref="A1:Y997"/>
  <sheetViews>
    <sheetView tabSelected="1" workbookViewId="0">
      <selection activeCell="H9" sqref="H9"/>
    </sheetView>
  </sheetViews>
  <sheetFormatPr defaultColWidth="13.7265625" defaultRowHeight="15.75" customHeight="1" x14ac:dyDescent="0.25"/>
  <cols>
    <col min="1" max="1" width="12" style="47" customWidth="1"/>
    <col min="2" max="2" width="66.54296875" style="47" customWidth="1"/>
    <col min="3" max="3" width="20.7265625" style="47" customWidth="1"/>
    <col min="4" max="7" width="9.81640625" style="47" customWidth="1"/>
    <col min="8" max="8" width="10.1796875" style="47" bestFit="1" customWidth="1"/>
    <col min="9" max="25" width="9.81640625" style="47" customWidth="1"/>
    <col min="26" max="16384" width="13.7265625" style="47"/>
  </cols>
  <sheetData>
    <row r="1" spans="1:25" ht="15" customHeight="1" thickBot="1" x14ac:dyDescent="0.35">
      <c r="A1" s="45"/>
      <c r="B1" s="45"/>
      <c r="C1" s="46"/>
    </row>
    <row r="2" spans="1:25" ht="15" x14ac:dyDescent="0.3">
      <c r="A2" s="48" t="s">
        <v>22</v>
      </c>
      <c r="B2" s="49" t="s">
        <v>23</v>
      </c>
      <c r="C2" s="50" t="s">
        <v>24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52.5" customHeight="1" x14ac:dyDescent="0.3">
      <c r="A3" s="52" t="s">
        <v>25</v>
      </c>
      <c r="B3" s="53" t="s">
        <v>39</v>
      </c>
      <c r="C3" s="54">
        <f>'Base Year'!F11</f>
        <v>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 ht="57" customHeight="1" x14ac:dyDescent="0.3">
      <c r="A4" s="52" t="s">
        <v>43</v>
      </c>
      <c r="B4" s="53" t="s">
        <v>40</v>
      </c>
      <c r="C4" s="54">
        <f>'Base Year'!F21</f>
        <v>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41.15" customHeight="1" x14ac:dyDescent="0.3">
      <c r="A5" s="52" t="s">
        <v>26</v>
      </c>
      <c r="B5" s="53" t="s">
        <v>44</v>
      </c>
      <c r="C5" s="54">
        <f>'Base Year'!F28</f>
        <v>0</v>
      </c>
      <c r="D5" s="51"/>
      <c r="E5" s="51"/>
      <c r="F5" s="51"/>
      <c r="G5" s="51"/>
      <c r="H5" s="55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30.65" customHeight="1" x14ac:dyDescent="0.3">
      <c r="A6" s="56"/>
      <c r="B6" s="57" t="s">
        <v>27</v>
      </c>
      <c r="C6" s="58">
        <f>SUM(C3:C5)</f>
        <v>0</v>
      </c>
      <c r="D6" s="51"/>
      <c r="E6" s="51"/>
      <c r="F6" s="51"/>
      <c r="G6" s="51"/>
      <c r="H6" s="55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52" customHeight="1" x14ac:dyDescent="0.3">
      <c r="A7" s="52" t="s">
        <v>28</v>
      </c>
      <c r="B7" s="53" t="s">
        <v>39</v>
      </c>
      <c r="C7" s="54">
        <f>'OY1'!F11</f>
        <v>0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36.65" customHeight="1" x14ac:dyDescent="0.3">
      <c r="A8" s="52" t="s">
        <v>29</v>
      </c>
      <c r="B8" s="53" t="s">
        <v>40</v>
      </c>
      <c r="C8" s="54">
        <f>'OY1'!F21</f>
        <v>0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38.15" customHeight="1" x14ac:dyDescent="0.3">
      <c r="A9" s="52" t="s">
        <v>30</v>
      </c>
      <c r="B9" s="53" t="s">
        <v>44</v>
      </c>
      <c r="C9" s="54">
        <f>'OY1'!F28</f>
        <v>0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ht="45.65" customHeight="1" x14ac:dyDescent="0.3">
      <c r="A10" s="56"/>
      <c r="B10" s="57" t="s">
        <v>35</v>
      </c>
      <c r="C10" s="58">
        <f>SUM(C7:C9)</f>
        <v>0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36" customHeight="1" x14ac:dyDescent="0.3">
      <c r="A11" s="52" t="s">
        <v>31</v>
      </c>
      <c r="B11" s="53" t="s">
        <v>39</v>
      </c>
      <c r="C11" s="54">
        <f>'OY2'!F11</f>
        <v>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30.65" customHeight="1" x14ac:dyDescent="0.3">
      <c r="A12" s="52" t="s">
        <v>32</v>
      </c>
      <c r="B12" s="53" t="s">
        <v>40</v>
      </c>
      <c r="C12" s="54">
        <f>'OY2'!F21</f>
        <v>0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36.65" customHeight="1" x14ac:dyDescent="0.3">
      <c r="A13" s="52" t="s">
        <v>33</v>
      </c>
      <c r="B13" s="53" t="s">
        <v>44</v>
      </c>
      <c r="C13" s="54">
        <f>'OY2'!F28</f>
        <v>0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68.150000000000006" customHeight="1" x14ac:dyDescent="0.3">
      <c r="A14" s="56"/>
      <c r="B14" s="57" t="s">
        <v>36</v>
      </c>
      <c r="C14" s="58">
        <f>SUM(C11:C13)</f>
        <v>0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57.65" customHeight="1" x14ac:dyDescent="0.3">
      <c r="A15" s="52" t="s">
        <v>41</v>
      </c>
      <c r="B15" s="53" t="s">
        <v>39</v>
      </c>
      <c r="C15" s="54">
        <f>'OY3'!F11</f>
        <v>0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43.5" customHeight="1" x14ac:dyDescent="0.3">
      <c r="A16" s="52" t="s">
        <v>47</v>
      </c>
      <c r="B16" s="53" t="s">
        <v>40</v>
      </c>
      <c r="C16" s="54">
        <f>'OY3'!F21</f>
        <v>0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52.5" customHeight="1" x14ac:dyDescent="0.3">
      <c r="A17" s="52" t="s">
        <v>46</v>
      </c>
      <c r="B17" s="53" t="s">
        <v>44</v>
      </c>
      <c r="C17" s="54">
        <f>'OY3'!F28</f>
        <v>0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57" customHeight="1" x14ac:dyDescent="0.3">
      <c r="A18" s="56"/>
      <c r="B18" s="57" t="s">
        <v>37</v>
      </c>
      <c r="C18" s="58">
        <f>SUM(C15:C17)</f>
        <v>0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57" customHeight="1" x14ac:dyDescent="0.3">
      <c r="A19" s="52" t="s">
        <v>42</v>
      </c>
      <c r="B19" s="53" t="s">
        <v>39</v>
      </c>
      <c r="C19" s="54">
        <f>'OY4'!F11</f>
        <v>0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57" customHeight="1" x14ac:dyDescent="0.3">
      <c r="A20" s="52" t="s">
        <v>43</v>
      </c>
      <c r="B20" s="53" t="s">
        <v>40</v>
      </c>
      <c r="C20" s="54">
        <f>'OY4'!F21</f>
        <v>0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57" customHeight="1" x14ac:dyDescent="0.3">
      <c r="A21" s="52" t="s">
        <v>45</v>
      </c>
      <c r="B21" s="53" t="s">
        <v>44</v>
      </c>
      <c r="C21" s="54">
        <f>'OY4'!F28</f>
        <v>0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57" customHeight="1" x14ac:dyDescent="0.3">
      <c r="A22" s="56"/>
      <c r="B22" s="57" t="s">
        <v>38</v>
      </c>
      <c r="C22" s="58">
        <f>SUM(C19:C21)</f>
        <v>0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5.75" customHeight="1" x14ac:dyDescent="0.3">
      <c r="A23" s="59"/>
      <c r="B23" s="60" t="s">
        <v>34</v>
      </c>
      <c r="C23" s="61">
        <f>C22+C18+C14+C10+C6</f>
        <v>0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ht="15.75" customHeight="1" x14ac:dyDescent="0.3">
      <c r="A24" s="51"/>
      <c r="B24" s="51"/>
      <c r="C24" s="62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 ht="15.75" customHeight="1" x14ac:dyDescent="0.3">
      <c r="A25" s="51"/>
      <c r="B25" s="51"/>
      <c r="C25" s="62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ht="15.75" customHeight="1" x14ac:dyDescent="0.3">
      <c r="A26" s="51"/>
      <c r="B26" s="51"/>
      <c r="C26" s="62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1:25" ht="15.75" customHeight="1" x14ac:dyDescent="0.3">
      <c r="A27" s="51"/>
      <c r="B27" s="51"/>
      <c r="C27" s="62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 ht="15.75" customHeight="1" x14ac:dyDescent="0.3">
      <c r="A28" s="51"/>
      <c r="B28" s="51"/>
      <c r="C28" s="62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 ht="15.75" customHeight="1" x14ac:dyDescent="0.3">
      <c r="A29" s="51"/>
      <c r="B29" s="51"/>
      <c r="C29" s="62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ht="15.75" customHeight="1" x14ac:dyDescent="0.3">
      <c r="A30" s="51"/>
      <c r="B30" s="51"/>
      <c r="C30" s="62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ht="15.75" customHeight="1" x14ac:dyDescent="0.3">
      <c r="A31" s="51"/>
      <c r="B31" s="51"/>
      <c r="C31" s="62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15.75" customHeight="1" x14ac:dyDescent="0.3">
      <c r="A32" s="51"/>
      <c r="B32" s="51"/>
      <c r="C32" s="62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15.75" customHeight="1" x14ac:dyDescent="0.3">
      <c r="A33" s="51"/>
      <c r="B33" s="51"/>
      <c r="C33" s="62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15.75" customHeight="1" x14ac:dyDescent="0.3">
      <c r="A34" s="51"/>
      <c r="B34" s="51"/>
      <c r="C34" s="62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15.75" customHeight="1" x14ac:dyDescent="0.3">
      <c r="A35" s="51"/>
      <c r="B35" s="51"/>
      <c r="C35" s="62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ht="15.75" customHeight="1" x14ac:dyDescent="0.3">
      <c r="A36" s="51"/>
      <c r="B36" s="51"/>
      <c r="C36" s="62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15.75" customHeight="1" x14ac:dyDescent="0.3">
      <c r="A37" s="51"/>
      <c r="B37" s="51"/>
      <c r="C37" s="62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15.75" customHeight="1" x14ac:dyDescent="0.3">
      <c r="A38" s="51"/>
      <c r="B38" s="51"/>
      <c r="C38" s="62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15.75" customHeight="1" x14ac:dyDescent="0.3">
      <c r="A39" s="51"/>
      <c r="B39" s="51"/>
      <c r="C39" s="62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15.75" customHeight="1" x14ac:dyDescent="0.3">
      <c r="A40" s="51"/>
      <c r="B40" s="51"/>
      <c r="C40" s="62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ht="15.75" customHeight="1" x14ac:dyDescent="0.3">
      <c r="A41" s="51"/>
      <c r="B41" s="51"/>
      <c r="C41" s="62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ht="15.75" customHeight="1" x14ac:dyDescent="0.3">
      <c r="A42" s="51"/>
      <c r="B42" s="51"/>
      <c r="C42" s="62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ht="15.75" customHeight="1" x14ac:dyDescent="0.3">
      <c r="A43" s="51"/>
      <c r="B43" s="51"/>
      <c r="C43" s="62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ht="15.75" customHeight="1" x14ac:dyDescent="0.3">
      <c r="A44" s="51"/>
      <c r="B44" s="51"/>
      <c r="C44" s="62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ht="15.75" customHeight="1" x14ac:dyDescent="0.3">
      <c r="A45" s="51"/>
      <c r="B45" s="51"/>
      <c r="C45" s="62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ht="15.75" customHeight="1" x14ac:dyDescent="0.3">
      <c r="A46" s="51"/>
      <c r="B46" s="51"/>
      <c r="C46" s="62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ht="15.75" customHeight="1" x14ac:dyDescent="0.3">
      <c r="A47" s="51"/>
      <c r="B47" s="51"/>
      <c r="C47" s="62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ht="15.75" customHeight="1" x14ac:dyDescent="0.3">
      <c r="A48" s="51"/>
      <c r="B48" s="51"/>
      <c r="C48" s="62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ht="15.75" customHeight="1" x14ac:dyDescent="0.3">
      <c r="A49" s="51"/>
      <c r="B49" s="51"/>
      <c r="C49" s="62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 ht="15.75" customHeight="1" x14ac:dyDescent="0.3">
      <c r="A50" s="51"/>
      <c r="B50" s="51"/>
      <c r="C50" s="62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1:25" ht="15.75" customHeight="1" x14ac:dyDescent="0.3">
      <c r="A51" s="51"/>
      <c r="B51" s="51"/>
      <c r="C51" s="62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1:25" ht="15.75" customHeight="1" x14ac:dyDescent="0.3">
      <c r="A52" s="51"/>
      <c r="B52" s="51"/>
      <c r="C52" s="62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1:25" ht="15.75" customHeight="1" x14ac:dyDescent="0.3">
      <c r="A53" s="51"/>
      <c r="B53" s="51"/>
      <c r="C53" s="62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1:25" ht="15.75" customHeight="1" x14ac:dyDescent="0.3">
      <c r="A54" s="51"/>
      <c r="B54" s="51"/>
      <c r="C54" s="62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1:25" ht="15.75" customHeight="1" x14ac:dyDescent="0.3">
      <c r="A55" s="51"/>
      <c r="B55" s="51"/>
      <c r="C55" s="62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1:25" ht="15.75" customHeight="1" x14ac:dyDescent="0.3">
      <c r="A56" s="51"/>
      <c r="B56" s="51"/>
      <c r="C56" s="62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1:25" ht="15.75" customHeight="1" x14ac:dyDescent="0.3">
      <c r="A57" s="51"/>
      <c r="B57" s="51"/>
      <c r="C57" s="62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1:25" ht="15.75" customHeight="1" x14ac:dyDescent="0.3">
      <c r="A58" s="51"/>
      <c r="B58" s="51"/>
      <c r="C58" s="62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1:25" ht="15.75" customHeight="1" x14ac:dyDescent="0.3">
      <c r="A59" s="51"/>
      <c r="B59" s="51"/>
      <c r="C59" s="62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1:25" ht="15.75" customHeight="1" x14ac:dyDescent="0.3">
      <c r="A60" s="51"/>
      <c r="B60" s="51"/>
      <c r="C60" s="62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25" ht="15.75" customHeight="1" x14ac:dyDescent="0.3">
      <c r="A61" s="51"/>
      <c r="B61" s="51"/>
      <c r="C61" s="62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25" ht="15.75" customHeight="1" x14ac:dyDescent="0.3">
      <c r="A62" s="51"/>
      <c r="B62" s="51"/>
      <c r="C62" s="62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1:25" ht="15.75" customHeight="1" x14ac:dyDescent="0.3">
      <c r="A63" s="51"/>
      <c r="B63" s="51"/>
      <c r="C63" s="62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1:25" ht="15.75" customHeight="1" x14ac:dyDescent="0.3">
      <c r="A64" s="51"/>
      <c r="B64" s="51"/>
      <c r="C64" s="62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15.75" customHeight="1" x14ac:dyDescent="0.3">
      <c r="A65" s="51"/>
      <c r="B65" s="51"/>
      <c r="C65" s="6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1:25" ht="15.75" customHeight="1" x14ac:dyDescent="0.3">
      <c r="A66" s="51"/>
      <c r="B66" s="51"/>
      <c r="C66" s="6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1:25" ht="15.75" customHeight="1" x14ac:dyDescent="0.3">
      <c r="A67" s="51"/>
      <c r="B67" s="51"/>
      <c r="C67" s="6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1:25" ht="15.75" customHeight="1" x14ac:dyDescent="0.3">
      <c r="A68" s="51"/>
      <c r="B68" s="51"/>
      <c r="C68" s="6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1:25" ht="15.75" customHeight="1" x14ac:dyDescent="0.3">
      <c r="A69" s="51"/>
      <c r="B69" s="51"/>
      <c r="C69" s="6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15.75" customHeight="1" x14ac:dyDescent="0.3">
      <c r="A70" s="51"/>
      <c r="B70" s="51"/>
      <c r="C70" s="6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spans="1:25" ht="15.75" customHeight="1" x14ac:dyDescent="0.3">
      <c r="A71" s="51"/>
      <c r="B71" s="51"/>
      <c r="C71" s="6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1:25" ht="15.75" customHeight="1" x14ac:dyDescent="0.3">
      <c r="A72" s="51"/>
      <c r="B72" s="51"/>
      <c r="C72" s="6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1:25" ht="15.75" customHeight="1" x14ac:dyDescent="0.3">
      <c r="A73" s="51"/>
      <c r="B73" s="51"/>
      <c r="C73" s="62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spans="1:25" ht="15.75" customHeight="1" x14ac:dyDescent="0.3">
      <c r="A74" s="51"/>
      <c r="B74" s="51"/>
      <c r="C74" s="62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15.75" customHeight="1" x14ac:dyDescent="0.3">
      <c r="A75" s="51"/>
      <c r="B75" s="51"/>
      <c r="C75" s="62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1:25" ht="15.75" customHeight="1" x14ac:dyDescent="0.3">
      <c r="A76" s="51"/>
      <c r="B76" s="51"/>
      <c r="C76" s="62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spans="1:25" ht="15.75" customHeight="1" x14ac:dyDescent="0.3">
      <c r="A77" s="51"/>
      <c r="B77" s="51"/>
      <c r="C77" s="62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spans="1:25" ht="15.75" customHeight="1" x14ac:dyDescent="0.3">
      <c r="A78" s="51"/>
      <c r="B78" s="51"/>
      <c r="C78" s="62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spans="1:25" ht="15.75" customHeight="1" x14ac:dyDescent="0.3">
      <c r="A79" s="51"/>
      <c r="B79" s="51"/>
      <c r="C79" s="62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15.75" customHeight="1" x14ac:dyDescent="0.3">
      <c r="A80" s="51"/>
      <c r="B80" s="51"/>
      <c r="C80" s="62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spans="1:25" ht="15.75" customHeight="1" x14ac:dyDescent="0.3">
      <c r="A81" s="51"/>
      <c r="B81" s="51"/>
      <c r="C81" s="62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spans="1:25" ht="15.75" customHeight="1" x14ac:dyDescent="0.3">
      <c r="A82" s="51"/>
      <c r="B82" s="51"/>
      <c r="C82" s="62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1:25" ht="15.75" customHeight="1" x14ac:dyDescent="0.3">
      <c r="A83" s="51"/>
      <c r="B83" s="51"/>
      <c r="C83" s="62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1:25" ht="15.75" customHeight="1" x14ac:dyDescent="0.3">
      <c r="A84" s="51"/>
      <c r="B84" s="51"/>
      <c r="C84" s="62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15.75" customHeight="1" x14ac:dyDescent="0.3">
      <c r="A85" s="51"/>
      <c r="B85" s="51"/>
      <c r="C85" s="62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spans="1:25" ht="15.75" customHeight="1" x14ac:dyDescent="0.3">
      <c r="A86" s="51"/>
      <c r="B86" s="51"/>
      <c r="C86" s="62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spans="1:25" ht="15.75" customHeight="1" x14ac:dyDescent="0.3">
      <c r="A87" s="51"/>
      <c r="B87" s="51"/>
      <c r="C87" s="62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spans="1:25" ht="15.75" customHeight="1" x14ac:dyDescent="0.3">
      <c r="A88" s="51"/>
      <c r="B88" s="51"/>
      <c r="C88" s="62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spans="1:25" ht="15.75" customHeight="1" x14ac:dyDescent="0.3">
      <c r="A89" s="51"/>
      <c r="B89" s="51"/>
      <c r="C89" s="62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spans="1:25" ht="15.75" customHeight="1" x14ac:dyDescent="0.3">
      <c r="A90" s="51"/>
      <c r="B90" s="51"/>
      <c r="C90" s="62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spans="1:25" ht="15.75" customHeight="1" x14ac:dyDescent="0.3">
      <c r="A91" s="51"/>
      <c r="B91" s="51"/>
      <c r="C91" s="62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spans="1:25" ht="15.75" customHeight="1" x14ac:dyDescent="0.3">
      <c r="A92" s="51"/>
      <c r="B92" s="51"/>
      <c r="C92" s="62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spans="1:25" ht="15.75" customHeight="1" x14ac:dyDescent="0.3">
      <c r="A93" s="51"/>
      <c r="B93" s="51"/>
      <c r="C93" s="62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1:25" ht="15.75" customHeight="1" x14ac:dyDescent="0.3">
      <c r="A94" s="51"/>
      <c r="B94" s="51"/>
      <c r="C94" s="62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1:25" ht="15.75" customHeight="1" x14ac:dyDescent="0.3">
      <c r="A95" s="51"/>
      <c r="B95" s="51"/>
      <c r="C95" s="62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spans="1:25" ht="15.75" customHeight="1" x14ac:dyDescent="0.3">
      <c r="A96" s="51"/>
      <c r="B96" s="51"/>
      <c r="C96" s="62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spans="1:25" ht="15.75" customHeight="1" x14ac:dyDescent="0.3">
      <c r="A97" s="51"/>
      <c r="B97" s="51"/>
      <c r="C97" s="62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spans="1:25" ht="15.75" customHeight="1" x14ac:dyDescent="0.3">
      <c r="A98" s="51"/>
      <c r="B98" s="51"/>
      <c r="C98" s="62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spans="1:25" ht="15.75" customHeight="1" x14ac:dyDescent="0.3">
      <c r="A99" s="51"/>
      <c r="B99" s="51"/>
      <c r="C99" s="62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1:25" ht="15.75" customHeight="1" x14ac:dyDescent="0.3">
      <c r="A100" s="51"/>
      <c r="B100" s="51"/>
      <c r="C100" s="62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spans="1:25" ht="15.75" customHeight="1" x14ac:dyDescent="0.3">
      <c r="A101" s="51"/>
      <c r="B101" s="51"/>
      <c r="C101" s="62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 ht="15.75" customHeight="1" x14ac:dyDescent="0.3">
      <c r="A102" s="51"/>
      <c r="B102" s="51"/>
      <c r="C102" s="62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 ht="15.75" customHeight="1" x14ac:dyDescent="0.3">
      <c r="A103" s="51"/>
      <c r="B103" s="51"/>
      <c r="C103" s="62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 ht="15.75" customHeight="1" x14ac:dyDescent="0.3">
      <c r="A104" s="51"/>
      <c r="B104" s="51"/>
      <c r="C104" s="62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ht="15.75" customHeight="1" x14ac:dyDescent="0.3">
      <c r="A105" s="51"/>
      <c r="B105" s="51"/>
      <c r="C105" s="62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 ht="15.75" customHeight="1" x14ac:dyDescent="0.3">
      <c r="A106" s="51"/>
      <c r="B106" s="51"/>
      <c r="C106" s="62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1:25" ht="15.75" customHeight="1" x14ac:dyDescent="0.3">
      <c r="A107" s="51"/>
      <c r="B107" s="51"/>
      <c r="C107" s="62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1:25" ht="15.75" customHeight="1" x14ac:dyDescent="0.3">
      <c r="A108" s="51"/>
      <c r="B108" s="51"/>
      <c r="C108" s="62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1:25" ht="15.75" customHeight="1" x14ac:dyDescent="0.3">
      <c r="A109" s="51"/>
      <c r="B109" s="51"/>
      <c r="C109" s="62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1:25" ht="15.75" customHeight="1" x14ac:dyDescent="0.3">
      <c r="A110" s="51"/>
      <c r="B110" s="51"/>
      <c r="C110" s="62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1:25" ht="15.75" customHeight="1" x14ac:dyDescent="0.3">
      <c r="A111" s="51"/>
      <c r="B111" s="51"/>
      <c r="C111" s="62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1:25" ht="15.75" customHeight="1" x14ac:dyDescent="0.3">
      <c r="A112" s="51"/>
      <c r="B112" s="51"/>
      <c r="C112" s="62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1:25" ht="15.75" customHeight="1" x14ac:dyDescent="0.3">
      <c r="A113" s="51"/>
      <c r="B113" s="51"/>
      <c r="C113" s="62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1:25" ht="15.75" customHeight="1" x14ac:dyDescent="0.3">
      <c r="A114" s="51"/>
      <c r="B114" s="51"/>
      <c r="C114" s="62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1:25" ht="15.75" customHeight="1" x14ac:dyDescent="0.3">
      <c r="A115" s="51"/>
      <c r="B115" s="51"/>
      <c r="C115" s="62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1:25" ht="15.75" customHeight="1" x14ac:dyDescent="0.3">
      <c r="A116" s="51"/>
      <c r="B116" s="51"/>
      <c r="C116" s="62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1:25" ht="15.75" customHeight="1" x14ac:dyDescent="0.3">
      <c r="A117" s="51"/>
      <c r="B117" s="51"/>
      <c r="C117" s="62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1:25" ht="15.75" customHeight="1" x14ac:dyDescent="0.3">
      <c r="A118" s="51"/>
      <c r="B118" s="51"/>
      <c r="C118" s="62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1:25" ht="15.75" customHeight="1" x14ac:dyDescent="0.3">
      <c r="A119" s="51"/>
      <c r="B119" s="51"/>
      <c r="C119" s="62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1:25" ht="15.75" customHeight="1" x14ac:dyDescent="0.3">
      <c r="A120" s="51"/>
      <c r="B120" s="51"/>
      <c r="C120" s="62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1:25" ht="15.75" customHeight="1" x14ac:dyDescent="0.3">
      <c r="A121" s="51"/>
      <c r="B121" s="51"/>
      <c r="C121" s="62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1:25" ht="15.75" customHeight="1" x14ac:dyDescent="0.3">
      <c r="A122" s="51"/>
      <c r="B122" s="51"/>
      <c r="C122" s="62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spans="1:25" ht="15.75" customHeight="1" x14ac:dyDescent="0.3">
      <c r="A123" s="51"/>
      <c r="B123" s="51"/>
      <c r="C123" s="62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spans="1:25" ht="15.75" customHeight="1" x14ac:dyDescent="0.3">
      <c r="A124" s="51"/>
      <c r="B124" s="51"/>
      <c r="C124" s="62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1:25" ht="15.75" customHeight="1" x14ac:dyDescent="0.3">
      <c r="A125" s="51"/>
      <c r="B125" s="51"/>
      <c r="C125" s="62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1:25" ht="15.75" customHeight="1" x14ac:dyDescent="0.3">
      <c r="A126" s="51"/>
      <c r="B126" s="51"/>
      <c r="C126" s="62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1:25" ht="15.75" customHeight="1" x14ac:dyDescent="0.3">
      <c r="A127" s="51"/>
      <c r="B127" s="51"/>
      <c r="C127" s="62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1:25" ht="15.75" customHeight="1" x14ac:dyDescent="0.3">
      <c r="A128" s="51"/>
      <c r="B128" s="51"/>
      <c r="C128" s="62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25" ht="15.75" customHeight="1" x14ac:dyDescent="0.3">
      <c r="A129" s="51"/>
      <c r="B129" s="51"/>
      <c r="C129" s="62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25" ht="15.75" customHeight="1" x14ac:dyDescent="0.3">
      <c r="A130" s="51"/>
      <c r="B130" s="51"/>
      <c r="C130" s="62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1:25" ht="15.75" customHeight="1" x14ac:dyDescent="0.3">
      <c r="A131" s="51"/>
      <c r="B131" s="51"/>
      <c r="C131" s="62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1:25" ht="15.75" customHeight="1" x14ac:dyDescent="0.3">
      <c r="A132" s="51"/>
      <c r="B132" s="51"/>
      <c r="C132" s="62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1:25" ht="15.75" customHeight="1" x14ac:dyDescent="0.3">
      <c r="A133" s="51"/>
      <c r="B133" s="51"/>
      <c r="C133" s="62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1:25" ht="15.75" customHeight="1" x14ac:dyDescent="0.3">
      <c r="A134" s="51"/>
      <c r="B134" s="51"/>
      <c r="C134" s="62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25" ht="15.75" customHeight="1" x14ac:dyDescent="0.3">
      <c r="A135" s="51"/>
      <c r="B135" s="51"/>
      <c r="C135" s="62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1:25" ht="15.75" customHeight="1" x14ac:dyDescent="0.3">
      <c r="A136" s="51"/>
      <c r="B136" s="51"/>
      <c r="C136" s="62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25" ht="15.75" customHeight="1" x14ac:dyDescent="0.3">
      <c r="A137" s="51"/>
      <c r="B137" s="51"/>
      <c r="C137" s="62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1:25" ht="15.75" customHeight="1" x14ac:dyDescent="0.3">
      <c r="A138" s="51"/>
      <c r="B138" s="51"/>
      <c r="C138" s="62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spans="1:25" ht="15.75" customHeight="1" x14ac:dyDescent="0.3">
      <c r="A139" s="51"/>
      <c r="B139" s="51"/>
      <c r="C139" s="62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spans="1:25" ht="15.75" customHeight="1" x14ac:dyDescent="0.3">
      <c r="A140" s="51"/>
      <c r="B140" s="51"/>
      <c r="C140" s="62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1:25" ht="15.75" customHeight="1" x14ac:dyDescent="0.3">
      <c r="A141" s="51"/>
      <c r="B141" s="51"/>
      <c r="C141" s="62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spans="1:25" ht="15.75" customHeight="1" x14ac:dyDescent="0.3">
      <c r="A142" s="51"/>
      <c r="B142" s="51"/>
      <c r="C142" s="62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spans="1:25" ht="15.75" customHeight="1" x14ac:dyDescent="0.3">
      <c r="A143" s="51"/>
      <c r="B143" s="51"/>
      <c r="C143" s="62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spans="1:25" ht="15.75" customHeight="1" x14ac:dyDescent="0.3">
      <c r="A144" s="51"/>
      <c r="B144" s="51"/>
      <c r="C144" s="62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spans="1:25" ht="15.75" customHeight="1" x14ac:dyDescent="0.3">
      <c r="A145" s="51"/>
      <c r="B145" s="51"/>
      <c r="C145" s="62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spans="1:25" ht="15.75" customHeight="1" x14ac:dyDescent="0.3">
      <c r="A146" s="51"/>
      <c r="B146" s="51"/>
      <c r="C146" s="62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spans="1:25" ht="15.75" customHeight="1" x14ac:dyDescent="0.3">
      <c r="A147" s="51"/>
      <c r="B147" s="51"/>
      <c r="C147" s="62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spans="1:25" ht="15.75" customHeight="1" x14ac:dyDescent="0.3">
      <c r="A148" s="51"/>
      <c r="B148" s="51"/>
      <c r="C148" s="62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spans="1:25" ht="15.75" customHeight="1" x14ac:dyDescent="0.3">
      <c r="A149" s="51"/>
      <c r="B149" s="51"/>
      <c r="C149" s="62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spans="1:25" ht="15.75" customHeight="1" x14ac:dyDescent="0.3">
      <c r="A150" s="51"/>
      <c r="B150" s="51"/>
      <c r="C150" s="62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spans="1:25" ht="15.75" customHeight="1" x14ac:dyDescent="0.3">
      <c r="A151" s="51"/>
      <c r="B151" s="51"/>
      <c r="C151" s="62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spans="1:25" ht="15.75" customHeight="1" x14ac:dyDescent="0.3">
      <c r="A152" s="51"/>
      <c r="B152" s="51"/>
      <c r="C152" s="62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spans="1:25" ht="15.75" customHeight="1" x14ac:dyDescent="0.3">
      <c r="A153" s="51"/>
      <c r="B153" s="51"/>
      <c r="C153" s="62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spans="1:25" ht="15.75" customHeight="1" x14ac:dyDescent="0.3">
      <c r="A154" s="51"/>
      <c r="B154" s="51"/>
      <c r="C154" s="62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spans="1:25" ht="15.75" customHeight="1" x14ac:dyDescent="0.3">
      <c r="A155" s="51"/>
      <c r="B155" s="51"/>
      <c r="C155" s="62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spans="1:25" ht="15.75" customHeight="1" x14ac:dyDescent="0.3">
      <c r="A156" s="51"/>
      <c r="B156" s="51"/>
      <c r="C156" s="62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spans="1:25" ht="15.75" customHeight="1" x14ac:dyDescent="0.3">
      <c r="A157" s="51"/>
      <c r="B157" s="51"/>
      <c r="C157" s="62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spans="1:25" ht="15.75" customHeight="1" x14ac:dyDescent="0.3">
      <c r="A158" s="51"/>
      <c r="B158" s="51"/>
      <c r="C158" s="62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spans="1:25" ht="15.75" customHeight="1" x14ac:dyDescent="0.3">
      <c r="A159" s="51"/>
      <c r="B159" s="51"/>
      <c r="C159" s="62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spans="1:25" ht="15.75" customHeight="1" x14ac:dyDescent="0.3">
      <c r="A160" s="51"/>
      <c r="B160" s="51"/>
      <c r="C160" s="62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spans="1:25" ht="15.75" customHeight="1" x14ac:dyDescent="0.3">
      <c r="A161" s="51"/>
      <c r="B161" s="51"/>
      <c r="C161" s="62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spans="1:25" ht="15.75" customHeight="1" x14ac:dyDescent="0.3">
      <c r="A162" s="51"/>
      <c r="B162" s="51"/>
      <c r="C162" s="62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spans="1:25" ht="15.75" customHeight="1" x14ac:dyDescent="0.3">
      <c r="A163" s="51"/>
      <c r="B163" s="51"/>
      <c r="C163" s="62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spans="1:25" ht="15.75" customHeight="1" x14ac:dyDescent="0.3">
      <c r="A164" s="51"/>
      <c r="B164" s="51"/>
      <c r="C164" s="62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spans="1:25" ht="15.75" customHeight="1" x14ac:dyDescent="0.3">
      <c r="A165" s="51"/>
      <c r="B165" s="51"/>
      <c r="C165" s="62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spans="1:25" ht="15.75" customHeight="1" x14ac:dyDescent="0.3">
      <c r="A166" s="51"/>
      <c r="B166" s="51"/>
      <c r="C166" s="62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spans="1:25" ht="15.75" customHeight="1" x14ac:dyDescent="0.3">
      <c r="A167" s="51"/>
      <c r="B167" s="51"/>
      <c r="C167" s="62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spans="1:25" ht="15.75" customHeight="1" x14ac:dyDescent="0.3">
      <c r="A168" s="51"/>
      <c r="B168" s="51"/>
      <c r="C168" s="62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spans="1:25" ht="15.75" customHeight="1" x14ac:dyDescent="0.3">
      <c r="A169" s="51"/>
      <c r="B169" s="51"/>
      <c r="C169" s="62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spans="1:25" ht="15.75" customHeight="1" x14ac:dyDescent="0.3">
      <c r="A170" s="51"/>
      <c r="B170" s="51"/>
      <c r="C170" s="62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spans="1:25" ht="15.75" customHeight="1" x14ac:dyDescent="0.3">
      <c r="A171" s="51"/>
      <c r="B171" s="51"/>
      <c r="C171" s="62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spans="1:25" ht="15.75" customHeight="1" x14ac:dyDescent="0.3">
      <c r="A172" s="51"/>
      <c r="B172" s="51"/>
      <c r="C172" s="62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spans="1:25" ht="15.75" customHeight="1" x14ac:dyDescent="0.3">
      <c r="A173" s="51"/>
      <c r="B173" s="51"/>
      <c r="C173" s="62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spans="1:25" ht="15.75" customHeight="1" x14ac:dyDescent="0.3">
      <c r="A174" s="51"/>
      <c r="B174" s="51"/>
      <c r="C174" s="62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spans="1:25" ht="15.75" customHeight="1" x14ac:dyDescent="0.3">
      <c r="A175" s="51"/>
      <c r="B175" s="51"/>
      <c r="C175" s="62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spans="1:25" ht="15.75" customHeight="1" x14ac:dyDescent="0.3">
      <c r="A176" s="51"/>
      <c r="B176" s="51"/>
      <c r="C176" s="62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spans="1:25" ht="15.75" customHeight="1" x14ac:dyDescent="0.3">
      <c r="A177" s="51"/>
      <c r="B177" s="51"/>
      <c r="C177" s="62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spans="1:25" ht="15.75" customHeight="1" x14ac:dyDescent="0.3">
      <c r="A178" s="51"/>
      <c r="B178" s="51"/>
      <c r="C178" s="62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spans="1:25" ht="15.75" customHeight="1" x14ac:dyDescent="0.3">
      <c r="A179" s="51"/>
      <c r="B179" s="51"/>
      <c r="C179" s="62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spans="1:25" ht="15.75" customHeight="1" x14ac:dyDescent="0.3">
      <c r="A180" s="51"/>
      <c r="B180" s="51"/>
      <c r="C180" s="62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spans="1:25" ht="15.75" customHeight="1" x14ac:dyDescent="0.3">
      <c r="A181" s="51"/>
      <c r="B181" s="51"/>
      <c r="C181" s="62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spans="1:25" ht="15.75" customHeight="1" x14ac:dyDescent="0.3">
      <c r="A182" s="51"/>
      <c r="B182" s="51"/>
      <c r="C182" s="62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spans="1:25" ht="15.75" customHeight="1" x14ac:dyDescent="0.3">
      <c r="A183" s="51"/>
      <c r="B183" s="51"/>
      <c r="C183" s="62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spans="1:25" ht="15.75" customHeight="1" x14ac:dyDescent="0.3">
      <c r="A184" s="51"/>
      <c r="B184" s="51"/>
      <c r="C184" s="62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spans="1:25" ht="15.75" customHeight="1" x14ac:dyDescent="0.3">
      <c r="A185" s="51"/>
      <c r="B185" s="51"/>
      <c r="C185" s="62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spans="1:25" ht="15.75" customHeight="1" x14ac:dyDescent="0.3">
      <c r="A186" s="51"/>
      <c r="B186" s="51"/>
      <c r="C186" s="62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spans="1:25" ht="15.75" customHeight="1" x14ac:dyDescent="0.3">
      <c r="A187" s="51"/>
      <c r="B187" s="51"/>
      <c r="C187" s="62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spans="1:25" ht="15.75" customHeight="1" x14ac:dyDescent="0.3">
      <c r="A188" s="51"/>
      <c r="B188" s="51"/>
      <c r="C188" s="62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spans="1:25" ht="15.75" customHeight="1" x14ac:dyDescent="0.3">
      <c r="A189" s="51"/>
      <c r="B189" s="51"/>
      <c r="C189" s="62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spans="1:25" ht="15.75" customHeight="1" x14ac:dyDescent="0.3">
      <c r="A190" s="51"/>
      <c r="B190" s="51"/>
      <c r="C190" s="62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spans="1:25" ht="15.75" customHeight="1" x14ac:dyDescent="0.3">
      <c r="A191" s="51"/>
      <c r="B191" s="51"/>
      <c r="C191" s="62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spans="1:25" ht="15.75" customHeight="1" x14ac:dyDescent="0.3">
      <c r="A192" s="51"/>
      <c r="B192" s="51"/>
      <c r="C192" s="62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spans="1:25" ht="15.75" customHeight="1" x14ac:dyDescent="0.3">
      <c r="A193" s="51"/>
      <c r="B193" s="51"/>
      <c r="C193" s="62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spans="1:25" ht="15.75" customHeight="1" x14ac:dyDescent="0.3">
      <c r="A194" s="51"/>
      <c r="B194" s="51"/>
      <c r="C194" s="62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spans="1:25" ht="15.75" customHeight="1" x14ac:dyDescent="0.3">
      <c r="A195" s="51"/>
      <c r="B195" s="51"/>
      <c r="C195" s="62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spans="1:25" ht="15.75" customHeight="1" x14ac:dyDescent="0.3">
      <c r="A196" s="51"/>
      <c r="B196" s="51"/>
      <c r="C196" s="62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spans="1:25" ht="15.75" customHeight="1" x14ac:dyDescent="0.3">
      <c r="A197" s="51"/>
      <c r="B197" s="51"/>
      <c r="C197" s="62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spans="1:25" ht="15.75" customHeight="1" x14ac:dyDescent="0.3">
      <c r="A198" s="51"/>
      <c r="B198" s="51"/>
      <c r="C198" s="62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spans="1:25" ht="15.75" customHeight="1" x14ac:dyDescent="0.3">
      <c r="A199" s="51"/>
      <c r="B199" s="51"/>
      <c r="C199" s="62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spans="1:25" ht="15.75" customHeight="1" x14ac:dyDescent="0.3">
      <c r="A200" s="51"/>
      <c r="B200" s="51"/>
      <c r="C200" s="62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spans="1:25" ht="15.75" customHeight="1" x14ac:dyDescent="0.3">
      <c r="A201" s="51"/>
      <c r="B201" s="51"/>
      <c r="C201" s="62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spans="1:25" ht="15.75" customHeight="1" x14ac:dyDescent="0.3">
      <c r="A202" s="51"/>
      <c r="B202" s="51"/>
      <c r="C202" s="62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spans="1:25" ht="15.75" customHeight="1" x14ac:dyDescent="0.3">
      <c r="A203" s="51"/>
      <c r="B203" s="51"/>
      <c r="C203" s="62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spans="1:25" ht="15.75" customHeight="1" x14ac:dyDescent="0.3">
      <c r="A204" s="51"/>
      <c r="B204" s="51"/>
      <c r="C204" s="62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spans="1:25" ht="15.75" customHeight="1" x14ac:dyDescent="0.3">
      <c r="A205" s="51"/>
      <c r="B205" s="51"/>
      <c r="C205" s="62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spans="1:25" ht="15.75" customHeight="1" x14ac:dyDescent="0.3">
      <c r="A206" s="51"/>
      <c r="B206" s="51"/>
      <c r="C206" s="62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spans="1:25" ht="15.75" customHeight="1" x14ac:dyDescent="0.3">
      <c r="A207" s="51"/>
      <c r="B207" s="51"/>
      <c r="C207" s="62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spans="1:25" ht="15.75" customHeight="1" x14ac:dyDescent="0.3">
      <c r="A208" s="51"/>
      <c r="B208" s="51"/>
      <c r="C208" s="62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spans="1:25" ht="15.75" customHeight="1" x14ac:dyDescent="0.3">
      <c r="A209" s="51"/>
      <c r="B209" s="51"/>
      <c r="C209" s="62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spans="1:25" ht="15.75" customHeight="1" x14ac:dyDescent="0.3">
      <c r="A210" s="51"/>
      <c r="B210" s="51"/>
      <c r="C210" s="62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spans="1:25" ht="15.75" customHeight="1" x14ac:dyDescent="0.3">
      <c r="A211" s="51"/>
      <c r="B211" s="51"/>
      <c r="C211" s="62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spans="1:25" ht="15.75" customHeight="1" x14ac:dyDescent="0.3">
      <c r="A212" s="51"/>
      <c r="B212" s="51"/>
      <c r="C212" s="62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spans="1:25" ht="15.75" customHeight="1" x14ac:dyDescent="0.3">
      <c r="A213" s="51"/>
      <c r="B213" s="51"/>
      <c r="C213" s="62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spans="1:25" ht="15.75" customHeight="1" x14ac:dyDescent="0.3">
      <c r="A214" s="51"/>
      <c r="B214" s="51"/>
      <c r="C214" s="62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spans="1:25" ht="15.75" customHeight="1" x14ac:dyDescent="0.3">
      <c r="A215" s="51"/>
      <c r="B215" s="51"/>
      <c r="C215" s="62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spans="1:25" ht="15.75" customHeight="1" x14ac:dyDescent="0.3">
      <c r="A216" s="51"/>
      <c r="B216" s="51"/>
      <c r="C216" s="62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spans="1:25" ht="15.75" customHeight="1" x14ac:dyDescent="0.3">
      <c r="A217" s="51"/>
      <c r="B217" s="51"/>
      <c r="C217" s="62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spans="1:25" ht="15.75" customHeight="1" x14ac:dyDescent="0.3">
      <c r="A218" s="51"/>
      <c r="B218" s="51"/>
      <c r="C218" s="62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spans="1:25" ht="15.75" customHeight="1" x14ac:dyDescent="0.3">
      <c r="A219" s="51"/>
      <c r="B219" s="51"/>
      <c r="C219" s="62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spans="1:25" ht="15.75" customHeight="1" x14ac:dyDescent="0.3">
      <c r="A220" s="51"/>
      <c r="B220" s="51"/>
      <c r="C220" s="62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spans="1:25" ht="15.75" customHeight="1" x14ac:dyDescent="0.3">
      <c r="A221" s="51"/>
      <c r="B221" s="51"/>
      <c r="C221" s="62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spans="1:25" ht="15.75" customHeight="1" x14ac:dyDescent="0.3">
      <c r="A222" s="51"/>
      <c r="B222" s="51"/>
      <c r="C222" s="62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spans="1:25" ht="15.75" customHeight="1" x14ac:dyDescent="0.3">
      <c r="A223" s="51"/>
      <c r="B223" s="51"/>
      <c r="C223" s="62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spans="1:25" ht="15.75" customHeight="1" x14ac:dyDescent="0.3">
      <c r="A224" s="51"/>
      <c r="B224" s="51"/>
      <c r="C224" s="62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spans="1:25" ht="15.75" customHeight="1" x14ac:dyDescent="0.3">
      <c r="A225" s="51"/>
      <c r="B225" s="51"/>
      <c r="C225" s="62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spans="1:25" ht="15.75" customHeight="1" x14ac:dyDescent="0.3">
      <c r="A226" s="51"/>
      <c r="B226" s="51"/>
      <c r="C226" s="62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spans="1:25" ht="15.75" customHeight="1" x14ac:dyDescent="0.3">
      <c r="A227" s="51"/>
      <c r="B227" s="51"/>
      <c r="C227" s="62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spans="1:25" ht="15.75" customHeight="1" x14ac:dyDescent="0.3">
      <c r="A228" s="51"/>
      <c r="B228" s="51"/>
      <c r="C228" s="62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spans="1:25" ht="15.75" customHeight="1" x14ac:dyDescent="0.3">
      <c r="A229" s="51"/>
      <c r="B229" s="51"/>
      <c r="C229" s="62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spans="1:25" ht="15.75" customHeight="1" x14ac:dyDescent="0.3">
      <c r="A230" s="51"/>
      <c r="B230" s="51"/>
      <c r="C230" s="62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spans="1:25" ht="15.75" customHeight="1" x14ac:dyDescent="0.3">
      <c r="A231" s="51"/>
      <c r="B231" s="51"/>
      <c r="C231" s="62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spans="1:25" ht="15.75" customHeight="1" x14ac:dyDescent="0.3">
      <c r="A232" s="51"/>
      <c r="B232" s="51"/>
      <c r="C232" s="62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spans="1:25" ht="15.75" customHeight="1" x14ac:dyDescent="0.3">
      <c r="A233" s="51"/>
      <c r="B233" s="51"/>
      <c r="C233" s="62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spans="1:25" ht="15.75" customHeight="1" x14ac:dyDescent="0.3">
      <c r="A234" s="51"/>
      <c r="B234" s="51"/>
      <c r="C234" s="62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spans="1:25" ht="15.75" customHeight="1" x14ac:dyDescent="0.3">
      <c r="A235" s="51"/>
      <c r="B235" s="51"/>
      <c r="C235" s="62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spans="1:25" ht="15.75" customHeight="1" x14ac:dyDescent="0.3">
      <c r="A236" s="51"/>
      <c r="B236" s="51"/>
      <c r="C236" s="62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spans="1:25" ht="15.75" customHeight="1" x14ac:dyDescent="0.3">
      <c r="A237" s="51"/>
      <c r="B237" s="51"/>
      <c r="C237" s="62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spans="1:25" ht="15.75" customHeight="1" x14ac:dyDescent="0.3">
      <c r="A238" s="51"/>
      <c r="B238" s="51"/>
      <c r="C238" s="62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spans="1:25" ht="15.75" customHeight="1" x14ac:dyDescent="0.3">
      <c r="A239" s="51"/>
      <c r="B239" s="51"/>
      <c r="C239" s="62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spans="1:25" ht="15.75" customHeight="1" x14ac:dyDescent="0.3">
      <c r="A240" s="51"/>
      <c r="B240" s="51"/>
      <c r="C240" s="62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spans="1:25" ht="15.75" customHeight="1" x14ac:dyDescent="0.3">
      <c r="A241" s="51"/>
      <c r="B241" s="51"/>
      <c r="C241" s="62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spans="1:25" ht="15.75" customHeight="1" x14ac:dyDescent="0.3">
      <c r="A242" s="51"/>
      <c r="B242" s="51"/>
      <c r="C242" s="62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spans="1:25" ht="15.75" customHeight="1" x14ac:dyDescent="0.3">
      <c r="A243" s="51"/>
      <c r="B243" s="51"/>
      <c r="C243" s="62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spans="1:25" ht="15.75" customHeight="1" x14ac:dyDescent="0.3">
      <c r="A244" s="51"/>
      <c r="B244" s="51"/>
      <c r="C244" s="62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spans="1:25" ht="15.75" customHeight="1" x14ac:dyDescent="0.3">
      <c r="A245" s="51"/>
      <c r="B245" s="51"/>
      <c r="C245" s="62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spans="1:25" ht="15.75" customHeight="1" x14ac:dyDescent="0.3">
      <c r="A246" s="51"/>
      <c r="B246" s="51"/>
      <c r="C246" s="62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spans="1:25" ht="15.75" customHeight="1" x14ac:dyDescent="0.3">
      <c r="A247" s="51"/>
      <c r="B247" s="51"/>
      <c r="C247" s="62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spans="1:25" ht="15.75" customHeight="1" x14ac:dyDescent="0.3">
      <c r="A248" s="51"/>
      <c r="B248" s="51"/>
      <c r="C248" s="62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spans="1:25" ht="15.75" customHeight="1" x14ac:dyDescent="0.3">
      <c r="A249" s="51"/>
      <c r="B249" s="51"/>
      <c r="C249" s="62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spans="1:25" ht="15.75" customHeight="1" x14ac:dyDescent="0.3">
      <c r="A250" s="51"/>
      <c r="B250" s="51"/>
      <c r="C250" s="62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spans="1:25" ht="15.75" customHeight="1" x14ac:dyDescent="0.3">
      <c r="A251" s="51"/>
      <c r="B251" s="51"/>
      <c r="C251" s="62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spans="1:25" ht="15.75" customHeight="1" x14ac:dyDescent="0.3">
      <c r="A252" s="51"/>
      <c r="B252" s="51"/>
      <c r="C252" s="62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spans="1:25" ht="15.75" customHeight="1" x14ac:dyDescent="0.3">
      <c r="A253" s="51"/>
      <c r="B253" s="51"/>
      <c r="C253" s="62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spans="1:25" ht="15.75" customHeight="1" x14ac:dyDescent="0.3">
      <c r="A254" s="51"/>
      <c r="B254" s="51"/>
      <c r="C254" s="62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spans="1:25" ht="15.75" customHeight="1" x14ac:dyDescent="0.3">
      <c r="A255" s="51"/>
      <c r="B255" s="51"/>
      <c r="C255" s="62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spans="1:25" ht="15.75" customHeight="1" x14ac:dyDescent="0.3">
      <c r="A256" s="51"/>
      <c r="B256" s="51"/>
      <c r="C256" s="62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spans="1:25" ht="15.75" customHeight="1" x14ac:dyDescent="0.3">
      <c r="A257" s="51"/>
      <c r="B257" s="51"/>
      <c r="C257" s="62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spans="1:25" ht="15.75" customHeight="1" x14ac:dyDescent="0.3">
      <c r="A258" s="51"/>
      <c r="B258" s="51"/>
      <c r="C258" s="62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spans="1:25" ht="15.75" customHeight="1" x14ac:dyDescent="0.3">
      <c r="A259" s="51"/>
      <c r="B259" s="51"/>
      <c r="C259" s="62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spans="1:25" ht="15.75" customHeight="1" x14ac:dyDescent="0.3">
      <c r="A260" s="51"/>
      <c r="B260" s="51"/>
      <c r="C260" s="62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spans="1:25" ht="15.75" customHeight="1" x14ac:dyDescent="0.3">
      <c r="A261" s="51"/>
      <c r="B261" s="51"/>
      <c r="C261" s="62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spans="1:25" ht="15.75" customHeight="1" x14ac:dyDescent="0.3">
      <c r="A262" s="51"/>
      <c r="B262" s="51"/>
      <c r="C262" s="62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spans="1:25" ht="15.75" customHeight="1" x14ac:dyDescent="0.3">
      <c r="A263" s="51"/>
      <c r="B263" s="51"/>
      <c r="C263" s="62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spans="1:25" ht="15.75" customHeight="1" x14ac:dyDescent="0.3">
      <c r="A264" s="51"/>
      <c r="B264" s="51"/>
      <c r="C264" s="62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spans="1:25" ht="15.75" customHeight="1" x14ac:dyDescent="0.3">
      <c r="A265" s="51"/>
      <c r="B265" s="51"/>
      <c r="C265" s="62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spans="1:25" ht="15.75" customHeight="1" x14ac:dyDescent="0.3">
      <c r="A266" s="51"/>
      <c r="B266" s="51"/>
      <c r="C266" s="62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spans="1:25" ht="15.75" customHeight="1" x14ac:dyDescent="0.3">
      <c r="A267" s="51"/>
      <c r="B267" s="51"/>
      <c r="C267" s="62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spans="1:25" ht="15.75" customHeight="1" x14ac:dyDescent="0.3">
      <c r="A268" s="51"/>
      <c r="B268" s="51"/>
      <c r="C268" s="62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spans="1:25" ht="15.75" customHeight="1" x14ac:dyDescent="0.3">
      <c r="A269" s="51"/>
      <c r="B269" s="51"/>
      <c r="C269" s="62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spans="1:25" ht="15.75" customHeight="1" x14ac:dyDescent="0.3">
      <c r="A270" s="51"/>
      <c r="B270" s="51"/>
      <c r="C270" s="62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spans="1:25" ht="15.75" customHeight="1" x14ac:dyDescent="0.3">
      <c r="A271" s="51"/>
      <c r="B271" s="51"/>
      <c r="C271" s="62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spans="1:25" ht="15.75" customHeight="1" x14ac:dyDescent="0.3">
      <c r="A272" s="51"/>
      <c r="B272" s="51"/>
      <c r="C272" s="62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spans="1:25" ht="15.75" customHeight="1" x14ac:dyDescent="0.3">
      <c r="A273" s="51"/>
      <c r="B273" s="51"/>
      <c r="C273" s="62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spans="1:25" ht="15.75" customHeight="1" x14ac:dyDescent="0.3">
      <c r="A274" s="51"/>
      <c r="B274" s="51"/>
      <c r="C274" s="62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spans="1:25" ht="15.75" customHeight="1" x14ac:dyDescent="0.3">
      <c r="A275" s="51"/>
      <c r="B275" s="51"/>
      <c r="C275" s="62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spans="1:25" ht="15.75" customHeight="1" x14ac:dyDescent="0.3">
      <c r="A276" s="51"/>
      <c r="B276" s="51"/>
      <c r="C276" s="62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spans="1:25" ht="15.75" customHeight="1" x14ac:dyDescent="0.3">
      <c r="A277" s="51"/>
      <c r="B277" s="51"/>
      <c r="C277" s="62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spans="1:25" ht="15.75" customHeight="1" x14ac:dyDescent="0.3">
      <c r="A278" s="51"/>
      <c r="B278" s="51"/>
      <c r="C278" s="62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spans="1:25" ht="15.75" customHeight="1" x14ac:dyDescent="0.3">
      <c r="A279" s="51"/>
      <c r="B279" s="51"/>
      <c r="C279" s="62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spans="1:25" ht="15.75" customHeight="1" x14ac:dyDescent="0.3">
      <c r="A280" s="51"/>
      <c r="B280" s="51"/>
      <c r="C280" s="62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spans="1:25" ht="15.75" customHeight="1" x14ac:dyDescent="0.3">
      <c r="A281" s="51"/>
      <c r="B281" s="51"/>
      <c r="C281" s="62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spans="1:25" ht="15.75" customHeight="1" x14ac:dyDescent="0.3">
      <c r="A282" s="51"/>
      <c r="B282" s="51"/>
      <c r="C282" s="62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spans="1:25" ht="15.75" customHeight="1" x14ac:dyDescent="0.3">
      <c r="A283" s="51"/>
      <c r="B283" s="51"/>
      <c r="C283" s="62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spans="1:25" ht="15.75" customHeight="1" x14ac:dyDescent="0.3">
      <c r="A284" s="51"/>
      <c r="B284" s="51"/>
      <c r="C284" s="62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spans="1:25" ht="15.75" customHeight="1" x14ac:dyDescent="0.3">
      <c r="A285" s="51"/>
      <c r="B285" s="51"/>
      <c r="C285" s="62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spans="1:25" ht="15.75" customHeight="1" x14ac:dyDescent="0.3">
      <c r="A286" s="51"/>
      <c r="B286" s="51"/>
      <c r="C286" s="62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spans="1:25" ht="15.75" customHeight="1" x14ac:dyDescent="0.3">
      <c r="A287" s="51"/>
      <c r="B287" s="51"/>
      <c r="C287" s="62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spans="1:25" ht="15.75" customHeight="1" x14ac:dyDescent="0.3">
      <c r="A288" s="51"/>
      <c r="B288" s="51"/>
      <c r="C288" s="62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spans="1:25" ht="15.75" customHeight="1" x14ac:dyDescent="0.3">
      <c r="A289" s="51"/>
      <c r="B289" s="51"/>
      <c r="C289" s="62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spans="1:25" ht="15.75" customHeight="1" x14ac:dyDescent="0.3">
      <c r="A290" s="51"/>
      <c r="B290" s="51"/>
      <c r="C290" s="62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spans="1:25" ht="15.75" customHeight="1" x14ac:dyDescent="0.3">
      <c r="A291" s="51"/>
      <c r="B291" s="51"/>
      <c r="C291" s="62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spans="1:25" ht="15.75" customHeight="1" x14ac:dyDescent="0.3">
      <c r="A292" s="51"/>
      <c r="B292" s="51"/>
      <c r="C292" s="62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spans="1:25" ht="15.75" customHeight="1" x14ac:dyDescent="0.3">
      <c r="A293" s="51"/>
      <c r="B293" s="51"/>
      <c r="C293" s="62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spans="1:25" ht="15.75" customHeight="1" x14ac:dyDescent="0.3">
      <c r="A294" s="51"/>
      <c r="B294" s="51"/>
      <c r="C294" s="62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spans="1:25" ht="15.75" customHeight="1" x14ac:dyDescent="0.3">
      <c r="A295" s="51"/>
      <c r="B295" s="51"/>
      <c r="C295" s="62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spans="1:25" ht="15.75" customHeight="1" x14ac:dyDescent="0.3">
      <c r="A296" s="51"/>
      <c r="B296" s="51"/>
      <c r="C296" s="62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spans="1:25" ht="15.75" customHeight="1" x14ac:dyDescent="0.3">
      <c r="A297" s="51"/>
      <c r="B297" s="51"/>
      <c r="C297" s="62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spans="1:25" ht="15.75" customHeight="1" x14ac:dyDescent="0.3">
      <c r="A298" s="51"/>
      <c r="B298" s="51"/>
      <c r="C298" s="62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spans="1:25" ht="15.75" customHeight="1" x14ac:dyDescent="0.3">
      <c r="A299" s="51"/>
      <c r="B299" s="51"/>
      <c r="C299" s="62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spans="1:25" ht="15.75" customHeight="1" x14ac:dyDescent="0.3">
      <c r="A300" s="51"/>
      <c r="B300" s="51"/>
      <c r="C300" s="62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spans="1:25" ht="15.75" customHeight="1" x14ac:dyDescent="0.3">
      <c r="A301" s="51"/>
      <c r="B301" s="51"/>
      <c r="C301" s="62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spans="1:25" ht="15.75" customHeight="1" x14ac:dyDescent="0.3">
      <c r="A302" s="51"/>
      <c r="B302" s="51"/>
      <c r="C302" s="62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spans="1:25" ht="15.75" customHeight="1" x14ac:dyDescent="0.3">
      <c r="A303" s="51"/>
      <c r="B303" s="51"/>
      <c r="C303" s="62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spans="1:25" ht="15.75" customHeight="1" x14ac:dyDescent="0.3">
      <c r="A304" s="51"/>
      <c r="B304" s="51"/>
      <c r="C304" s="62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spans="1:25" ht="15.75" customHeight="1" x14ac:dyDescent="0.3">
      <c r="A305" s="51"/>
      <c r="B305" s="51"/>
      <c r="C305" s="62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spans="1:25" ht="15.75" customHeight="1" x14ac:dyDescent="0.3">
      <c r="A306" s="51"/>
      <c r="B306" s="51"/>
      <c r="C306" s="62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spans="1:25" ht="15.75" customHeight="1" x14ac:dyDescent="0.3">
      <c r="A307" s="51"/>
      <c r="B307" s="51"/>
      <c r="C307" s="62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spans="1:25" ht="15.75" customHeight="1" x14ac:dyDescent="0.3">
      <c r="A308" s="51"/>
      <c r="B308" s="51"/>
      <c r="C308" s="62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spans="1:25" ht="15.75" customHeight="1" x14ac:dyDescent="0.3">
      <c r="A309" s="51"/>
      <c r="B309" s="51"/>
      <c r="C309" s="62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spans="1:25" ht="15.75" customHeight="1" x14ac:dyDescent="0.3">
      <c r="A310" s="51"/>
      <c r="B310" s="51"/>
      <c r="C310" s="62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spans="1:25" ht="15.75" customHeight="1" x14ac:dyDescent="0.3">
      <c r="A311" s="51"/>
      <c r="B311" s="51"/>
      <c r="C311" s="62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spans="1:25" ht="15.75" customHeight="1" x14ac:dyDescent="0.3">
      <c r="A312" s="51"/>
      <c r="B312" s="51"/>
      <c r="C312" s="62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spans="1:25" ht="15.75" customHeight="1" x14ac:dyDescent="0.3">
      <c r="A313" s="51"/>
      <c r="B313" s="51"/>
      <c r="C313" s="62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spans="1:25" ht="15.75" customHeight="1" x14ac:dyDescent="0.3">
      <c r="A314" s="51"/>
      <c r="B314" s="51"/>
      <c r="C314" s="62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spans="1:25" ht="15.75" customHeight="1" x14ac:dyDescent="0.3">
      <c r="A315" s="51"/>
      <c r="B315" s="51"/>
      <c r="C315" s="62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spans="1:25" ht="15.75" customHeight="1" x14ac:dyDescent="0.3">
      <c r="A316" s="51"/>
      <c r="B316" s="51"/>
      <c r="C316" s="62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spans="1:25" ht="15.75" customHeight="1" x14ac:dyDescent="0.3">
      <c r="A317" s="51"/>
      <c r="B317" s="51"/>
      <c r="C317" s="62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spans="1:25" ht="15.75" customHeight="1" x14ac:dyDescent="0.3">
      <c r="A318" s="51"/>
      <c r="B318" s="51"/>
      <c r="C318" s="62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spans="1:25" ht="15.75" customHeight="1" x14ac:dyDescent="0.3">
      <c r="A319" s="51"/>
      <c r="B319" s="51"/>
      <c r="C319" s="62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spans="1:25" ht="15.75" customHeight="1" x14ac:dyDescent="0.3">
      <c r="A320" s="51"/>
      <c r="B320" s="51"/>
      <c r="C320" s="62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spans="1:25" ht="15.75" customHeight="1" x14ac:dyDescent="0.3">
      <c r="A321" s="51"/>
      <c r="B321" s="51"/>
      <c r="C321" s="62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spans="1:25" ht="15.75" customHeight="1" x14ac:dyDescent="0.3">
      <c r="A322" s="51"/>
      <c r="B322" s="51"/>
      <c r="C322" s="62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spans="1:25" ht="15.75" customHeight="1" x14ac:dyDescent="0.3">
      <c r="A323" s="51"/>
      <c r="B323" s="51"/>
      <c r="C323" s="62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spans="1:25" ht="15.75" customHeight="1" x14ac:dyDescent="0.3">
      <c r="A324" s="51"/>
      <c r="B324" s="51"/>
      <c r="C324" s="62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spans="1:25" ht="15.75" customHeight="1" x14ac:dyDescent="0.3">
      <c r="A325" s="51"/>
      <c r="B325" s="51"/>
      <c r="C325" s="62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spans="1:25" ht="15.75" customHeight="1" x14ac:dyDescent="0.3">
      <c r="A326" s="51"/>
      <c r="B326" s="51"/>
      <c r="C326" s="62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spans="1:25" ht="15.75" customHeight="1" x14ac:dyDescent="0.3">
      <c r="A327" s="51"/>
      <c r="B327" s="51"/>
      <c r="C327" s="62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spans="1:25" ht="15.75" customHeight="1" x14ac:dyDescent="0.3">
      <c r="A328" s="51"/>
      <c r="B328" s="51"/>
      <c r="C328" s="62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spans="1:25" ht="15.75" customHeight="1" x14ac:dyDescent="0.3">
      <c r="A329" s="51"/>
      <c r="B329" s="51"/>
      <c r="C329" s="62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spans="1:25" ht="15.75" customHeight="1" x14ac:dyDescent="0.3">
      <c r="A330" s="51"/>
      <c r="B330" s="51"/>
      <c r="C330" s="62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spans="1:25" ht="15.75" customHeight="1" x14ac:dyDescent="0.3">
      <c r="A331" s="51"/>
      <c r="B331" s="51"/>
      <c r="C331" s="62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spans="1:25" ht="15.75" customHeight="1" x14ac:dyDescent="0.3">
      <c r="A332" s="51"/>
      <c r="B332" s="51"/>
      <c r="C332" s="62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spans="1:25" ht="15.75" customHeight="1" x14ac:dyDescent="0.3">
      <c r="A333" s="51"/>
      <c r="B333" s="51"/>
      <c r="C333" s="62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spans="1:25" ht="15.75" customHeight="1" x14ac:dyDescent="0.3">
      <c r="A334" s="51"/>
      <c r="B334" s="51"/>
      <c r="C334" s="62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spans="1:25" ht="15.75" customHeight="1" x14ac:dyDescent="0.3">
      <c r="A335" s="51"/>
      <c r="B335" s="51"/>
      <c r="C335" s="62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spans="1:25" ht="15.75" customHeight="1" x14ac:dyDescent="0.3">
      <c r="A336" s="51"/>
      <c r="B336" s="51"/>
      <c r="C336" s="62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spans="1:25" ht="15.75" customHeight="1" x14ac:dyDescent="0.3">
      <c r="A337" s="51"/>
      <c r="B337" s="51"/>
      <c r="C337" s="62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spans="1:25" ht="15.75" customHeight="1" x14ac:dyDescent="0.3">
      <c r="A338" s="51"/>
      <c r="B338" s="51"/>
      <c r="C338" s="62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spans="1:25" ht="15.75" customHeight="1" x14ac:dyDescent="0.3">
      <c r="A339" s="51"/>
      <c r="B339" s="51"/>
      <c r="C339" s="62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spans="1:25" ht="15.75" customHeight="1" x14ac:dyDescent="0.3">
      <c r="A340" s="51"/>
      <c r="B340" s="51"/>
      <c r="C340" s="62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spans="1:25" ht="15.75" customHeight="1" x14ac:dyDescent="0.3">
      <c r="A341" s="51"/>
      <c r="B341" s="51"/>
      <c r="C341" s="62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spans="1:25" ht="15.75" customHeight="1" x14ac:dyDescent="0.3">
      <c r="A342" s="51"/>
      <c r="B342" s="51"/>
      <c r="C342" s="62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spans="1:25" ht="15.75" customHeight="1" x14ac:dyDescent="0.3">
      <c r="A343" s="51"/>
      <c r="B343" s="51"/>
      <c r="C343" s="62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spans="1:25" ht="15.75" customHeight="1" x14ac:dyDescent="0.3">
      <c r="A344" s="51"/>
      <c r="B344" s="51"/>
      <c r="C344" s="62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spans="1:25" ht="15.75" customHeight="1" x14ac:dyDescent="0.3">
      <c r="A345" s="51"/>
      <c r="B345" s="51"/>
      <c r="C345" s="62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spans="1:25" ht="15.75" customHeight="1" x14ac:dyDescent="0.3">
      <c r="A346" s="51"/>
      <c r="B346" s="51"/>
      <c r="C346" s="62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spans="1:25" ht="15.75" customHeight="1" x14ac:dyDescent="0.3">
      <c r="A347" s="51"/>
      <c r="B347" s="51"/>
      <c r="C347" s="62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spans="1:25" ht="15.75" customHeight="1" x14ac:dyDescent="0.3">
      <c r="A348" s="51"/>
      <c r="B348" s="51"/>
      <c r="C348" s="62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spans="1:25" ht="15.75" customHeight="1" x14ac:dyDescent="0.3">
      <c r="A349" s="51"/>
      <c r="B349" s="51"/>
      <c r="C349" s="62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spans="1:25" ht="15.75" customHeight="1" x14ac:dyDescent="0.3">
      <c r="A350" s="51"/>
      <c r="B350" s="51"/>
      <c r="C350" s="62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spans="1:25" ht="15.75" customHeight="1" x14ac:dyDescent="0.3">
      <c r="A351" s="51"/>
      <c r="B351" s="51"/>
      <c r="C351" s="62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spans="1:25" ht="15.75" customHeight="1" x14ac:dyDescent="0.3">
      <c r="A352" s="51"/>
      <c r="B352" s="51"/>
      <c r="C352" s="62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spans="1:25" ht="15.75" customHeight="1" x14ac:dyDescent="0.3">
      <c r="A353" s="51"/>
      <c r="B353" s="51"/>
      <c r="C353" s="62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spans="1:25" ht="15.75" customHeight="1" x14ac:dyDescent="0.3">
      <c r="A354" s="51"/>
      <c r="B354" s="51"/>
      <c r="C354" s="62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spans="1:25" ht="15.75" customHeight="1" x14ac:dyDescent="0.3">
      <c r="A355" s="51"/>
      <c r="B355" s="51"/>
      <c r="C355" s="62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spans="1:25" ht="15.75" customHeight="1" x14ac:dyDescent="0.3">
      <c r="A356" s="51"/>
      <c r="B356" s="51"/>
      <c r="C356" s="62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spans="1:25" ht="15.75" customHeight="1" x14ac:dyDescent="0.3">
      <c r="A357" s="51"/>
      <c r="B357" s="51"/>
      <c r="C357" s="62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spans="1:25" ht="15.75" customHeight="1" x14ac:dyDescent="0.3">
      <c r="A358" s="51"/>
      <c r="B358" s="51"/>
      <c r="C358" s="62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spans="1:25" ht="15.75" customHeight="1" x14ac:dyDescent="0.3">
      <c r="A359" s="51"/>
      <c r="B359" s="51"/>
      <c r="C359" s="62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spans="1:25" ht="15.75" customHeight="1" x14ac:dyDescent="0.3">
      <c r="A360" s="51"/>
      <c r="B360" s="51"/>
      <c r="C360" s="62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spans="1:25" ht="15.75" customHeight="1" x14ac:dyDescent="0.3">
      <c r="A361" s="51"/>
      <c r="B361" s="51"/>
      <c r="C361" s="62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spans="1:25" ht="15.75" customHeight="1" x14ac:dyDescent="0.3">
      <c r="A362" s="51"/>
      <c r="B362" s="51"/>
      <c r="C362" s="62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spans="1:25" ht="15.75" customHeight="1" x14ac:dyDescent="0.3">
      <c r="A363" s="51"/>
      <c r="B363" s="51"/>
      <c r="C363" s="62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spans="1:25" ht="15.75" customHeight="1" x14ac:dyDescent="0.3">
      <c r="A364" s="51"/>
      <c r="B364" s="51"/>
      <c r="C364" s="62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spans="1:25" ht="15.75" customHeight="1" x14ac:dyDescent="0.3">
      <c r="A365" s="51"/>
      <c r="B365" s="51"/>
      <c r="C365" s="62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spans="1:25" ht="15.75" customHeight="1" x14ac:dyDescent="0.3">
      <c r="A366" s="51"/>
      <c r="B366" s="51"/>
      <c r="C366" s="62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spans="1:25" ht="15.75" customHeight="1" x14ac:dyDescent="0.3">
      <c r="A367" s="51"/>
      <c r="B367" s="51"/>
      <c r="C367" s="62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spans="1:25" ht="15.75" customHeight="1" x14ac:dyDescent="0.3">
      <c r="A368" s="51"/>
      <c r="B368" s="51"/>
      <c r="C368" s="62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spans="1:25" ht="15.75" customHeight="1" x14ac:dyDescent="0.3">
      <c r="A369" s="51"/>
      <c r="B369" s="51"/>
      <c r="C369" s="62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spans="1:25" ht="15.75" customHeight="1" x14ac:dyDescent="0.3">
      <c r="A370" s="51"/>
      <c r="B370" s="51"/>
      <c r="C370" s="62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spans="1:25" ht="15.75" customHeight="1" x14ac:dyDescent="0.3">
      <c r="A371" s="51"/>
      <c r="B371" s="51"/>
      <c r="C371" s="62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spans="1:25" ht="15.75" customHeight="1" x14ac:dyDescent="0.3">
      <c r="A372" s="51"/>
      <c r="B372" s="51"/>
      <c r="C372" s="62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spans="1:25" ht="15.75" customHeight="1" x14ac:dyDescent="0.3">
      <c r="A373" s="51"/>
      <c r="B373" s="51"/>
      <c r="C373" s="62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spans="1:25" ht="15.75" customHeight="1" x14ac:dyDescent="0.3">
      <c r="A374" s="51"/>
      <c r="B374" s="51"/>
      <c r="C374" s="62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spans="1:25" ht="15.75" customHeight="1" x14ac:dyDescent="0.3">
      <c r="A375" s="51"/>
      <c r="B375" s="51"/>
      <c r="C375" s="62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spans="1:25" ht="15.75" customHeight="1" x14ac:dyDescent="0.3">
      <c r="A376" s="51"/>
      <c r="B376" s="51"/>
      <c r="C376" s="62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spans="1:25" ht="15.75" customHeight="1" x14ac:dyDescent="0.3">
      <c r="A377" s="51"/>
      <c r="B377" s="51"/>
      <c r="C377" s="62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spans="1:25" ht="15.75" customHeight="1" x14ac:dyDescent="0.3">
      <c r="A378" s="51"/>
      <c r="B378" s="51"/>
      <c r="C378" s="62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spans="1:25" ht="15.75" customHeight="1" x14ac:dyDescent="0.3">
      <c r="A379" s="51"/>
      <c r="B379" s="51"/>
      <c r="C379" s="62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spans="1:25" ht="15.75" customHeight="1" x14ac:dyDescent="0.3">
      <c r="A380" s="51"/>
      <c r="B380" s="51"/>
      <c r="C380" s="62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spans="1:25" ht="15.75" customHeight="1" x14ac:dyDescent="0.3">
      <c r="A381" s="51"/>
      <c r="B381" s="51"/>
      <c r="C381" s="62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spans="1:25" ht="15.75" customHeight="1" x14ac:dyDescent="0.3">
      <c r="A382" s="51"/>
      <c r="B382" s="51"/>
      <c r="C382" s="62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spans="1:25" ht="15.75" customHeight="1" x14ac:dyDescent="0.3">
      <c r="A383" s="51"/>
      <c r="B383" s="51"/>
      <c r="C383" s="62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spans="1:25" ht="15.75" customHeight="1" x14ac:dyDescent="0.3">
      <c r="A384" s="51"/>
      <c r="B384" s="51"/>
      <c r="C384" s="62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spans="1:25" ht="15.75" customHeight="1" x14ac:dyDescent="0.3">
      <c r="A385" s="51"/>
      <c r="B385" s="51"/>
      <c r="C385" s="62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spans="1:25" ht="15.75" customHeight="1" x14ac:dyDescent="0.3">
      <c r="A386" s="51"/>
      <c r="B386" s="51"/>
      <c r="C386" s="62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spans="1:25" ht="15.75" customHeight="1" x14ac:dyDescent="0.3">
      <c r="A387" s="51"/>
      <c r="B387" s="51"/>
      <c r="C387" s="62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spans="1:25" ht="15.75" customHeight="1" x14ac:dyDescent="0.3">
      <c r="A388" s="51"/>
      <c r="B388" s="51"/>
      <c r="C388" s="62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spans="1:25" ht="15.75" customHeight="1" x14ac:dyDescent="0.3">
      <c r="A389" s="51"/>
      <c r="B389" s="51"/>
      <c r="C389" s="62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spans="1:25" ht="15.75" customHeight="1" x14ac:dyDescent="0.3">
      <c r="A390" s="51"/>
      <c r="B390" s="51"/>
      <c r="C390" s="62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spans="1:25" ht="15.75" customHeight="1" x14ac:dyDescent="0.3">
      <c r="A391" s="51"/>
      <c r="B391" s="51"/>
      <c r="C391" s="62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spans="1:25" ht="15.75" customHeight="1" x14ac:dyDescent="0.3">
      <c r="A392" s="51"/>
      <c r="B392" s="51"/>
      <c r="C392" s="62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spans="1:25" ht="15.75" customHeight="1" x14ac:dyDescent="0.3">
      <c r="A393" s="51"/>
      <c r="B393" s="51"/>
      <c r="C393" s="62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spans="1:25" ht="15.75" customHeight="1" x14ac:dyDescent="0.3">
      <c r="A394" s="51"/>
      <c r="B394" s="51"/>
      <c r="C394" s="62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spans="1:25" ht="15.75" customHeight="1" x14ac:dyDescent="0.3">
      <c r="A395" s="51"/>
      <c r="B395" s="51"/>
      <c r="C395" s="62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spans="1:25" ht="15.75" customHeight="1" x14ac:dyDescent="0.3">
      <c r="A396" s="51"/>
      <c r="B396" s="51"/>
      <c r="C396" s="62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spans="1:25" ht="15.75" customHeight="1" x14ac:dyDescent="0.3">
      <c r="A397" s="51"/>
      <c r="B397" s="51"/>
      <c r="C397" s="62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spans="1:25" ht="15.75" customHeight="1" x14ac:dyDescent="0.3">
      <c r="A398" s="51"/>
      <c r="B398" s="51"/>
      <c r="C398" s="62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spans="1:25" ht="15.75" customHeight="1" x14ac:dyDescent="0.3">
      <c r="A399" s="51"/>
      <c r="B399" s="51"/>
      <c r="C399" s="62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spans="1:25" ht="15.75" customHeight="1" x14ac:dyDescent="0.3">
      <c r="A400" s="51"/>
      <c r="B400" s="51"/>
      <c r="C400" s="62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spans="1:25" ht="15.75" customHeight="1" x14ac:dyDescent="0.3">
      <c r="A401" s="51"/>
      <c r="B401" s="51"/>
      <c r="C401" s="62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spans="1:25" ht="15.75" customHeight="1" x14ac:dyDescent="0.3">
      <c r="A402" s="51"/>
      <c r="B402" s="51"/>
      <c r="C402" s="62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spans="1:25" ht="15.75" customHeight="1" x14ac:dyDescent="0.3">
      <c r="A403" s="51"/>
      <c r="B403" s="51"/>
      <c r="C403" s="62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spans="1:25" ht="15.75" customHeight="1" x14ac:dyDescent="0.3">
      <c r="A404" s="51"/>
      <c r="B404" s="51"/>
      <c r="C404" s="62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spans="1:25" ht="15.75" customHeight="1" x14ac:dyDescent="0.3">
      <c r="A405" s="51"/>
      <c r="B405" s="51"/>
      <c r="C405" s="62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spans="1:25" ht="15.75" customHeight="1" x14ac:dyDescent="0.3">
      <c r="A406" s="51"/>
      <c r="B406" s="51"/>
      <c r="C406" s="62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spans="1:25" ht="15.75" customHeight="1" x14ac:dyDescent="0.3">
      <c r="A407" s="51"/>
      <c r="B407" s="51"/>
      <c r="C407" s="62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spans="1:25" ht="15.75" customHeight="1" x14ac:dyDescent="0.3">
      <c r="A408" s="51"/>
      <c r="B408" s="51"/>
      <c r="C408" s="62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spans="1:25" ht="15.75" customHeight="1" x14ac:dyDescent="0.3">
      <c r="A409" s="51"/>
      <c r="B409" s="51"/>
      <c r="C409" s="62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spans="1:25" ht="15.75" customHeight="1" x14ac:dyDescent="0.3">
      <c r="A410" s="51"/>
      <c r="B410" s="51"/>
      <c r="C410" s="62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spans="1:25" ht="15.75" customHeight="1" x14ac:dyDescent="0.3">
      <c r="A411" s="51"/>
      <c r="B411" s="51"/>
      <c r="C411" s="62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spans="1:25" ht="15.75" customHeight="1" x14ac:dyDescent="0.3">
      <c r="A412" s="51"/>
      <c r="B412" s="51"/>
      <c r="C412" s="62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spans="1:25" ht="15.75" customHeight="1" x14ac:dyDescent="0.3">
      <c r="A413" s="51"/>
      <c r="B413" s="51"/>
      <c r="C413" s="62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spans="1:25" ht="15.75" customHeight="1" x14ac:dyDescent="0.3">
      <c r="A414" s="51"/>
      <c r="B414" s="51"/>
      <c r="C414" s="62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spans="1:25" ht="15.75" customHeight="1" x14ac:dyDescent="0.3">
      <c r="A415" s="51"/>
      <c r="B415" s="51"/>
      <c r="C415" s="62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spans="1:25" ht="15.75" customHeight="1" x14ac:dyDescent="0.3">
      <c r="A416" s="51"/>
      <c r="B416" s="51"/>
      <c r="C416" s="62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spans="1:25" ht="15.75" customHeight="1" x14ac:dyDescent="0.3">
      <c r="A417" s="51"/>
      <c r="B417" s="51"/>
      <c r="C417" s="62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spans="1:25" ht="15.75" customHeight="1" x14ac:dyDescent="0.3">
      <c r="A418" s="51"/>
      <c r="B418" s="51"/>
      <c r="C418" s="62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spans="1:25" ht="15.75" customHeight="1" x14ac:dyDescent="0.3">
      <c r="A419" s="51"/>
      <c r="B419" s="51"/>
      <c r="C419" s="62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spans="1:25" ht="15.75" customHeight="1" x14ac:dyDescent="0.3">
      <c r="A420" s="51"/>
      <c r="B420" s="51"/>
      <c r="C420" s="62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spans="1:25" ht="15.75" customHeight="1" x14ac:dyDescent="0.3">
      <c r="A421" s="51"/>
      <c r="B421" s="51"/>
      <c r="C421" s="62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spans="1:25" ht="15.75" customHeight="1" x14ac:dyDescent="0.3">
      <c r="A422" s="51"/>
      <c r="B422" s="51"/>
      <c r="C422" s="62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spans="1:25" ht="15.75" customHeight="1" x14ac:dyDescent="0.3">
      <c r="A423" s="51"/>
      <c r="B423" s="51"/>
      <c r="C423" s="62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spans="1:25" ht="15.75" customHeight="1" x14ac:dyDescent="0.3">
      <c r="A424" s="51"/>
      <c r="B424" s="51"/>
      <c r="C424" s="62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spans="1:25" ht="15.75" customHeight="1" x14ac:dyDescent="0.3">
      <c r="A425" s="51"/>
      <c r="B425" s="51"/>
      <c r="C425" s="62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spans="1:25" ht="15.75" customHeight="1" x14ac:dyDescent="0.3">
      <c r="A426" s="51"/>
      <c r="B426" s="51"/>
      <c r="C426" s="62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spans="1:25" ht="15.75" customHeight="1" x14ac:dyDescent="0.3">
      <c r="A427" s="51"/>
      <c r="B427" s="51"/>
      <c r="C427" s="62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spans="1:25" ht="15.75" customHeight="1" x14ac:dyDescent="0.3">
      <c r="A428" s="51"/>
      <c r="B428" s="51"/>
      <c r="C428" s="62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spans="1:25" ht="15.75" customHeight="1" x14ac:dyDescent="0.3">
      <c r="A429" s="51"/>
      <c r="B429" s="51"/>
      <c r="C429" s="62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spans="1:25" ht="15.75" customHeight="1" x14ac:dyDescent="0.3">
      <c r="A430" s="51"/>
      <c r="B430" s="51"/>
      <c r="C430" s="62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spans="1:25" ht="15.75" customHeight="1" x14ac:dyDescent="0.3">
      <c r="A431" s="51"/>
      <c r="B431" s="51"/>
      <c r="C431" s="62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spans="1:25" ht="15.75" customHeight="1" x14ac:dyDescent="0.3">
      <c r="A432" s="51"/>
      <c r="B432" s="51"/>
      <c r="C432" s="62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spans="1:25" ht="15.75" customHeight="1" x14ac:dyDescent="0.3">
      <c r="A433" s="51"/>
      <c r="B433" s="51"/>
      <c r="C433" s="62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spans="1:25" ht="15.75" customHeight="1" x14ac:dyDescent="0.3">
      <c r="A434" s="51"/>
      <c r="B434" s="51"/>
      <c r="C434" s="62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spans="1:25" ht="15.75" customHeight="1" x14ac:dyDescent="0.3">
      <c r="A435" s="51"/>
      <c r="B435" s="51"/>
      <c r="C435" s="62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spans="1:25" ht="15.75" customHeight="1" x14ac:dyDescent="0.3">
      <c r="A436" s="51"/>
      <c r="B436" s="51"/>
      <c r="C436" s="62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spans="1:25" ht="15.75" customHeight="1" x14ac:dyDescent="0.3">
      <c r="A437" s="51"/>
      <c r="B437" s="51"/>
      <c r="C437" s="62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spans="1:25" ht="15.75" customHeight="1" x14ac:dyDescent="0.3">
      <c r="A438" s="51"/>
      <c r="B438" s="51"/>
      <c r="C438" s="62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spans="1:25" ht="15.75" customHeight="1" x14ac:dyDescent="0.3">
      <c r="A439" s="51"/>
      <c r="B439" s="51"/>
      <c r="C439" s="62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spans="1:25" ht="15.75" customHeight="1" x14ac:dyDescent="0.3">
      <c r="A440" s="51"/>
      <c r="B440" s="51"/>
      <c r="C440" s="62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spans="1:25" ht="15.75" customHeight="1" x14ac:dyDescent="0.3">
      <c r="A441" s="51"/>
      <c r="B441" s="51"/>
      <c r="C441" s="62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spans="1:25" ht="15.75" customHeight="1" x14ac:dyDescent="0.3">
      <c r="A442" s="51"/>
      <c r="B442" s="51"/>
      <c r="C442" s="62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spans="1:25" ht="15.75" customHeight="1" x14ac:dyDescent="0.3">
      <c r="A443" s="51"/>
      <c r="B443" s="51"/>
      <c r="C443" s="62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spans="1:25" ht="15.75" customHeight="1" x14ac:dyDescent="0.3">
      <c r="A444" s="51"/>
      <c r="B444" s="51"/>
      <c r="C444" s="62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spans="1:25" ht="15.75" customHeight="1" x14ac:dyDescent="0.3">
      <c r="A445" s="51"/>
      <c r="B445" s="51"/>
      <c r="C445" s="62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spans="1:25" ht="15.75" customHeight="1" x14ac:dyDescent="0.3">
      <c r="A446" s="51"/>
      <c r="B446" s="51"/>
      <c r="C446" s="62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spans="1:25" ht="15.75" customHeight="1" x14ac:dyDescent="0.3">
      <c r="A447" s="51"/>
      <c r="B447" s="51"/>
      <c r="C447" s="62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spans="1:25" ht="15.75" customHeight="1" x14ac:dyDescent="0.3">
      <c r="A448" s="51"/>
      <c r="B448" s="51"/>
      <c r="C448" s="62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spans="1:25" ht="15.75" customHeight="1" x14ac:dyDescent="0.3">
      <c r="A449" s="51"/>
      <c r="B449" s="51"/>
      <c r="C449" s="62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spans="1:25" ht="15.75" customHeight="1" x14ac:dyDescent="0.3">
      <c r="A450" s="51"/>
      <c r="B450" s="51"/>
      <c r="C450" s="62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spans="1:25" ht="15.75" customHeight="1" x14ac:dyDescent="0.3">
      <c r="A451" s="51"/>
      <c r="B451" s="51"/>
      <c r="C451" s="62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spans="1:25" ht="15.75" customHeight="1" x14ac:dyDescent="0.3">
      <c r="A452" s="51"/>
      <c r="B452" s="51"/>
      <c r="C452" s="62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spans="1:25" ht="15.75" customHeight="1" x14ac:dyDescent="0.3">
      <c r="A453" s="51"/>
      <c r="B453" s="51"/>
      <c r="C453" s="62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spans="1:25" ht="15.75" customHeight="1" x14ac:dyDescent="0.3">
      <c r="A454" s="51"/>
      <c r="B454" s="51"/>
      <c r="C454" s="62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spans="1:25" ht="15.75" customHeight="1" x14ac:dyDescent="0.3">
      <c r="A455" s="51"/>
      <c r="B455" s="51"/>
      <c r="C455" s="62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spans="1:25" ht="15.75" customHeight="1" x14ac:dyDescent="0.3">
      <c r="A456" s="51"/>
      <c r="B456" s="51"/>
      <c r="C456" s="62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spans="1:25" ht="15.75" customHeight="1" x14ac:dyDescent="0.3">
      <c r="A457" s="51"/>
      <c r="B457" s="51"/>
      <c r="C457" s="62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spans="1:25" ht="15.75" customHeight="1" x14ac:dyDescent="0.3">
      <c r="A458" s="51"/>
      <c r="B458" s="51"/>
      <c r="C458" s="62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spans="1:25" ht="15.75" customHeight="1" x14ac:dyDescent="0.3">
      <c r="A459" s="51"/>
      <c r="B459" s="51"/>
      <c r="C459" s="62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spans="1:25" ht="15.75" customHeight="1" x14ac:dyDescent="0.3">
      <c r="A460" s="51"/>
      <c r="B460" s="51"/>
      <c r="C460" s="62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spans="1:25" ht="15.75" customHeight="1" x14ac:dyDescent="0.3">
      <c r="A461" s="51"/>
      <c r="B461" s="51"/>
      <c r="C461" s="62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spans="1:25" ht="15.75" customHeight="1" x14ac:dyDescent="0.3">
      <c r="A462" s="51"/>
      <c r="B462" s="51"/>
      <c r="C462" s="62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spans="1:25" ht="15.75" customHeight="1" x14ac:dyDescent="0.3">
      <c r="A463" s="51"/>
      <c r="B463" s="51"/>
      <c r="C463" s="62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spans="1:25" ht="15.75" customHeight="1" x14ac:dyDescent="0.3">
      <c r="A464" s="51"/>
      <c r="B464" s="51"/>
      <c r="C464" s="62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spans="1:25" ht="15.75" customHeight="1" x14ac:dyDescent="0.3">
      <c r="A465" s="51"/>
      <c r="B465" s="51"/>
      <c r="C465" s="62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spans="1:25" ht="15.75" customHeight="1" x14ac:dyDescent="0.3">
      <c r="A466" s="51"/>
      <c r="B466" s="51"/>
      <c r="C466" s="62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spans="1:25" ht="15.75" customHeight="1" x14ac:dyDescent="0.3">
      <c r="A467" s="51"/>
      <c r="B467" s="51"/>
      <c r="C467" s="62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spans="1:25" ht="15.75" customHeight="1" x14ac:dyDescent="0.3">
      <c r="A468" s="51"/>
      <c r="B468" s="51"/>
      <c r="C468" s="62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spans="1:25" ht="15.75" customHeight="1" x14ac:dyDescent="0.3">
      <c r="A469" s="51"/>
      <c r="B469" s="51"/>
      <c r="C469" s="62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spans="1:25" ht="15.75" customHeight="1" x14ac:dyDescent="0.3">
      <c r="A470" s="51"/>
      <c r="B470" s="51"/>
      <c r="C470" s="62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spans="1:25" ht="15.75" customHeight="1" x14ac:dyDescent="0.3">
      <c r="A471" s="51"/>
      <c r="B471" s="51"/>
      <c r="C471" s="62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spans="1:25" ht="15.75" customHeight="1" x14ac:dyDescent="0.3">
      <c r="A472" s="51"/>
      <c r="B472" s="51"/>
      <c r="C472" s="62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spans="1:25" ht="15.75" customHeight="1" x14ac:dyDescent="0.3">
      <c r="A473" s="51"/>
      <c r="B473" s="51"/>
      <c r="C473" s="62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spans="1:25" ht="15.75" customHeight="1" x14ac:dyDescent="0.3">
      <c r="A474" s="51"/>
      <c r="B474" s="51"/>
      <c r="C474" s="62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spans="1:25" ht="15.75" customHeight="1" x14ac:dyDescent="0.3">
      <c r="A475" s="51"/>
      <c r="B475" s="51"/>
      <c r="C475" s="62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spans="1:25" ht="15.75" customHeight="1" x14ac:dyDescent="0.3">
      <c r="A476" s="51"/>
      <c r="B476" s="51"/>
      <c r="C476" s="62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spans="1:25" ht="15.75" customHeight="1" x14ac:dyDescent="0.3">
      <c r="A477" s="51"/>
      <c r="B477" s="51"/>
      <c r="C477" s="62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spans="1:25" ht="15.75" customHeight="1" x14ac:dyDescent="0.3">
      <c r="A478" s="51"/>
      <c r="B478" s="51"/>
      <c r="C478" s="62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spans="1:25" ht="15.75" customHeight="1" x14ac:dyDescent="0.3">
      <c r="A479" s="51"/>
      <c r="B479" s="51"/>
      <c r="C479" s="62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spans="1:25" ht="15.75" customHeight="1" x14ac:dyDescent="0.3">
      <c r="A480" s="51"/>
      <c r="B480" s="51"/>
      <c r="C480" s="62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spans="1:25" ht="15.75" customHeight="1" x14ac:dyDescent="0.3">
      <c r="A481" s="51"/>
      <c r="B481" s="51"/>
      <c r="C481" s="62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spans="1:25" ht="15.75" customHeight="1" x14ac:dyDescent="0.3">
      <c r="A482" s="51"/>
      <c r="B482" s="51"/>
      <c r="C482" s="62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spans="1:25" ht="15.75" customHeight="1" x14ac:dyDescent="0.3">
      <c r="A483" s="51"/>
      <c r="B483" s="51"/>
      <c r="C483" s="62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spans="1:25" ht="15.75" customHeight="1" x14ac:dyDescent="0.3">
      <c r="A484" s="51"/>
      <c r="B484" s="51"/>
      <c r="C484" s="62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spans="1:25" ht="15.75" customHeight="1" x14ac:dyDescent="0.3">
      <c r="A485" s="51"/>
      <c r="B485" s="51"/>
      <c r="C485" s="62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spans="1:25" ht="15.75" customHeight="1" x14ac:dyDescent="0.3">
      <c r="A486" s="51"/>
      <c r="B486" s="51"/>
      <c r="C486" s="62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spans="1:25" ht="15.75" customHeight="1" x14ac:dyDescent="0.3">
      <c r="A487" s="51"/>
      <c r="B487" s="51"/>
      <c r="C487" s="62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spans="1:25" ht="15.75" customHeight="1" x14ac:dyDescent="0.3">
      <c r="A488" s="51"/>
      <c r="B488" s="51"/>
      <c r="C488" s="62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spans="1:25" ht="15.75" customHeight="1" x14ac:dyDescent="0.3">
      <c r="A489" s="51"/>
      <c r="B489" s="51"/>
      <c r="C489" s="62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spans="1:25" ht="15.75" customHeight="1" x14ac:dyDescent="0.3">
      <c r="A490" s="51"/>
      <c r="B490" s="51"/>
      <c r="C490" s="62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spans="1:25" ht="15.75" customHeight="1" x14ac:dyDescent="0.3">
      <c r="A491" s="51"/>
      <c r="B491" s="51"/>
      <c r="C491" s="62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spans="1:25" ht="15.75" customHeight="1" x14ac:dyDescent="0.3">
      <c r="A492" s="51"/>
      <c r="B492" s="51"/>
      <c r="C492" s="62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spans="1:25" ht="15.75" customHeight="1" x14ac:dyDescent="0.3">
      <c r="A493" s="51"/>
      <c r="B493" s="51"/>
      <c r="C493" s="62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spans="1:25" ht="15.75" customHeight="1" x14ac:dyDescent="0.3">
      <c r="A494" s="51"/>
      <c r="B494" s="51"/>
      <c r="C494" s="62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spans="1:25" ht="15.75" customHeight="1" x14ac:dyDescent="0.3">
      <c r="A495" s="51"/>
      <c r="B495" s="51"/>
      <c r="C495" s="62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spans="1:25" ht="15.75" customHeight="1" x14ac:dyDescent="0.3">
      <c r="A496" s="51"/>
      <c r="B496" s="51"/>
      <c r="C496" s="62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spans="1:25" ht="15.75" customHeight="1" x14ac:dyDescent="0.3">
      <c r="A497" s="51"/>
      <c r="B497" s="51"/>
      <c r="C497" s="62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spans="1:25" ht="15.75" customHeight="1" x14ac:dyDescent="0.3">
      <c r="A498" s="51"/>
      <c r="B498" s="51"/>
      <c r="C498" s="62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spans="1:25" ht="15.75" customHeight="1" x14ac:dyDescent="0.3">
      <c r="A499" s="51"/>
      <c r="B499" s="51"/>
      <c r="C499" s="62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spans="1:25" ht="15.75" customHeight="1" x14ac:dyDescent="0.3">
      <c r="A500" s="51"/>
      <c r="B500" s="51"/>
      <c r="C500" s="62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spans="1:25" ht="15.75" customHeight="1" x14ac:dyDescent="0.3">
      <c r="A501" s="51"/>
      <c r="B501" s="51"/>
      <c r="C501" s="62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spans="1:25" ht="15.75" customHeight="1" x14ac:dyDescent="0.3">
      <c r="A502" s="51"/>
      <c r="B502" s="51"/>
      <c r="C502" s="62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spans="1:25" ht="15.75" customHeight="1" x14ac:dyDescent="0.3">
      <c r="A503" s="51"/>
      <c r="B503" s="51"/>
      <c r="C503" s="62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spans="1:25" ht="15.75" customHeight="1" x14ac:dyDescent="0.3">
      <c r="A504" s="51"/>
      <c r="B504" s="51"/>
      <c r="C504" s="62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spans="1:25" ht="15.75" customHeight="1" x14ac:dyDescent="0.3">
      <c r="A505" s="51"/>
      <c r="B505" s="51"/>
      <c r="C505" s="62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spans="1:25" ht="15.75" customHeight="1" x14ac:dyDescent="0.3">
      <c r="A506" s="51"/>
      <c r="B506" s="51"/>
      <c r="C506" s="62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spans="1:25" ht="15.75" customHeight="1" x14ac:dyDescent="0.3">
      <c r="A507" s="51"/>
      <c r="B507" s="51"/>
      <c r="C507" s="62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spans="1:25" ht="15.75" customHeight="1" x14ac:dyDescent="0.3">
      <c r="A508" s="51"/>
      <c r="B508" s="51"/>
      <c r="C508" s="62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spans="1:25" ht="15.75" customHeight="1" x14ac:dyDescent="0.3">
      <c r="A509" s="51"/>
      <c r="B509" s="51"/>
      <c r="C509" s="62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spans="1:25" ht="15.75" customHeight="1" x14ac:dyDescent="0.3">
      <c r="A510" s="51"/>
      <c r="B510" s="51"/>
      <c r="C510" s="62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spans="1:25" ht="15.75" customHeight="1" x14ac:dyDescent="0.3">
      <c r="A511" s="51"/>
      <c r="B511" s="51"/>
      <c r="C511" s="62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spans="1:25" ht="15.75" customHeight="1" x14ac:dyDescent="0.3">
      <c r="A512" s="51"/>
      <c r="B512" s="51"/>
      <c r="C512" s="62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spans="1:25" ht="15.75" customHeight="1" x14ac:dyDescent="0.3">
      <c r="A513" s="51"/>
      <c r="B513" s="51"/>
      <c r="C513" s="62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spans="1:25" ht="15.75" customHeight="1" x14ac:dyDescent="0.3">
      <c r="A514" s="51"/>
      <c r="B514" s="51"/>
      <c r="C514" s="62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spans="1:25" ht="15.75" customHeight="1" x14ac:dyDescent="0.3">
      <c r="A515" s="51"/>
      <c r="B515" s="51"/>
      <c r="C515" s="62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spans="1:25" ht="15.75" customHeight="1" x14ac:dyDescent="0.3">
      <c r="A516" s="51"/>
      <c r="B516" s="51"/>
      <c r="C516" s="62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spans="1:25" ht="15.75" customHeight="1" x14ac:dyDescent="0.3">
      <c r="A517" s="51"/>
      <c r="B517" s="51"/>
      <c r="C517" s="62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spans="1:25" ht="15.75" customHeight="1" x14ac:dyDescent="0.3">
      <c r="A518" s="51"/>
      <c r="B518" s="51"/>
      <c r="C518" s="62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spans="1:25" ht="15.75" customHeight="1" x14ac:dyDescent="0.3">
      <c r="A519" s="51"/>
      <c r="B519" s="51"/>
      <c r="C519" s="62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spans="1:25" ht="15.75" customHeight="1" x14ac:dyDescent="0.3">
      <c r="A520" s="51"/>
      <c r="B520" s="51"/>
      <c r="C520" s="62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spans="1:25" ht="15.75" customHeight="1" x14ac:dyDescent="0.3">
      <c r="A521" s="51"/>
      <c r="B521" s="51"/>
      <c r="C521" s="62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spans="1:25" ht="15.75" customHeight="1" x14ac:dyDescent="0.3">
      <c r="A522" s="51"/>
      <c r="B522" s="51"/>
      <c r="C522" s="62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spans="1:25" ht="15.75" customHeight="1" x14ac:dyDescent="0.3">
      <c r="A523" s="51"/>
      <c r="B523" s="51"/>
      <c r="C523" s="62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spans="1:25" ht="15.75" customHeight="1" x14ac:dyDescent="0.3">
      <c r="A524" s="51"/>
      <c r="B524" s="51"/>
      <c r="C524" s="62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spans="1:25" ht="15.75" customHeight="1" x14ac:dyDescent="0.3">
      <c r="A525" s="51"/>
      <c r="B525" s="51"/>
      <c r="C525" s="62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spans="1:25" ht="15.75" customHeight="1" x14ac:dyDescent="0.3">
      <c r="A526" s="51"/>
      <c r="B526" s="51"/>
      <c r="C526" s="62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spans="1:25" ht="15.75" customHeight="1" x14ac:dyDescent="0.3">
      <c r="A527" s="51"/>
      <c r="B527" s="51"/>
      <c r="C527" s="62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spans="1:25" ht="15.75" customHeight="1" x14ac:dyDescent="0.3">
      <c r="A528" s="51"/>
      <c r="B528" s="51"/>
      <c r="C528" s="62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spans="1:25" ht="15.75" customHeight="1" x14ac:dyDescent="0.3">
      <c r="A529" s="51"/>
      <c r="B529" s="51"/>
      <c r="C529" s="62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spans="1:25" ht="15.75" customHeight="1" x14ac:dyDescent="0.3">
      <c r="A530" s="51"/>
      <c r="B530" s="51"/>
      <c r="C530" s="62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spans="1:25" ht="15.75" customHeight="1" x14ac:dyDescent="0.3">
      <c r="A531" s="51"/>
      <c r="B531" s="51"/>
      <c r="C531" s="62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spans="1:25" ht="15.75" customHeight="1" x14ac:dyDescent="0.3">
      <c r="A532" s="51"/>
      <c r="B532" s="51"/>
      <c r="C532" s="62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spans="1:25" ht="15.75" customHeight="1" x14ac:dyDescent="0.3">
      <c r="A533" s="51"/>
      <c r="B533" s="51"/>
      <c r="C533" s="62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spans="1:25" ht="15.75" customHeight="1" x14ac:dyDescent="0.3">
      <c r="A534" s="51"/>
      <c r="B534" s="51"/>
      <c r="C534" s="62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spans="1:25" ht="15.75" customHeight="1" x14ac:dyDescent="0.3">
      <c r="A535" s="51"/>
      <c r="B535" s="51"/>
      <c r="C535" s="62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spans="1:25" ht="15.75" customHeight="1" x14ac:dyDescent="0.3">
      <c r="A536" s="51"/>
      <c r="B536" s="51"/>
      <c r="C536" s="62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spans="1:25" ht="15.75" customHeight="1" x14ac:dyDescent="0.3">
      <c r="A537" s="51"/>
      <c r="B537" s="51"/>
      <c r="C537" s="62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spans="1:25" ht="15.75" customHeight="1" x14ac:dyDescent="0.3">
      <c r="A538" s="51"/>
      <c r="B538" s="51"/>
      <c r="C538" s="62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spans="1:25" ht="15.75" customHeight="1" x14ac:dyDescent="0.3">
      <c r="A539" s="51"/>
      <c r="B539" s="51"/>
      <c r="C539" s="62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spans="1:25" ht="15.75" customHeight="1" x14ac:dyDescent="0.3">
      <c r="A540" s="51"/>
      <c r="B540" s="51"/>
      <c r="C540" s="62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spans="1:25" ht="15.75" customHeight="1" x14ac:dyDescent="0.3">
      <c r="A541" s="51"/>
      <c r="B541" s="51"/>
      <c r="C541" s="62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spans="1:25" ht="15.75" customHeight="1" x14ac:dyDescent="0.3">
      <c r="A542" s="51"/>
      <c r="B542" s="51"/>
      <c r="C542" s="62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spans="1:25" ht="15.75" customHeight="1" x14ac:dyDescent="0.3">
      <c r="A543" s="51"/>
      <c r="B543" s="51"/>
      <c r="C543" s="62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spans="1:25" ht="15.75" customHeight="1" x14ac:dyDescent="0.3">
      <c r="A544" s="51"/>
      <c r="B544" s="51"/>
      <c r="C544" s="62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spans="1:25" ht="15.75" customHeight="1" x14ac:dyDescent="0.3">
      <c r="A545" s="51"/>
      <c r="B545" s="51"/>
      <c r="C545" s="62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spans="1:25" ht="15.75" customHeight="1" x14ac:dyDescent="0.3">
      <c r="A546" s="51"/>
      <c r="B546" s="51"/>
      <c r="C546" s="62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spans="1:25" ht="15.75" customHeight="1" x14ac:dyDescent="0.3">
      <c r="A547" s="51"/>
      <c r="B547" s="51"/>
      <c r="C547" s="62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spans="1:25" ht="15.75" customHeight="1" x14ac:dyDescent="0.3">
      <c r="A548" s="51"/>
      <c r="B548" s="51"/>
      <c r="C548" s="62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spans="1:25" ht="15.75" customHeight="1" x14ac:dyDescent="0.3">
      <c r="A549" s="51"/>
      <c r="B549" s="51"/>
      <c r="C549" s="62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spans="1:25" ht="15.75" customHeight="1" x14ac:dyDescent="0.3">
      <c r="A550" s="51"/>
      <c r="B550" s="51"/>
      <c r="C550" s="62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spans="1:25" ht="15.75" customHeight="1" x14ac:dyDescent="0.3">
      <c r="A551" s="51"/>
      <c r="B551" s="51"/>
      <c r="C551" s="62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spans="1:25" ht="15.75" customHeight="1" x14ac:dyDescent="0.3">
      <c r="A552" s="51"/>
      <c r="B552" s="51"/>
      <c r="C552" s="62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spans="1:25" ht="15.75" customHeight="1" x14ac:dyDescent="0.3">
      <c r="A553" s="51"/>
      <c r="B553" s="51"/>
      <c r="C553" s="62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spans="1:25" ht="15.75" customHeight="1" x14ac:dyDescent="0.3">
      <c r="A554" s="51"/>
      <c r="B554" s="51"/>
      <c r="C554" s="62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spans="1:25" ht="15.75" customHeight="1" x14ac:dyDescent="0.3">
      <c r="A555" s="51"/>
      <c r="B555" s="51"/>
      <c r="C555" s="62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spans="1:25" ht="15.75" customHeight="1" x14ac:dyDescent="0.3">
      <c r="A556" s="51"/>
      <c r="B556" s="51"/>
      <c r="C556" s="62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spans="1:25" ht="15.75" customHeight="1" x14ac:dyDescent="0.3">
      <c r="A557" s="51"/>
      <c r="B557" s="51"/>
      <c r="C557" s="62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spans="1:25" ht="15.75" customHeight="1" x14ac:dyDescent="0.3">
      <c r="A558" s="51"/>
      <c r="B558" s="51"/>
      <c r="C558" s="62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spans="1:25" ht="15.75" customHeight="1" x14ac:dyDescent="0.3">
      <c r="A559" s="51"/>
      <c r="B559" s="51"/>
      <c r="C559" s="62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spans="1:25" ht="15.75" customHeight="1" x14ac:dyDescent="0.3">
      <c r="A560" s="51"/>
      <c r="B560" s="51"/>
      <c r="C560" s="62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spans="1:25" ht="15.75" customHeight="1" x14ac:dyDescent="0.3">
      <c r="A561" s="51"/>
      <c r="B561" s="51"/>
      <c r="C561" s="62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spans="1:25" ht="15.75" customHeight="1" x14ac:dyDescent="0.3">
      <c r="A562" s="51"/>
      <c r="B562" s="51"/>
      <c r="C562" s="62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spans="1:25" ht="15.75" customHeight="1" x14ac:dyDescent="0.3">
      <c r="A563" s="51"/>
      <c r="B563" s="51"/>
      <c r="C563" s="62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spans="1:25" ht="15.75" customHeight="1" x14ac:dyDescent="0.3">
      <c r="A564" s="51"/>
      <c r="B564" s="51"/>
      <c r="C564" s="62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spans="1:25" ht="15.75" customHeight="1" x14ac:dyDescent="0.3">
      <c r="A565" s="51"/>
      <c r="B565" s="51"/>
      <c r="C565" s="62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spans="1:25" ht="15.75" customHeight="1" x14ac:dyDescent="0.3">
      <c r="A566" s="51"/>
      <c r="B566" s="51"/>
      <c r="C566" s="62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spans="1:25" ht="15.75" customHeight="1" x14ac:dyDescent="0.3">
      <c r="A567" s="51"/>
      <c r="B567" s="51"/>
      <c r="C567" s="62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spans="1:25" ht="15.75" customHeight="1" x14ac:dyDescent="0.3">
      <c r="A568" s="51"/>
      <c r="B568" s="51"/>
      <c r="C568" s="62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spans="1:25" ht="15.75" customHeight="1" x14ac:dyDescent="0.3">
      <c r="A569" s="51"/>
      <c r="B569" s="51"/>
      <c r="C569" s="62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spans="1:25" ht="15.75" customHeight="1" x14ac:dyDescent="0.3">
      <c r="A570" s="51"/>
      <c r="B570" s="51"/>
      <c r="C570" s="62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spans="1:25" ht="15.75" customHeight="1" x14ac:dyDescent="0.3">
      <c r="A571" s="51"/>
      <c r="B571" s="51"/>
      <c r="C571" s="62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spans="1:25" ht="15.75" customHeight="1" x14ac:dyDescent="0.3">
      <c r="A572" s="51"/>
      <c r="B572" s="51"/>
      <c r="C572" s="62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spans="1:25" ht="15.75" customHeight="1" x14ac:dyDescent="0.3">
      <c r="A573" s="51"/>
      <c r="B573" s="51"/>
      <c r="C573" s="62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spans="1:25" ht="15.75" customHeight="1" x14ac:dyDescent="0.3">
      <c r="A574" s="51"/>
      <c r="B574" s="51"/>
      <c r="C574" s="62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spans="1:25" ht="15.75" customHeight="1" x14ac:dyDescent="0.3">
      <c r="A575" s="51"/>
      <c r="B575" s="51"/>
      <c r="C575" s="62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spans="1:25" ht="15.75" customHeight="1" x14ac:dyDescent="0.3">
      <c r="A576" s="51"/>
      <c r="B576" s="51"/>
      <c r="C576" s="62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spans="1:25" ht="15.75" customHeight="1" x14ac:dyDescent="0.3">
      <c r="A577" s="51"/>
      <c r="B577" s="51"/>
      <c r="C577" s="62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spans="1:25" ht="15.75" customHeight="1" x14ac:dyDescent="0.3">
      <c r="A578" s="51"/>
      <c r="B578" s="51"/>
      <c r="C578" s="62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spans="1:25" ht="15.75" customHeight="1" x14ac:dyDescent="0.3">
      <c r="A579" s="51"/>
      <c r="B579" s="51"/>
      <c r="C579" s="62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spans="1:25" ht="15.75" customHeight="1" x14ac:dyDescent="0.3">
      <c r="A580" s="51"/>
      <c r="B580" s="51"/>
      <c r="C580" s="62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spans="1:25" ht="15.75" customHeight="1" x14ac:dyDescent="0.3">
      <c r="A581" s="51"/>
      <c r="B581" s="51"/>
      <c r="C581" s="62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spans="1:25" ht="15.75" customHeight="1" x14ac:dyDescent="0.3">
      <c r="A582" s="51"/>
      <c r="B582" s="51"/>
      <c r="C582" s="62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spans="1:25" ht="15.75" customHeight="1" x14ac:dyDescent="0.3">
      <c r="A583" s="51"/>
      <c r="B583" s="51"/>
      <c r="C583" s="62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spans="1:25" ht="15.75" customHeight="1" x14ac:dyDescent="0.3">
      <c r="A584" s="51"/>
      <c r="B584" s="51"/>
      <c r="C584" s="62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spans="1:25" ht="15.75" customHeight="1" x14ac:dyDescent="0.3">
      <c r="A585" s="51"/>
      <c r="B585" s="51"/>
      <c r="C585" s="62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spans="1:25" ht="15.75" customHeight="1" x14ac:dyDescent="0.3">
      <c r="A586" s="51"/>
      <c r="B586" s="51"/>
      <c r="C586" s="62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spans="1:25" ht="15.75" customHeight="1" x14ac:dyDescent="0.3">
      <c r="A587" s="51"/>
      <c r="B587" s="51"/>
      <c r="C587" s="62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spans="1:25" ht="15.75" customHeight="1" x14ac:dyDescent="0.3">
      <c r="A588" s="51"/>
      <c r="B588" s="51"/>
      <c r="C588" s="62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spans="1:25" ht="15.75" customHeight="1" x14ac:dyDescent="0.3">
      <c r="A589" s="51"/>
      <c r="B589" s="51"/>
      <c r="C589" s="62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spans="1:25" ht="15.75" customHeight="1" x14ac:dyDescent="0.3">
      <c r="A590" s="51"/>
      <c r="B590" s="51"/>
      <c r="C590" s="62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spans="1:25" ht="15.75" customHeight="1" x14ac:dyDescent="0.3">
      <c r="A591" s="51"/>
      <c r="B591" s="51"/>
      <c r="C591" s="62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spans="1:25" ht="15.75" customHeight="1" x14ac:dyDescent="0.3">
      <c r="A592" s="51"/>
      <c r="B592" s="51"/>
      <c r="C592" s="62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spans="1:25" ht="15.75" customHeight="1" x14ac:dyDescent="0.3">
      <c r="A593" s="51"/>
      <c r="B593" s="51"/>
      <c r="C593" s="62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spans="1:25" ht="15.75" customHeight="1" x14ac:dyDescent="0.3">
      <c r="A594" s="51"/>
      <c r="B594" s="51"/>
      <c r="C594" s="62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spans="1:25" ht="15.75" customHeight="1" x14ac:dyDescent="0.3">
      <c r="A595" s="51"/>
      <c r="B595" s="51"/>
      <c r="C595" s="62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spans="1:25" ht="15.75" customHeight="1" x14ac:dyDescent="0.3">
      <c r="A596" s="51"/>
      <c r="B596" s="51"/>
      <c r="C596" s="62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spans="1:25" ht="15.75" customHeight="1" x14ac:dyDescent="0.3">
      <c r="A597" s="51"/>
      <c r="B597" s="51"/>
      <c r="C597" s="62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spans="1:25" ht="15.75" customHeight="1" x14ac:dyDescent="0.3">
      <c r="A598" s="51"/>
      <c r="B598" s="51"/>
      <c r="C598" s="62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spans="1:25" ht="15.75" customHeight="1" x14ac:dyDescent="0.3">
      <c r="A599" s="51"/>
      <c r="B599" s="51"/>
      <c r="C599" s="62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spans="1:25" ht="15.75" customHeight="1" x14ac:dyDescent="0.3">
      <c r="A600" s="51"/>
      <c r="B600" s="51"/>
      <c r="C600" s="62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spans="1:25" ht="15.75" customHeight="1" x14ac:dyDescent="0.3">
      <c r="A601" s="51"/>
      <c r="B601" s="51"/>
      <c r="C601" s="62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spans="1:25" ht="15.75" customHeight="1" x14ac:dyDescent="0.3">
      <c r="A602" s="51"/>
      <c r="B602" s="51"/>
      <c r="C602" s="62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spans="1:25" ht="15.75" customHeight="1" x14ac:dyDescent="0.3">
      <c r="A603" s="51"/>
      <c r="B603" s="51"/>
      <c r="C603" s="62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spans="1:25" ht="15.75" customHeight="1" x14ac:dyDescent="0.3">
      <c r="A604" s="51"/>
      <c r="B604" s="51"/>
      <c r="C604" s="62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spans="1:25" ht="15.75" customHeight="1" x14ac:dyDescent="0.3">
      <c r="A605" s="51"/>
      <c r="B605" s="51"/>
      <c r="C605" s="62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spans="1:25" ht="15.75" customHeight="1" x14ac:dyDescent="0.3">
      <c r="A606" s="51"/>
      <c r="B606" s="51"/>
      <c r="C606" s="62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spans="1:25" ht="15.75" customHeight="1" x14ac:dyDescent="0.3">
      <c r="A607" s="51"/>
      <c r="B607" s="51"/>
      <c r="C607" s="62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spans="1:25" ht="15.75" customHeight="1" x14ac:dyDescent="0.3">
      <c r="A608" s="51"/>
      <c r="B608" s="51"/>
      <c r="C608" s="62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spans="1:25" ht="15.75" customHeight="1" x14ac:dyDescent="0.3">
      <c r="A609" s="51"/>
      <c r="B609" s="51"/>
      <c r="C609" s="62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spans="1:25" ht="15.75" customHeight="1" x14ac:dyDescent="0.3">
      <c r="A610" s="51"/>
      <c r="B610" s="51"/>
      <c r="C610" s="62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spans="1:25" ht="15.75" customHeight="1" x14ac:dyDescent="0.3">
      <c r="A611" s="51"/>
      <c r="B611" s="51"/>
      <c r="C611" s="62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spans="1:25" ht="15.75" customHeight="1" x14ac:dyDescent="0.3">
      <c r="A612" s="51"/>
      <c r="B612" s="51"/>
      <c r="C612" s="62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spans="1:25" ht="15.75" customHeight="1" x14ac:dyDescent="0.3">
      <c r="A613" s="51"/>
      <c r="B613" s="51"/>
      <c r="C613" s="62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spans="1:25" ht="15.75" customHeight="1" x14ac:dyDescent="0.3">
      <c r="A614" s="51"/>
      <c r="B614" s="51"/>
      <c r="C614" s="62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spans="1:25" ht="15.75" customHeight="1" x14ac:dyDescent="0.3">
      <c r="A615" s="51"/>
      <c r="B615" s="51"/>
      <c r="C615" s="62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spans="1:25" ht="15.75" customHeight="1" x14ac:dyDescent="0.3">
      <c r="A616" s="51"/>
      <c r="B616" s="51"/>
      <c r="C616" s="62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spans="1:25" ht="15.75" customHeight="1" x14ac:dyDescent="0.3">
      <c r="A617" s="51"/>
      <c r="B617" s="51"/>
      <c r="C617" s="62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spans="1:25" ht="15.75" customHeight="1" x14ac:dyDescent="0.3">
      <c r="A618" s="51"/>
      <c r="B618" s="51"/>
      <c r="C618" s="62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spans="1:25" ht="15.75" customHeight="1" x14ac:dyDescent="0.3">
      <c r="A619" s="51"/>
      <c r="B619" s="51"/>
      <c r="C619" s="62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spans="1:25" ht="15.75" customHeight="1" x14ac:dyDescent="0.3">
      <c r="A620" s="51"/>
      <c r="B620" s="51"/>
      <c r="C620" s="62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spans="1:25" ht="15.75" customHeight="1" x14ac:dyDescent="0.3">
      <c r="A621" s="51"/>
      <c r="B621" s="51"/>
      <c r="C621" s="62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spans="1:25" ht="15.75" customHeight="1" x14ac:dyDescent="0.3">
      <c r="A622" s="51"/>
      <c r="B622" s="51"/>
      <c r="C622" s="62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spans="1:25" ht="15.75" customHeight="1" x14ac:dyDescent="0.3">
      <c r="A623" s="51"/>
      <c r="B623" s="51"/>
      <c r="C623" s="62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spans="1:25" ht="15.75" customHeight="1" x14ac:dyDescent="0.3">
      <c r="A624" s="51"/>
      <c r="B624" s="51"/>
      <c r="C624" s="62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spans="1:25" ht="15.75" customHeight="1" x14ac:dyDescent="0.3">
      <c r="A625" s="51"/>
      <c r="B625" s="51"/>
      <c r="C625" s="62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spans="1:25" ht="15.75" customHeight="1" x14ac:dyDescent="0.3">
      <c r="A626" s="51"/>
      <c r="B626" s="51"/>
      <c r="C626" s="62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spans="1:25" ht="15.75" customHeight="1" x14ac:dyDescent="0.3">
      <c r="A627" s="51"/>
      <c r="B627" s="51"/>
      <c r="C627" s="62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spans="1:25" ht="15.75" customHeight="1" x14ac:dyDescent="0.3">
      <c r="A628" s="51"/>
      <c r="B628" s="51"/>
      <c r="C628" s="62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spans="1:25" ht="15.75" customHeight="1" x14ac:dyDescent="0.3">
      <c r="A629" s="51"/>
      <c r="B629" s="51"/>
      <c r="C629" s="62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spans="1:25" ht="15.75" customHeight="1" x14ac:dyDescent="0.3">
      <c r="A630" s="51"/>
      <c r="B630" s="51"/>
      <c r="C630" s="62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spans="1:25" ht="15.75" customHeight="1" x14ac:dyDescent="0.3">
      <c r="A631" s="51"/>
      <c r="B631" s="51"/>
      <c r="C631" s="62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spans="1:25" ht="15.75" customHeight="1" x14ac:dyDescent="0.3">
      <c r="A632" s="51"/>
      <c r="B632" s="51"/>
      <c r="C632" s="62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spans="1:25" ht="15.75" customHeight="1" x14ac:dyDescent="0.3">
      <c r="A633" s="51"/>
      <c r="B633" s="51"/>
      <c r="C633" s="62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spans="1:25" ht="15.75" customHeight="1" x14ac:dyDescent="0.3">
      <c r="A634" s="51"/>
      <c r="B634" s="51"/>
      <c r="C634" s="62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spans="1:25" ht="15.75" customHeight="1" x14ac:dyDescent="0.3">
      <c r="A635" s="51"/>
      <c r="B635" s="51"/>
      <c r="C635" s="62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spans="1:25" ht="15.75" customHeight="1" x14ac:dyDescent="0.3">
      <c r="A636" s="51"/>
      <c r="B636" s="51"/>
      <c r="C636" s="62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spans="1:25" ht="15.75" customHeight="1" x14ac:dyDescent="0.3">
      <c r="A637" s="51"/>
      <c r="B637" s="51"/>
      <c r="C637" s="62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spans="1:25" ht="15.75" customHeight="1" x14ac:dyDescent="0.3">
      <c r="A638" s="51"/>
      <c r="B638" s="51"/>
      <c r="C638" s="62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spans="1:25" ht="15.75" customHeight="1" x14ac:dyDescent="0.3">
      <c r="A639" s="51"/>
      <c r="B639" s="51"/>
      <c r="C639" s="62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spans="1:25" ht="15.75" customHeight="1" x14ac:dyDescent="0.3">
      <c r="A640" s="51"/>
      <c r="B640" s="51"/>
      <c r="C640" s="62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spans="1:25" ht="15.75" customHeight="1" x14ac:dyDescent="0.3">
      <c r="A641" s="51"/>
      <c r="B641" s="51"/>
      <c r="C641" s="62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spans="1:25" ht="15.75" customHeight="1" x14ac:dyDescent="0.3">
      <c r="A642" s="51"/>
      <c r="B642" s="51"/>
      <c r="C642" s="62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spans="1:25" ht="15.75" customHeight="1" x14ac:dyDescent="0.3">
      <c r="A643" s="51"/>
      <c r="B643" s="51"/>
      <c r="C643" s="62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spans="1:25" ht="15.75" customHeight="1" x14ac:dyDescent="0.3">
      <c r="A644" s="51"/>
      <c r="B644" s="51"/>
      <c r="C644" s="62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spans="1:25" ht="15.75" customHeight="1" x14ac:dyDescent="0.3">
      <c r="A645" s="51"/>
      <c r="B645" s="51"/>
      <c r="C645" s="62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spans="1:25" ht="15.75" customHeight="1" x14ac:dyDescent="0.3">
      <c r="A646" s="51"/>
      <c r="B646" s="51"/>
      <c r="C646" s="62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spans="1:25" ht="15.75" customHeight="1" x14ac:dyDescent="0.3">
      <c r="A647" s="51"/>
      <c r="B647" s="51"/>
      <c r="C647" s="62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spans="1:25" ht="15.75" customHeight="1" x14ac:dyDescent="0.3">
      <c r="A648" s="51"/>
      <c r="B648" s="51"/>
      <c r="C648" s="62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spans="1:25" ht="15.75" customHeight="1" x14ac:dyDescent="0.3">
      <c r="A649" s="51"/>
      <c r="B649" s="51"/>
      <c r="C649" s="62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spans="1:25" ht="15.75" customHeight="1" x14ac:dyDescent="0.3">
      <c r="A650" s="51"/>
      <c r="B650" s="51"/>
      <c r="C650" s="62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spans="1:25" ht="15.75" customHeight="1" x14ac:dyDescent="0.3">
      <c r="A651" s="51"/>
      <c r="B651" s="51"/>
      <c r="C651" s="62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spans="1:25" ht="15.75" customHeight="1" x14ac:dyDescent="0.3">
      <c r="A652" s="51"/>
      <c r="B652" s="51"/>
      <c r="C652" s="62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spans="1:25" ht="15.75" customHeight="1" x14ac:dyDescent="0.3">
      <c r="A653" s="51"/>
      <c r="B653" s="51"/>
      <c r="C653" s="62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spans="1:25" ht="15.75" customHeight="1" x14ac:dyDescent="0.3">
      <c r="A654" s="51"/>
      <c r="B654" s="51"/>
      <c r="C654" s="62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spans="1:25" ht="15.75" customHeight="1" x14ac:dyDescent="0.3">
      <c r="A655" s="51"/>
      <c r="B655" s="51"/>
      <c r="C655" s="62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spans="1:25" ht="15.75" customHeight="1" x14ac:dyDescent="0.3">
      <c r="A656" s="51"/>
      <c r="B656" s="51"/>
      <c r="C656" s="62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spans="1:25" ht="15.75" customHeight="1" x14ac:dyDescent="0.3">
      <c r="A657" s="51"/>
      <c r="B657" s="51"/>
      <c r="C657" s="62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spans="1:25" ht="15.75" customHeight="1" x14ac:dyDescent="0.3">
      <c r="A658" s="51"/>
      <c r="B658" s="51"/>
      <c r="C658" s="62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spans="1:25" ht="15.75" customHeight="1" x14ac:dyDescent="0.3">
      <c r="A659" s="51"/>
      <c r="B659" s="51"/>
      <c r="C659" s="62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spans="1:25" ht="15.75" customHeight="1" x14ac:dyDescent="0.3">
      <c r="A660" s="51"/>
      <c r="B660" s="51"/>
      <c r="C660" s="62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spans="1:25" ht="15.75" customHeight="1" x14ac:dyDescent="0.3">
      <c r="A661" s="51"/>
      <c r="B661" s="51"/>
      <c r="C661" s="62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spans="1:25" ht="15.75" customHeight="1" x14ac:dyDescent="0.3">
      <c r="A662" s="51"/>
      <c r="B662" s="51"/>
      <c r="C662" s="62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spans="1:25" ht="15.75" customHeight="1" x14ac:dyDescent="0.3">
      <c r="A663" s="51"/>
      <c r="B663" s="51"/>
      <c r="C663" s="62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spans="1:25" ht="15.75" customHeight="1" x14ac:dyDescent="0.3">
      <c r="A664" s="51"/>
      <c r="B664" s="51"/>
      <c r="C664" s="62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spans="1:25" ht="15.75" customHeight="1" x14ac:dyDescent="0.3">
      <c r="A665" s="51"/>
      <c r="B665" s="51"/>
      <c r="C665" s="62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spans="1:25" ht="15.75" customHeight="1" x14ac:dyDescent="0.3">
      <c r="A666" s="51"/>
      <c r="B666" s="51"/>
      <c r="C666" s="62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spans="1:25" ht="15.75" customHeight="1" x14ac:dyDescent="0.3">
      <c r="A667" s="51"/>
      <c r="B667" s="51"/>
      <c r="C667" s="62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spans="1:25" ht="15.75" customHeight="1" x14ac:dyDescent="0.3">
      <c r="A668" s="51"/>
      <c r="B668" s="51"/>
      <c r="C668" s="62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spans="1:25" ht="15.75" customHeight="1" x14ac:dyDescent="0.3">
      <c r="A669" s="51"/>
      <c r="B669" s="51"/>
      <c r="C669" s="62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spans="1:25" ht="15.75" customHeight="1" x14ac:dyDescent="0.3">
      <c r="A670" s="51"/>
      <c r="B670" s="51"/>
      <c r="C670" s="62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spans="1:25" ht="15.75" customHeight="1" x14ac:dyDescent="0.3">
      <c r="A671" s="51"/>
      <c r="B671" s="51"/>
      <c r="C671" s="62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spans="1:25" ht="15.75" customHeight="1" x14ac:dyDescent="0.3">
      <c r="A672" s="51"/>
      <c r="B672" s="51"/>
      <c r="C672" s="62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spans="1:25" ht="15.75" customHeight="1" x14ac:dyDescent="0.3">
      <c r="A673" s="51"/>
      <c r="B673" s="51"/>
      <c r="C673" s="62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spans="1:25" ht="15.75" customHeight="1" x14ac:dyDescent="0.3">
      <c r="A674" s="51"/>
      <c r="B674" s="51"/>
      <c r="C674" s="62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spans="1:25" ht="15.75" customHeight="1" x14ac:dyDescent="0.3">
      <c r="A675" s="51"/>
      <c r="B675" s="51"/>
      <c r="C675" s="62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spans="1:25" ht="15.75" customHeight="1" x14ac:dyDescent="0.3">
      <c r="A676" s="51"/>
      <c r="B676" s="51"/>
      <c r="C676" s="62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spans="1:25" ht="15.75" customHeight="1" x14ac:dyDescent="0.3">
      <c r="A677" s="51"/>
      <c r="B677" s="51"/>
      <c r="C677" s="62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spans="1:25" ht="15.75" customHeight="1" x14ac:dyDescent="0.3">
      <c r="A678" s="51"/>
      <c r="B678" s="51"/>
      <c r="C678" s="62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spans="1:25" ht="15.75" customHeight="1" x14ac:dyDescent="0.3">
      <c r="A679" s="51"/>
      <c r="B679" s="51"/>
      <c r="C679" s="62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spans="1:25" ht="15.75" customHeight="1" x14ac:dyDescent="0.3">
      <c r="A680" s="51"/>
      <c r="B680" s="51"/>
      <c r="C680" s="62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spans="1:25" ht="15.75" customHeight="1" x14ac:dyDescent="0.3">
      <c r="A681" s="51"/>
      <c r="B681" s="51"/>
      <c r="C681" s="62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spans="1:25" ht="15.75" customHeight="1" x14ac:dyDescent="0.3">
      <c r="A682" s="51"/>
      <c r="B682" s="51"/>
      <c r="C682" s="62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spans="1:25" ht="15.75" customHeight="1" x14ac:dyDescent="0.3">
      <c r="A683" s="51"/>
      <c r="B683" s="51"/>
      <c r="C683" s="62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spans="1:25" ht="15.75" customHeight="1" x14ac:dyDescent="0.3">
      <c r="A684" s="51"/>
      <c r="B684" s="51"/>
      <c r="C684" s="62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spans="1:25" ht="15.75" customHeight="1" x14ac:dyDescent="0.3">
      <c r="A685" s="51"/>
      <c r="B685" s="51"/>
      <c r="C685" s="62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spans="1:25" ht="15.75" customHeight="1" x14ac:dyDescent="0.3">
      <c r="A686" s="51"/>
      <c r="B686" s="51"/>
      <c r="C686" s="62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spans="1:25" ht="15.75" customHeight="1" x14ac:dyDescent="0.3">
      <c r="A687" s="51"/>
      <c r="B687" s="51"/>
      <c r="C687" s="62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spans="1:25" ht="15.75" customHeight="1" x14ac:dyDescent="0.3">
      <c r="A688" s="51"/>
      <c r="B688" s="51"/>
      <c r="C688" s="62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spans="1:25" ht="15.75" customHeight="1" x14ac:dyDescent="0.3">
      <c r="A689" s="51"/>
      <c r="B689" s="51"/>
      <c r="C689" s="62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spans="1:25" ht="15.75" customHeight="1" x14ac:dyDescent="0.3">
      <c r="A690" s="51"/>
      <c r="B690" s="51"/>
      <c r="C690" s="62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spans="1:25" ht="15.75" customHeight="1" x14ac:dyDescent="0.3">
      <c r="A691" s="51"/>
      <c r="B691" s="51"/>
      <c r="C691" s="62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spans="1:25" ht="15.75" customHeight="1" x14ac:dyDescent="0.3">
      <c r="A692" s="51"/>
      <c r="B692" s="51"/>
      <c r="C692" s="62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spans="1:25" ht="15.75" customHeight="1" x14ac:dyDescent="0.3">
      <c r="A693" s="51"/>
      <c r="B693" s="51"/>
      <c r="C693" s="62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spans="1:25" ht="15.75" customHeight="1" x14ac:dyDescent="0.3">
      <c r="A694" s="51"/>
      <c r="B694" s="51"/>
      <c r="C694" s="62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spans="1:25" ht="15.75" customHeight="1" x14ac:dyDescent="0.3">
      <c r="A695" s="51"/>
      <c r="B695" s="51"/>
      <c r="C695" s="62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spans="1:25" ht="15.75" customHeight="1" x14ac:dyDescent="0.3">
      <c r="A696" s="51"/>
      <c r="B696" s="51"/>
      <c r="C696" s="62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spans="1:25" ht="15.75" customHeight="1" x14ac:dyDescent="0.3">
      <c r="A697" s="51"/>
      <c r="B697" s="51"/>
      <c r="C697" s="62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spans="1:25" ht="15.75" customHeight="1" x14ac:dyDescent="0.3">
      <c r="A698" s="51"/>
      <c r="B698" s="51"/>
      <c r="C698" s="62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spans="1:25" ht="15.75" customHeight="1" x14ac:dyDescent="0.3">
      <c r="A699" s="51"/>
      <c r="B699" s="51"/>
      <c r="C699" s="62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spans="1:25" ht="15.75" customHeight="1" x14ac:dyDescent="0.3">
      <c r="A700" s="51"/>
      <c r="B700" s="51"/>
      <c r="C700" s="62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spans="1:25" ht="15.75" customHeight="1" x14ac:dyDescent="0.3">
      <c r="A701" s="51"/>
      <c r="B701" s="51"/>
      <c r="C701" s="62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spans="1:25" ht="15.75" customHeight="1" x14ac:dyDescent="0.3">
      <c r="A702" s="51"/>
      <c r="B702" s="51"/>
      <c r="C702" s="62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spans="1:25" ht="15.75" customHeight="1" x14ac:dyDescent="0.3">
      <c r="A703" s="51"/>
      <c r="B703" s="51"/>
      <c r="C703" s="62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spans="1:25" ht="15.75" customHeight="1" x14ac:dyDescent="0.3">
      <c r="A704" s="51"/>
      <c r="B704" s="51"/>
      <c r="C704" s="62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spans="1:25" ht="15.75" customHeight="1" x14ac:dyDescent="0.3">
      <c r="A705" s="51"/>
      <c r="B705" s="51"/>
      <c r="C705" s="62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spans="1:25" ht="15.75" customHeight="1" x14ac:dyDescent="0.3">
      <c r="A706" s="51"/>
      <c r="B706" s="51"/>
      <c r="C706" s="62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spans="1:25" ht="15.75" customHeight="1" x14ac:dyDescent="0.3">
      <c r="A707" s="51"/>
      <c r="B707" s="51"/>
      <c r="C707" s="62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spans="1:25" ht="15.75" customHeight="1" x14ac:dyDescent="0.3">
      <c r="A708" s="51"/>
      <c r="B708" s="51"/>
      <c r="C708" s="62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spans="1:25" ht="15.75" customHeight="1" x14ac:dyDescent="0.3">
      <c r="A709" s="51"/>
      <c r="B709" s="51"/>
      <c r="C709" s="62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spans="1:25" ht="15.75" customHeight="1" x14ac:dyDescent="0.3">
      <c r="A710" s="51"/>
      <c r="B710" s="51"/>
      <c r="C710" s="62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spans="1:25" ht="15.75" customHeight="1" x14ac:dyDescent="0.3">
      <c r="A711" s="51"/>
      <c r="B711" s="51"/>
      <c r="C711" s="62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spans="1:25" ht="15.75" customHeight="1" x14ac:dyDescent="0.3">
      <c r="A712" s="51"/>
      <c r="B712" s="51"/>
      <c r="C712" s="62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spans="1:25" ht="15.75" customHeight="1" x14ac:dyDescent="0.3">
      <c r="A713" s="51"/>
      <c r="B713" s="51"/>
      <c r="C713" s="62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spans="1:25" ht="15.75" customHeight="1" x14ac:dyDescent="0.3">
      <c r="A714" s="51"/>
      <c r="B714" s="51"/>
      <c r="C714" s="62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spans="1:25" ht="15.75" customHeight="1" x14ac:dyDescent="0.3">
      <c r="A715" s="51"/>
      <c r="B715" s="51"/>
      <c r="C715" s="62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spans="1:25" ht="15.75" customHeight="1" x14ac:dyDescent="0.3">
      <c r="A716" s="51"/>
      <c r="B716" s="51"/>
      <c r="C716" s="62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spans="1:25" ht="15.75" customHeight="1" x14ac:dyDescent="0.3">
      <c r="A717" s="51"/>
      <c r="B717" s="51"/>
      <c r="C717" s="62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spans="1:25" ht="15.75" customHeight="1" x14ac:dyDescent="0.3">
      <c r="A718" s="51"/>
      <c r="B718" s="51"/>
      <c r="C718" s="62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spans="1:25" ht="15.75" customHeight="1" x14ac:dyDescent="0.3">
      <c r="A719" s="51"/>
      <c r="B719" s="51"/>
      <c r="C719" s="62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spans="1:25" ht="15.75" customHeight="1" x14ac:dyDescent="0.3">
      <c r="A720" s="51"/>
      <c r="B720" s="51"/>
      <c r="C720" s="62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spans="1:25" ht="15.75" customHeight="1" x14ac:dyDescent="0.3">
      <c r="A721" s="51"/>
      <c r="B721" s="51"/>
      <c r="C721" s="62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spans="1:25" ht="15.75" customHeight="1" x14ac:dyDescent="0.3">
      <c r="A722" s="51"/>
      <c r="B722" s="51"/>
      <c r="C722" s="62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spans="1:25" ht="15.75" customHeight="1" x14ac:dyDescent="0.3">
      <c r="A723" s="51"/>
      <c r="B723" s="51"/>
      <c r="C723" s="62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spans="1:25" ht="15.75" customHeight="1" x14ac:dyDescent="0.3">
      <c r="A724" s="51"/>
      <c r="B724" s="51"/>
      <c r="C724" s="62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spans="1:25" ht="15.75" customHeight="1" x14ac:dyDescent="0.3">
      <c r="A725" s="51"/>
      <c r="B725" s="51"/>
      <c r="C725" s="62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spans="1:25" ht="15.75" customHeight="1" x14ac:dyDescent="0.3">
      <c r="A726" s="51"/>
      <c r="B726" s="51"/>
      <c r="C726" s="62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spans="1:25" ht="15.75" customHeight="1" x14ac:dyDescent="0.3">
      <c r="A727" s="51"/>
      <c r="B727" s="51"/>
      <c r="C727" s="62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spans="1:25" ht="15.75" customHeight="1" x14ac:dyDescent="0.3">
      <c r="A728" s="51"/>
      <c r="B728" s="51"/>
      <c r="C728" s="62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spans="1:25" ht="15.75" customHeight="1" x14ac:dyDescent="0.3">
      <c r="A729" s="51"/>
      <c r="B729" s="51"/>
      <c r="C729" s="62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spans="1:25" ht="15.75" customHeight="1" x14ac:dyDescent="0.3">
      <c r="A730" s="51"/>
      <c r="B730" s="51"/>
      <c r="C730" s="62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spans="1:25" ht="15.75" customHeight="1" x14ac:dyDescent="0.3">
      <c r="A731" s="51"/>
      <c r="B731" s="51"/>
      <c r="C731" s="62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spans="1:25" ht="15.75" customHeight="1" x14ac:dyDescent="0.3">
      <c r="A732" s="51"/>
      <c r="B732" s="51"/>
      <c r="C732" s="62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spans="1:25" ht="15.75" customHeight="1" x14ac:dyDescent="0.3">
      <c r="A733" s="51"/>
      <c r="B733" s="51"/>
      <c r="C733" s="62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spans="1:25" ht="15.75" customHeight="1" x14ac:dyDescent="0.3">
      <c r="A734" s="51"/>
      <c r="B734" s="51"/>
      <c r="C734" s="62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spans="1:25" ht="15.75" customHeight="1" x14ac:dyDescent="0.3">
      <c r="A735" s="51"/>
      <c r="B735" s="51"/>
      <c r="C735" s="62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spans="1:25" ht="15.75" customHeight="1" x14ac:dyDescent="0.3">
      <c r="A736" s="51"/>
      <c r="B736" s="51"/>
      <c r="C736" s="62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spans="1:25" ht="15.75" customHeight="1" x14ac:dyDescent="0.3">
      <c r="A737" s="51"/>
      <c r="B737" s="51"/>
      <c r="C737" s="62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spans="1:25" ht="15.75" customHeight="1" x14ac:dyDescent="0.3">
      <c r="A738" s="51"/>
      <c r="B738" s="51"/>
      <c r="C738" s="62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spans="1:25" ht="15.75" customHeight="1" x14ac:dyDescent="0.3">
      <c r="A739" s="51"/>
      <c r="B739" s="51"/>
      <c r="C739" s="62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spans="1:25" ht="15.75" customHeight="1" x14ac:dyDescent="0.3">
      <c r="A740" s="51"/>
      <c r="B740" s="51"/>
      <c r="C740" s="62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spans="1:25" ht="15.75" customHeight="1" x14ac:dyDescent="0.3">
      <c r="A741" s="51"/>
      <c r="B741" s="51"/>
      <c r="C741" s="62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spans="1:25" ht="15.75" customHeight="1" x14ac:dyDescent="0.3">
      <c r="A742" s="51"/>
      <c r="B742" s="51"/>
      <c r="C742" s="62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spans="1:25" ht="15.75" customHeight="1" x14ac:dyDescent="0.3">
      <c r="A743" s="51"/>
      <c r="B743" s="51"/>
      <c r="C743" s="62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spans="1:25" ht="15.75" customHeight="1" x14ac:dyDescent="0.3">
      <c r="A744" s="51"/>
      <c r="B744" s="51"/>
      <c r="C744" s="62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spans="1:25" ht="15.75" customHeight="1" x14ac:dyDescent="0.3">
      <c r="A745" s="51"/>
      <c r="B745" s="51"/>
      <c r="C745" s="62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spans="1:25" ht="15.75" customHeight="1" x14ac:dyDescent="0.3">
      <c r="A746" s="51"/>
      <c r="B746" s="51"/>
      <c r="C746" s="62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spans="1:25" ht="15.75" customHeight="1" x14ac:dyDescent="0.3">
      <c r="A747" s="51"/>
      <c r="B747" s="51"/>
      <c r="C747" s="62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spans="1:25" ht="15.75" customHeight="1" x14ac:dyDescent="0.3">
      <c r="A748" s="51"/>
      <c r="B748" s="51"/>
      <c r="C748" s="62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spans="1:25" ht="15.75" customHeight="1" x14ac:dyDescent="0.3">
      <c r="A749" s="51"/>
      <c r="B749" s="51"/>
      <c r="C749" s="62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spans="1:25" ht="15.75" customHeight="1" x14ac:dyDescent="0.3">
      <c r="A750" s="51"/>
      <c r="B750" s="51"/>
      <c r="C750" s="62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spans="1:25" ht="15.75" customHeight="1" x14ac:dyDescent="0.3">
      <c r="A751" s="51"/>
      <c r="B751" s="51"/>
      <c r="C751" s="62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spans="1:25" ht="15.75" customHeight="1" x14ac:dyDescent="0.3">
      <c r="A752" s="51"/>
      <c r="B752" s="51"/>
      <c r="C752" s="62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spans="1:25" ht="15.75" customHeight="1" x14ac:dyDescent="0.3">
      <c r="A753" s="51"/>
      <c r="B753" s="51"/>
      <c r="C753" s="62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spans="1:25" ht="15.75" customHeight="1" x14ac:dyDescent="0.3">
      <c r="A754" s="51"/>
      <c r="B754" s="51"/>
      <c r="C754" s="62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spans="1:25" ht="15.75" customHeight="1" x14ac:dyDescent="0.3">
      <c r="A755" s="51"/>
      <c r="B755" s="51"/>
      <c r="C755" s="62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spans="1:25" ht="15.75" customHeight="1" x14ac:dyDescent="0.3">
      <c r="A756" s="51"/>
      <c r="B756" s="51"/>
      <c r="C756" s="62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spans="1:25" ht="15.75" customHeight="1" x14ac:dyDescent="0.3">
      <c r="A757" s="51"/>
      <c r="B757" s="51"/>
      <c r="C757" s="62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spans="1:25" ht="15.75" customHeight="1" x14ac:dyDescent="0.3">
      <c r="A758" s="51"/>
      <c r="B758" s="51"/>
      <c r="C758" s="62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spans="1:25" ht="15.75" customHeight="1" x14ac:dyDescent="0.3">
      <c r="A759" s="51"/>
      <c r="B759" s="51"/>
      <c r="C759" s="62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spans="1:25" ht="15.75" customHeight="1" x14ac:dyDescent="0.3">
      <c r="A760" s="51"/>
      <c r="B760" s="51"/>
      <c r="C760" s="62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spans="1:25" ht="15.75" customHeight="1" x14ac:dyDescent="0.3">
      <c r="A761" s="51"/>
      <c r="B761" s="51"/>
      <c r="C761" s="62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spans="1:25" ht="15.75" customHeight="1" x14ac:dyDescent="0.3">
      <c r="A762" s="51"/>
      <c r="B762" s="51"/>
      <c r="C762" s="62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spans="1:25" ht="15.75" customHeight="1" x14ac:dyDescent="0.3">
      <c r="A763" s="51"/>
      <c r="B763" s="51"/>
      <c r="C763" s="62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spans="1:25" ht="15.75" customHeight="1" x14ac:dyDescent="0.3">
      <c r="A764" s="51"/>
      <c r="B764" s="51"/>
      <c r="C764" s="62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spans="1:25" ht="15.75" customHeight="1" x14ac:dyDescent="0.3">
      <c r="A765" s="51"/>
      <c r="B765" s="51"/>
      <c r="C765" s="62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spans="1:25" ht="15.75" customHeight="1" x14ac:dyDescent="0.3">
      <c r="A766" s="51"/>
      <c r="B766" s="51"/>
      <c r="C766" s="62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spans="1:25" ht="15.75" customHeight="1" x14ac:dyDescent="0.3">
      <c r="A767" s="51"/>
      <c r="B767" s="51"/>
      <c r="C767" s="62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spans="1:25" ht="15.75" customHeight="1" x14ac:dyDescent="0.3">
      <c r="A768" s="51"/>
      <c r="B768" s="51"/>
      <c r="C768" s="62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spans="1:25" ht="15.75" customHeight="1" x14ac:dyDescent="0.3">
      <c r="A769" s="51"/>
      <c r="B769" s="51"/>
      <c r="C769" s="62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spans="1:25" ht="15.75" customHeight="1" x14ac:dyDescent="0.3">
      <c r="A770" s="51"/>
      <c r="B770" s="51"/>
      <c r="C770" s="62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spans="1:25" ht="15.75" customHeight="1" x14ac:dyDescent="0.3">
      <c r="A771" s="51"/>
      <c r="B771" s="51"/>
      <c r="C771" s="62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spans="1:25" ht="15.75" customHeight="1" x14ac:dyDescent="0.3">
      <c r="A772" s="51"/>
      <c r="B772" s="51"/>
      <c r="C772" s="62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spans="1:25" ht="15.75" customHeight="1" x14ac:dyDescent="0.3">
      <c r="A773" s="51"/>
      <c r="B773" s="51"/>
      <c r="C773" s="62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spans="1:25" ht="15.75" customHeight="1" x14ac:dyDescent="0.3">
      <c r="A774" s="51"/>
      <c r="B774" s="51"/>
      <c r="C774" s="62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spans="1:25" ht="15.75" customHeight="1" x14ac:dyDescent="0.3">
      <c r="A775" s="51"/>
      <c r="B775" s="51"/>
      <c r="C775" s="62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spans="1:25" ht="15.75" customHeight="1" x14ac:dyDescent="0.3">
      <c r="A776" s="51"/>
      <c r="B776" s="51"/>
      <c r="C776" s="62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spans="1:25" ht="15.75" customHeight="1" x14ac:dyDescent="0.3">
      <c r="A777" s="51"/>
      <c r="B777" s="51"/>
      <c r="C777" s="62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spans="1:25" ht="15.75" customHeight="1" x14ac:dyDescent="0.3">
      <c r="A778" s="51"/>
      <c r="B778" s="51"/>
      <c r="C778" s="62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spans="1:25" ht="15.75" customHeight="1" x14ac:dyDescent="0.3">
      <c r="A779" s="51"/>
      <c r="B779" s="51"/>
      <c r="C779" s="62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spans="1:25" ht="15.75" customHeight="1" x14ac:dyDescent="0.3">
      <c r="A780" s="51"/>
      <c r="B780" s="51"/>
      <c r="C780" s="62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spans="1:25" ht="15.75" customHeight="1" x14ac:dyDescent="0.3">
      <c r="A781" s="51"/>
      <c r="B781" s="51"/>
      <c r="C781" s="62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spans="1:25" ht="15.75" customHeight="1" x14ac:dyDescent="0.3">
      <c r="A782" s="51"/>
      <c r="B782" s="51"/>
      <c r="C782" s="62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spans="1:25" ht="15.75" customHeight="1" x14ac:dyDescent="0.3">
      <c r="A783" s="51"/>
      <c r="B783" s="51"/>
      <c r="C783" s="62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spans="1:25" ht="15.75" customHeight="1" x14ac:dyDescent="0.3">
      <c r="A784" s="51"/>
      <c r="B784" s="51"/>
      <c r="C784" s="62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spans="1:25" ht="15.75" customHeight="1" x14ac:dyDescent="0.3">
      <c r="A785" s="51"/>
      <c r="B785" s="51"/>
      <c r="C785" s="62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spans="1:25" ht="15.75" customHeight="1" x14ac:dyDescent="0.3">
      <c r="A786" s="51"/>
      <c r="B786" s="51"/>
      <c r="C786" s="62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spans="1:25" ht="15.75" customHeight="1" x14ac:dyDescent="0.3">
      <c r="A787" s="51"/>
      <c r="B787" s="51"/>
      <c r="C787" s="62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spans="1:25" ht="15.75" customHeight="1" x14ac:dyDescent="0.3">
      <c r="A788" s="51"/>
      <c r="B788" s="51"/>
      <c r="C788" s="62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spans="1:25" ht="15.75" customHeight="1" x14ac:dyDescent="0.3">
      <c r="A789" s="51"/>
      <c r="B789" s="51"/>
      <c r="C789" s="62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spans="1:25" ht="15.75" customHeight="1" x14ac:dyDescent="0.3">
      <c r="A790" s="51"/>
      <c r="B790" s="51"/>
      <c r="C790" s="62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spans="1:25" ht="15.75" customHeight="1" x14ac:dyDescent="0.3">
      <c r="A791" s="51"/>
      <c r="B791" s="51"/>
      <c r="C791" s="62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spans="1:25" ht="15.75" customHeight="1" x14ac:dyDescent="0.3">
      <c r="A792" s="51"/>
      <c r="B792" s="51"/>
      <c r="C792" s="62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spans="1:25" ht="15.75" customHeight="1" x14ac:dyDescent="0.3">
      <c r="A793" s="51"/>
      <c r="B793" s="51"/>
      <c r="C793" s="62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spans="1:25" ht="15.75" customHeight="1" x14ac:dyDescent="0.3">
      <c r="A794" s="51"/>
      <c r="B794" s="51"/>
      <c r="C794" s="62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spans="1:25" ht="15.75" customHeight="1" x14ac:dyDescent="0.3">
      <c r="A795" s="51"/>
      <c r="B795" s="51"/>
      <c r="C795" s="62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spans="1:25" ht="15.75" customHeight="1" x14ac:dyDescent="0.3">
      <c r="A796" s="51"/>
      <c r="B796" s="51"/>
      <c r="C796" s="62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spans="1:25" ht="15.75" customHeight="1" x14ac:dyDescent="0.3">
      <c r="A797" s="51"/>
      <c r="B797" s="51"/>
      <c r="C797" s="62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spans="1:25" ht="15.75" customHeight="1" x14ac:dyDescent="0.3">
      <c r="A798" s="51"/>
      <c r="B798" s="51"/>
      <c r="C798" s="62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spans="1:25" ht="15.75" customHeight="1" x14ac:dyDescent="0.3">
      <c r="A799" s="51"/>
      <c r="B799" s="51"/>
      <c r="C799" s="62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spans="1:25" ht="15.75" customHeight="1" x14ac:dyDescent="0.3">
      <c r="A800" s="51"/>
      <c r="B800" s="51"/>
      <c r="C800" s="62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spans="1:25" ht="15.75" customHeight="1" x14ac:dyDescent="0.3">
      <c r="A801" s="51"/>
      <c r="B801" s="51"/>
      <c r="C801" s="62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spans="1:25" ht="15.75" customHeight="1" x14ac:dyDescent="0.3">
      <c r="A802" s="51"/>
      <c r="B802" s="51"/>
      <c r="C802" s="62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spans="1:25" ht="15.75" customHeight="1" x14ac:dyDescent="0.3">
      <c r="A803" s="51"/>
      <c r="B803" s="51"/>
      <c r="C803" s="62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spans="1:25" ht="15.75" customHeight="1" x14ac:dyDescent="0.3">
      <c r="A804" s="51"/>
      <c r="B804" s="51"/>
      <c r="C804" s="62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spans="1:25" ht="15.75" customHeight="1" x14ac:dyDescent="0.3">
      <c r="A805" s="51"/>
      <c r="B805" s="51"/>
      <c r="C805" s="62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spans="1:25" ht="15.75" customHeight="1" x14ac:dyDescent="0.3">
      <c r="A806" s="51"/>
      <c r="B806" s="51"/>
      <c r="C806" s="62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spans="1:25" ht="15.75" customHeight="1" x14ac:dyDescent="0.3">
      <c r="A807" s="51"/>
      <c r="B807" s="51"/>
      <c r="C807" s="62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spans="1:25" ht="15.75" customHeight="1" x14ac:dyDescent="0.3">
      <c r="A808" s="51"/>
      <c r="B808" s="51"/>
      <c r="C808" s="62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spans="1:25" ht="15.75" customHeight="1" x14ac:dyDescent="0.3">
      <c r="A809" s="51"/>
      <c r="B809" s="51"/>
      <c r="C809" s="62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spans="1:25" ht="15.75" customHeight="1" x14ac:dyDescent="0.3">
      <c r="A810" s="51"/>
      <c r="B810" s="51"/>
      <c r="C810" s="62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spans="1:25" ht="15.75" customHeight="1" x14ac:dyDescent="0.3">
      <c r="A811" s="51"/>
      <c r="B811" s="51"/>
      <c r="C811" s="62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spans="1:25" ht="15.75" customHeight="1" x14ac:dyDescent="0.3">
      <c r="A812" s="51"/>
      <c r="B812" s="51"/>
      <c r="C812" s="62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spans="1:25" ht="15.75" customHeight="1" x14ac:dyDescent="0.3">
      <c r="A813" s="51"/>
      <c r="B813" s="51"/>
      <c r="C813" s="62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spans="1:25" ht="15.75" customHeight="1" x14ac:dyDescent="0.3">
      <c r="A814" s="51"/>
      <c r="B814" s="51"/>
      <c r="C814" s="62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spans="1:25" ht="15.75" customHeight="1" x14ac:dyDescent="0.3">
      <c r="A815" s="51"/>
      <c r="B815" s="51"/>
      <c r="C815" s="62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spans="1:25" ht="15.75" customHeight="1" x14ac:dyDescent="0.3">
      <c r="A816" s="51"/>
      <c r="B816" s="51"/>
      <c r="C816" s="62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spans="1:25" ht="15.75" customHeight="1" x14ac:dyDescent="0.3">
      <c r="A817" s="51"/>
      <c r="B817" s="51"/>
      <c r="C817" s="62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spans="1:25" ht="15.75" customHeight="1" x14ac:dyDescent="0.3">
      <c r="A818" s="51"/>
      <c r="B818" s="51"/>
      <c r="C818" s="62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spans="1:25" ht="15.75" customHeight="1" x14ac:dyDescent="0.3">
      <c r="A819" s="51"/>
      <c r="B819" s="51"/>
      <c r="C819" s="62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spans="1:25" ht="15.75" customHeight="1" x14ac:dyDescent="0.3">
      <c r="A820" s="51"/>
      <c r="B820" s="51"/>
      <c r="C820" s="62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spans="1:25" ht="15.75" customHeight="1" x14ac:dyDescent="0.3">
      <c r="A821" s="51"/>
      <c r="B821" s="51"/>
      <c r="C821" s="62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spans="1:25" ht="15.75" customHeight="1" x14ac:dyDescent="0.3">
      <c r="A822" s="51"/>
      <c r="B822" s="51"/>
      <c r="C822" s="62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spans="1:25" ht="15.75" customHeight="1" x14ac:dyDescent="0.3">
      <c r="A823" s="51"/>
      <c r="B823" s="51"/>
      <c r="C823" s="62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spans="1:25" ht="15.75" customHeight="1" x14ac:dyDescent="0.3">
      <c r="A824" s="51"/>
      <c r="B824" s="51"/>
      <c r="C824" s="62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spans="1:25" ht="15.75" customHeight="1" x14ac:dyDescent="0.3">
      <c r="A825" s="51"/>
      <c r="B825" s="51"/>
      <c r="C825" s="62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spans="1:25" ht="15.75" customHeight="1" x14ac:dyDescent="0.3">
      <c r="A826" s="51"/>
      <c r="B826" s="51"/>
      <c r="C826" s="62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spans="1:25" ht="15.75" customHeight="1" x14ac:dyDescent="0.3">
      <c r="A827" s="51"/>
      <c r="B827" s="51"/>
      <c r="C827" s="62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spans="1:25" ht="15.75" customHeight="1" x14ac:dyDescent="0.3">
      <c r="A828" s="51"/>
      <c r="B828" s="51"/>
      <c r="C828" s="62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spans="1:25" ht="15.75" customHeight="1" x14ac:dyDescent="0.3">
      <c r="A829" s="51"/>
      <c r="B829" s="51"/>
      <c r="C829" s="62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spans="1:25" ht="15.75" customHeight="1" x14ac:dyDescent="0.3">
      <c r="A830" s="51"/>
      <c r="B830" s="51"/>
      <c r="C830" s="62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spans="1:25" ht="15.75" customHeight="1" x14ac:dyDescent="0.3">
      <c r="A831" s="51"/>
      <c r="B831" s="51"/>
      <c r="C831" s="62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spans="1:25" ht="15.75" customHeight="1" x14ac:dyDescent="0.3">
      <c r="A832" s="51"/>
      <c r="B832" s="51"/>
      <c r="C832" s="62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spans="1:25" ht="15.75" customHeight="1" x14ac:dyDescent="0.3">
      <c r="A833" s="51"/>
      <c r="B833" s="51"/>
      <c r="C833" s="62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spans="1:25" ht="15.75" customHeight="1" x14ac:dyDescent="0.3">
      <c r="A834" s="51"/>
      <c r="B834" s="51"/>
      <c r="C834" s="62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spans="1:25" ht="15.75" customHeight="1" x14ac:dyDescent="0.3">
      <c r="A835" s="51"/>
      <c r="B835" s="51"/>
      <c r="C835" s="62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spans="1:25" ht="15.75" customHeight="1" x14ac:dyDescent="0.3">
      <c r="A836" s="51"/>
      <c r="B836" s="51"/>
      <c r="C836" s="62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spans="1:25" ht="15.75" customHeight="1" x14ac:dyDescent="0.3">
      <c r="A837" s="51"/>
      <c r="B837" s="51"/>
      <c r="C837" s="62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spans="1:25" ht="15.75" customHeight="1" x14ac:dyDescent="0.3">
      <c r="A838" s="51"/>
      <c r="B838" s="51"/>
      <c r="C838" s="62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spans="1:25" ht="15.75" customHeight="1" x14ac:dyDescent="0.3">
      <c r="A839" s="51"/>
      <c r="B839" s="51"/>
      <c r="C839" s="62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spans="1:25" ht="15.75" customHeight="1" x14ac:dyDescent="0.3">
      <c r="A840" s="51"/>
      <c r="B840" s="51"/>
      <c r="C840" s="62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spans="1:25" ht="15.75" customHeight="1" x14ac:dyDescent="0.3">
      <c r="A841" s="51"/>
      <c r="B841" s="51"/>
      <c r="C841" s="62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spans="1:25" ht="15.75" customHeight="1" x14ac:dyDescent="0.3">
      <c r="A842" s="51"/>
      <c r="B842" s="51"/>
      <c r="C842" s="62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spans="1:25" ht="15.75" customHeight="1" x14ac:dyDescent="0.3">
      <c r="A843" s="51"/>
      <c r="B843" s="51"/>
      <c r="C843" s="62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spans="1:25" ht="15.75" customHeight="1" x14ac:dyDescent="0.3">
      <c r="A844" s="51"/>
      <c r="B844" s="51"/>
      <c r="C844" s="62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spans="1:25" ht="15.75" customHeight="1" x14ac:dyDescent="0.3">
      <c r="A845" s="51"/>
      <c r="B845" s="51"/>
      <c r="C845" s="62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spans="1:25" ht="15.75" customHeight="1" x14ac:dyDescent="0.3">
      <c r="A846" s="51"/>
      <c r="B846" s="51"/>
      <c r="C846" s="62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spans="1:25" ht="15.75" customHeight="1" x14ac:dyDescent="0.3">
      <c r="A847" s="51"/>
      <c r="B847" s="51"/>
      <c r="C847" s="62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spans="1:25" ht="15.75" customHeight="1" x14ac:dyDescent="0.3">
      <c r="A848" s="51"/>
      <c r="B848" s="51"/>
      <c r="C848" s="62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spans="1:25" ht="15.75" customHeight="1" x14ac:dyDescent="0.3">
      <c r="A849" s="51"/>
      <c r="B849" s="51"/>
      <c r="C849" s="62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spans="1:25" ht="15.75" customHeight="1" x14ac:dyDescent="0.3">
      <c r="A850" s="51"/>
      <c r="B850" s="51"/>
      <c r="C850" s="62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spans="1:25" ht="15.75" customHeight="1" x14ac:dyDescent="0.3">
      <c r="A851" s="51"/>
      <c r="B851" s="51"/>
      <c r="C851" s="62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spans="1:25" ht="15.75" customHeight="1" x14ac:dyDescent="0.3">
      <c r="A852" s="51"/>
      <c r="B852" s="51"/>
      <c r="C852" s="62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spans="1:25" ht="15.75" customHeight="1" x14ac:dyDescent="0.3">
      <c r="A853" s="51"/>
      <c r="B853" s="51"/>
      <c r="C853" s="62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spans="1:25" ht="15.75" customHeight="1" x14ac:dyDescent="0.3">
      <c r="A854" s="51"/>
      <c r="B854" s="51"/>
      <c r="C854" s="62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spans="1:25" ht="15.75" customHeight="1" x14ac:dyDescent="0.3">
      <c r="A855" s="51"/>
      <c r="B855" s="51"/>
      <c r="C855" s="62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spans="1:25" ht="15.75" customHeight="1" x14ac:dyDescent="0.3">
      <c r="A856" s="51"/>
      <c r="B856" s="51"/>
      <c r="C856" s="62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spans="1:25" ht="15.75" customHeight="1" x14ac:dyDescent="0.3">
      <c r="A857" s="51"/>
      <c r="B857" s="51"/>
      <c r="C857" s="62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spans="1:25" ht="15.75" customHeight="1" x14ac:dyDescent="0.3">
      <c r="A858" s="51"/>
      <c r="B858" s="51"/>
      <c r="C858" s="62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spans="1:25" ht="15.75" customHeight="1" x14ac:dyDescent="0.3">
      <c r="A859" s="51"/>
      <c r="B859" s="51"/>
      <c r="C859" s="62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spans="1:25" ht="15.75" customHeight="1" x14ac:dyDescent="0.3">
      <c r="A860" s="51"/>
      <c r="B860" s="51"/>
      <c r="C860" s="62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spans="1:25" ht="15.75" customHeight="1" x14ac:dyDescent="0.3">
      <c r="A861" s="51"/>
      <c r="B861" s="51"/>
      <c r="C861" s="62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spans="1:25" ht="15.75" customHeight="1" x14ac:dyDescent="0.3">
      <c r="A862" s="51"/>
      <c r="B862" s="51"/>
      <c r="C862" s="62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spans="1:25" ht="15.75" customHeight="1" x14ac:dyDescent="0.3">
      <c r="A863" s="51"/>
      <c r="B863" s="51"/>
      <c r="C863" s="62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spans="1:25" ht="15.75" customHeight="1" x14ac:dyDescent="0.3">
      <c r="A864" s="51"/>
      <c r="B864" s="51"/>
      <c r="C864" s="62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spans="1:25" ht="15.75" customHeight="1" x14ac:dyDescent="0.3">
      <c r="A865" s="51"/>
      <c r="B865" s="51"/>
      <c r="C865" s="62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spans="1:25" ht="15.75" customHeight="1" x14ac:dyDescent="0.3">
      <c r="A866" s="51"/>
      <c r="B866" s="51"/>
      <c r="C866" s="62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spans="1:25" ht="15.75" customHeight="1" x14ac:dyDescent="0.3">
      <c r="A867" s="51"/>
      <c r="B867" s="51"/>
      <c r="C867" s="62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spans="1:25" ht="15.75" customHeight="1" x14ac:dyDescent="0.3">
      <c r="A868" s="51"/>
      <c r="B868" s="51"/>
      <c r="C868" s="62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spans="1:25" ht="15.75" customHeight="1" x14ac:dyDescent="0.3">
      <c r="A869" s="51"/>
      <c r="B869" s="51"/>
      <c r="C869" s="62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spans="1:25" ht="15.75" customHeight="1" x14ac:dyDescent="0.3">
      <c r="A870" s="51"/>
      <c r="B870" s="51"/>
      <c r="C870" s="62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spans="1:25" ht="15.75" customHeight="1" x14ac:dyDescent="0.3">
      <c r="A871" s="51"/>
      <c r="B871" s="51"/>
      <c r="C871" s="62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spans="1:25" ht="15.75" customHeight="1" x14ac:dyDescent="0.3">
      <c r="A872" s="51"/>
      <c r="B872" s="51"/>
      <c r="C872" s="62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spans="1:25" ht="15.75" customHeight="1" x14ac:dyDescent="0.3">
      <c r="A873" s="51"/>
      <c r="B873" s="51"/>
      <c r="C873" s="62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spans="1:25" ht="15.75" customHeight="1" x14ac:dyDescent="0.3">
      <c r="A874" s="51"/>
      <c r="B874" s="51"/>
      <c r="C874" s="62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spans="1:25" ht="15.75" customHeight="1" x14ac:dyDescent="0.3">
      <c r="A875" s="51"/>
      <c r="B875" s="51"/>
      <c r="C875" s="62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spans="1:25" ht="15.75" customHeight="1" x14ac:dyDescent="0.3">
      <c r="A876" s="51"/>
      <c r="B876" s="51"/>
      <c r="C876" s="62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spans="1:25" ht="15.75" customHeight="1" x14ac:dyDescent="0.3">
      <c r="A877" s="51"/>
      <c r="B877" s="51"/>
      <c r="C877" s="62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spans="1:25" ht="15.75" customHeight="1" x14ac:dyDescent="0.3">
      <c r="A878" s="51"/>
      <c r="B878" s="51"/>
      <c r="C878" s="62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spans="1:25" ht="15.75" customHeight="1" x14ac:dyDescent="0.3">
      <c r="A879" s="51"/>
      <c r="B879" s="51"/>
      <c r="C879" s="62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spans="1:25" ht="15.75" customHeight="1" x14ac:dyDescent="0.3">
      <c r="A880" s="51"/>
      <c r="B880" s="51"/>
      <c r="C880" s="62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spans="1:25" ht="15.75" customHeight="1" x14ac:dyDescent="0.3">
      <c r="A881" s="51"/>
      <c r="B881" s="51"/>
      <c r="C881" s="62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spans="1:25" ht="15.75" customHeight="1" x14ac:dyDescent="0.3">
      <c r="A882" s="51"/>
      <c r="B882" s="51"/>
      <c r="C882" s="62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spans="1:25" ht="15.75" customHeight="1" x14ac:dyDescent="0.3">
      <c r="A883" s="51"/>
      <c r="B883" s="51"/>
      <c r="C883" s="62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spans="1:25" ht="15.75" customHeight="1" x14ac:dyDescent="0.3">
      <c r="A884" s="51"/>
      <c r="B884" s="51"/>
      <c r="C884" s="62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spans="1:25" ht="15.75" customHeight="1" x14ac:dyDescent="0.3">
      <c r="A885" s="51"/>
      <c r="B885" s="51"/>
      <c r="C885" s="62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spans="1:25" ht="15.75" customHeight="1" x14ac:dyDescent="0.3">
      <c r="A886" s="51"/>
      <c r="B886" s="51"/>
      <c r="C886" s="62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spans="1:25" ht="15.75" customHeight="1" x14ac:dyDescent="0.3">
      <c r="A887" s="51"/>
      <c r="B887" s="51"/>
      <c r="C887" s="62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spans="1:25" ht="15.75" customHeight="1" x14ac:dyDescent="0.3">
      <c r="A888" s="51"/>
      <c r="B888" s="51"/>
      <c r="C888" s="62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spans="1:25" ht="15.75" customHeight="1" x14ac:dyDescent="0.3">
      <c r="A889" s="51"/>
      <c r="B889" s="51"/>
      <c r="C889" s="62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spans="1:25" ht="15.75" customHeight="1" x14ac:dyDescent="0.3">
      <c r="A890" s="51"/>
      <c r="B890" s="51"/>
      <c r="C890" s="62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spans="1:25" ht="15.75" customHeight="1" x14ac:dyDescent="0.3">
      <c r="A891" s="51"/>
      <c r="B891" s="51"/>
      <c r="C891" s="62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spans="1:25" ht="15.75" customHeight="1" x14ac:dyDescent="0.3">
      <c r="A892" s="51"/>
      <c r="B892" s="51"/>
      <c r="C892" s="62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spans="1:25" ht="15.75" customHeight="1" x14ac:dyDescent="0.3">
      <c r="A893" s="51"/>
      <c r="B893" s="51"/>
      <c r="C893" s="62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spans="1:25" ht="15.75" customHeight="1" x14ac:dyDescent="0.3">
      <c r="A894" s="51"/>
      <c r="B894" s="51"/>
      <c r="C894" s="62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spans="1:25" ht="15.75" customHeight="1" x14ac:dyDescent="0.3">
      <c r="A895" s="51"/>
      <c r="B895" s="51"/>
      <c r="C895" s="62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spans="1:25" ht="15.75" customHeight="1" x14ac:dyDescent="0.3">
      <c r="A896" s="51"/>
      <c r="B896" s="51"/>
      <c r="C896" s="62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spans="1:25" ht="15.75" customHeight="1" x14ac:dyDescent="0.3">
      <c r="A897" s="51"/>
      <c r="B897" s="51"/>
      <c r="C897" s="62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spans="1:25" ht="15.75" customHeight="1" x14ac:dyDescent="0.3">
      <c r="A898" s="51"/>
      <c r="B898" s="51"/>
      <c r="C898" s="62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spans="1:25" ht="15.75" customHeight="1" x14ac:dyDescent="0.3">
      <c r="A899" s="51"/>
      <c r="B899" s="51"/>
      <c r="C899" s="62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spans="1:25" ht="15.75" customHeight="1" x14ac:dyDescent="0.3">
      <c r="A900" s="51"/>
      <c r="B900" s="51"/>
      <c r="C900" s="62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spans="1:25" ht="15.75" customHeight="1" x14ac:dyDescent="0.3">
      <c r="A901" s="51"/>
      <c r="B901" s="51"/>
      <c r="C901" s="62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spans="1:25" ht="15.75" customHeight="1" x14ac:dyDescent="0.3">
      <c r="A902" s="51"/>
      <c r="B902" s="51"/>
      <c r="C902" s="62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spans="1:25" ht="15.75" customHeight="1" x14ac:dyDescent="0.3">
      <c r="A903" s="51"/>
      <c r="B903" s="51"/>
      <c r="C903" s="62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spans="1:25" ht="15.75" customHeight="1" x14ac:dyDescent="0.3">
      <c r="A904" s="51"/>
      <c r="B904" s="51"/>
      <c r="C904" s="62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spans="1:25" ht="15.75" customHeight="1" x14ac:dyDescent="0.3">
      <c r="A905" s="51"/>
      <c r="B905" s="51"/>
      <c r="C905" s="62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spans="1:25" ht="15.75" customHeight="1" x14ac:dyDescent="0.3">
      <c r="A906" s="51"/>
      <c r="B906" s="51"/>
      <c r="C906" s="62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spans="1:25" ht="15.75" customHeight="1" x14ac:dyDescent="0.3">
      <c r="A907" s="51"/>
      <c r="B907" s="51"/>
      <c r="C907" s="62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spans="1:25" ht="15.75" customHeight="1" x14ac:dyDescent="0.3">
      <c r="A908" s="51"/>
      <c r="B908" s="51"/>
      <c r="C908" s="62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spans="1:25" ht="15.75" customHeight="1" x14ac:dyDescent="0.3">
      <c r="A909" s="51"/>
      <c r="B909" s="51"/>
      <c r="C909" s="62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spans="1:25" ht="15.75" customHeight="1" x14ac:dyDescent="0.3">
      <c r="A910" s="51"/>
      <c r="B910" s="51"/>
      <c r="C910" s="62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spans="1:25" ht="15.75" customHeight="1" x14ac:dyDescent="0.3">
      <c r="A911" s="51"/>
      <c r="B911" s="51"/>
      <c r="C911" s="62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spans="1:25" ht="15.75" customHeight="1" x14ac:dyDescent="0.3">
      <c r="A912" s="51"/>
      <c r="B912" s="51"/>
      <c r="C912" s="62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spans="1:25" ht="15.75" customHeight="1" x14ac:dyDescent="0.3">
      <c r="A913" s="51"/>
      <c r="B913" s="51"/>
      <c r="C913" s="62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spans="1:25" ht="15.75" customHeight="1" x14ac:dyDescent="0.3">
      <c r="A914" s="51"/>
      <c r="B914" s="51"/>
      <c r="C914" s="62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spans="1:25" ht="15.75" customHeight="1" x14ac:dyDescent="0.3">
      <c r="A915" s="51"/>
      <c r="B915" s="51"/>
      <c r="C915" s="62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spans="1:25" ht="15.75" customHeight="1" x14ac:dyDescent="0.3">
      <c r="A916" s="51"/>
      <c r="B916" s="51"/>
      <c r="C916" s="62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spans="1:25" ht="15.75" customHeight="1" x14ac:dyDescent="0.3">
      <c r="A917" s="51"/>
      <c r="B917" s="51"/>
      <c r="C917" s="62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spans="1:25" ht="15.75" customHeight="1" x14ac:dyDescent="0.3">
      <c r="A918" s="51"/>
      <c r="B918" s="51"/>
      <c r="C918" s="62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spans="1:25" ht="15.75" customHeight="1" x14ac:dyDescent="0.3">
      <c r="A919" s="51"/>
      <c r="B919" s="51"/>
      <c r="C919" s="62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spans="1:25" ht="15.75" customHeight="1" x14ac:dyDescent="0.3">
      <c r="A920" s="51"/>
      <c r="B920" s="51"/>
      <c r="C920" s="62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spans="1:25" ht="15.75" customHeight="1" x14ac:dyDescent="0.3">
      <c r="A921" s="51"/>
      <c r="B921" s="51"/>
      <c r="C921" s="62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spans="1:25" ht="15.75" customHeight="1" x14ac:dyDescent="0.3">
      <c r="A922" s="51"/>
      <c r="B922" s="51"/>
      <c r="C922" s="62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spans="1:25" ht="15.75" customHeight="1" x14ac:dyDescent="0.3">
      <c r="A923" s="51"/>
      <c r="B923" s="51"/>
      <c r="C923" s="62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spans="1:25" ht="15.75" customHeight="1" x14ac:dyDescent="0.3">
      <c r="A924" s="51"/>
      <c r="B924" s="51"/>
      <c r="C924" s="62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spans="1:25" ht="15.75" customHeight="1" x14ac:dyDescent="0.3">
      <c r="A925" s="51"/>
      <c r="B925" s="51"/>
      <c r="C925" s="62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spans="1:25" ht="15.75" customHeight="1" x14ac:dyDescent="0.3">
      <c r="A926" s="51"/>
      <c r="B926" s="51"/>
      <c r="C926" s="62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spans="1:25" ht="15.75" customHeight="1" x14ac:dyDescent="0.3">
      <c r="A927" s="51"/>
      <c r="B927" s="51"/>
      <c r="C927" s="62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spans="1:25" ht="15.75" customHeight="1" x14ac:dyDescent="0.3">
      <c r="A928" s="51"/>
      <c r="B928" s="51"/>
      <c r="C928" s="62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spans="1:25" ht="15.75" customHeight="1" x14ac:dyDescent="0.3">
      <c r="A929" s="51"/>
      <c r="B929" s="51"/>
      <c r="C929" s="62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spans="1:25" ht="15.75" customHeight="1" x14ac:dyDescent="0.3">
      <c r="A930" s="51"/>
      <c r="B930" s="51"/>
      <c r="C930" s="62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spans="1:25" ht="15.75" customHeight="1" x14ac:dyDescent="0.3">
      <c r="A931" s="51"/>
      <c r="B931" s="51"/>
      <c r="C931" s="62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spans="1:25" ht="15.75" customHeight="1" x14ac:dyDescent="0.3">
      <c r="A932" s="51"/>
      <c r="B932" s="51"/>
      <c r="C932" s="62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spans="1:25" ht="15.75" customHeight="1" x14ac:dyDescent="0.3">
      <c r="A933" s="51"/>
      <c r="B933" s="51"/>
      <c r="C933" s="62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spans="1:25" ht="15.75" customHeight="1" x14ac:dyDescent="0.3">
      <c r="A934" s="51"/>
      <c r="B934" s="51"/>
      <c r="C934" s="62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spans="1:25" ht="15.75" customHeight="1" x14ac:dyDescent="0.3">
      <c r="A935" s="51"/>
      <c r="B935" s="51"/>
      <c r="C935" s="62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spans="1:25" ht="15.75" customHeight="1" x14ac:dyDescent="0.3">
      <c r="A936" s="51"/>
      <c r="B936" s="51"/>
      <c r="C936" s="62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spans="1:25" ht="15.75" customHeight="1" x14ac:dyDescent="0.3">
      <c r="A937" s="51"/>
      <c r="B937" s="51"/>
      <c r="C937" s="62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spans="1:25" ht="15.75" customHeight="1" x14ac:dyDescent="0.3">
      <c r="A938" s="51"/>
      <c r="B938" s="51"/>
      <c r="C938" s="62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spans="1:25" ht="15.75" customHeight="1" x14ac:dyDescent="0.3">
      <c r="A939" s="51"/>
      <c r="B939" s="51"/>
      <c r="C939" s="62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spans="1:25" ht="15.75" customHeight="1" x14ac:dyDescent="0.3">
      <c r="A940" s="51"/>
      <c r="B940" s="51"/>
      <c r="C940" s="62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spans="1:25" ht="15.75" customHeight="1" x14ac:dyDescent="0.3">
      <c r="A941" s="51"/>
      <c r="B941" s="51"/>
      <c r="C941" s="62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spans="1:25" ht="15.75" customHeight="1" x14ac:dyDescent="0.3">
      <c r="A942" s="51"/>
      <c r="B942" s="51"/>
      <c r="C942" s="62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spans="1:25" ht="15.75" customHeight="1" x14ac:dyDescent="0.3">
      <c r="A943" s="51"/>
      <c r="B943" s="51"/>
      <c r="C943" s="62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spans="1:25" ht="15.75" customHeight="1" x14ac:dyDescent="0.3">
      <c r="A944" s="51"/>
      <c r="B944" s="51"/>
      <c r="C944" s="62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spans="1:25" ht="15.75" customHeight="1" x14ac:dyDescent="0.3">
      <c r="A945" s="51"/>
      <c r="B945" s="51"/>
      <c r="C945" s="62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spans="1:25" ht="15.75" customHeight="1" x14ac:dyDescent="0.3">
      <c r="A946" s="51"/>
      <c r="B946" s="51"/>
      <c r="C946" s="62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spans="1:25" ht="15.75" customHeight="1" x14ac:dyDescent="0.3">
      <c r="A947" s="51"/>
      <c r="B947" s="51"/>
      <c r="C947" s="62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spans="1:25" ht="15.75" customHeight="1" x14ac:dyDescent="0.3">
      <c r="A948" s="51"/>
      <c r="B948" s="51"/>
      <c r="C948" s="62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spans="1:25" ht="15.75" customHeight="1" x14ac:dyDescent="0.3">
      <c r="A949" s="51"/>
      <c r="B949" s="51"/>
      <c r="C949" s="62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spans="1:25" ht="15.75" customHeight="1" x14ac:dyDescent="0.3">
      <c r="A950" s="51"/>
      <c r="B950" s="51"/>
      <c r="C950" s="62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spans="1:25" ht="15.75" customHeight="1" x14ac:dyDescent="0.3">
      <c r="A951" s="51"/>
      <c r="B951" s="51"/>
      <c r="C951" s="62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spans="1:25" ht="15.75" customHeight="1" x14ac:dyDescent="0.3">
      <c r="A952" s="51"/>
      <c r="B952" s="51"/>
      <c r="C952" s="62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spans="1:25" ht="15.75" customHeight="1" x14ac:dyDescent="0.3">
      <c r="A953" s="51"/>
      <c r="B953" s="51"/>
      <c r="C953" s="62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spans="1:25" ht="15.75" customHeight="1" x14ac:dyDescent="0.3">
      <c r="A954" s="51"/>
      <c r="B954" s="51"/>
      <c r="C954" s="62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spans="1:25" ht="15.75" customHeight="1" x14ac:dyDescent="0.3">
      <c r="A955" s="51"/>
      <c r="B955" s="51"/>
      <c r="C955" s="62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spans="1:25" ht="15.75" customHeight="1" x14ac:dyDescent="0.3">
      <c r="A956" s="51"/>
      <c r="B956" s="51"/>
      <c r="C956" s="62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spans="1:25" ht="15.75" customHeight="1" x14ac:dyDescent="0.3">
      <c r="A957" s="51"/>
      <c r="B957" s="51"/>
      <c r="C957" s="62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spans="1:25" ht="15.75" customHeight="1" x14ac:dyDescent="0.3">
      <c r="A958" s="51"/>
      <c r="B958" s="51"/>
      <c r="C958" s="62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spans="1:25" ht="15.75" customHeight="1" x14ac:dyDescent="0.3">
      <c r="A959" s="51"/>
      <c r="B959" s="51"/>
      <c r="C959" s="62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spans="1:25" ht="15.75" customHeight="1" x14ac:dyDescent="0.3">
      <c r="A960" s="51"/>
      <c r="B960" s="51"/>
      <c r="C960" s="62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spans="1:25" ht="15.75" customHeight="1" x14ac:dyDescent="0.3">
      <c r="A961" s="51"/>
      <c r="B961" s="51"/>
      <c r="C961" s="62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spans="1:25" ht="15.75" customHeight="1" x14ac:dyDescent="0.3">
      <c r="A962" s="51"/>
      <c r="B962" s="51"/>
      <c r="C962" s="62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spans="1:25" ht="15.75" customHeight="1" x14ac:dyDescent="0.3">
      <c r="A963" s="51"/>
      <c r="B963" s="51"/>
      <c r="C963" s="62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spans="1:25" ht="15.75" customHeight="1" x14ac:dyDescent="0.3">
      <c r="C964" s="63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spans="1:25" ht="15.75" customHeight="1" x14ac:dyDescent="0.3">
      <c r="C965" s="63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spans="1:25" ht="15.75" customHeight="1" x14ac:dyDescent="0.3">
      <c r="C966" s="63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spans="1:25" ht="15.75" customHeight="1" x14ac:dyDescent="0.3"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spans="1:25" ht="15.75" customHeight="1" x14ac:dyDescent="0.3"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spans="1:25" ht="15.75" customHeight="1" x14ac:dyDescent="0.3"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spans="1:25" ht="15.75" customHeight="1" x14ac:dyDescent="0.3"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spans="1:25" ht="15.75" customHeight="1" x14ac:dyDescent="0.3"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spans="1:25" ht="15.75" customHeight="1" x14ac:dyDescent="0.3"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 spans="1:25" ht="15.75" customHeight="1" x14ac:dyDescent="0.3"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 spans="1:25" ht="15.75" customHeight="1" x14ac:dyDescent="0.3"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 spans="1:25" ht="15.75" customHeight="1" x14ac:dyDescent="0.3"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 spans="1:25" ht="15.75" customHeight="1" x14ac:dyDescent="0.3"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 spans="4:25" ht="15.75" customHeight="1" x14ac:dyDescent="0.3"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 spans="4:25" ht="15.75" customHeight="1" x14ac:dyDescent="0.3"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 spans="4:25" ht="15.75" customHeight="1" x14ac:dyDescent="0.3"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 spans="4:25" ht="15.75" customHeight="1" x14ac:dyDescent="0.3"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 spans="4:25" ht="15.75" customHeight="1" x14ac:dyDescent="0.3"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 spans="4:25" ht="15.75" customHeight="1" x14ac:dyDescent="0.3"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 spans="4:25" ht="15.75" customHeight="1" x14ac:dyDescent="0.3"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 spans="4:25" ht="15.75" customHeight="1" x14ac:dyDescent="0.3"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 spans="4:25" ht="15.75" customHeight="1" x14ac:dyDescent="0.3"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 spans="4:25" ht="15.75" customHeight="1" x14ac:dyDescent="0.3"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 spans="4:25" ht="15.75" customHeight="1" x14ac:dyDescent="0.3"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 spans="4:25" ht="15.75" customHeight="1" x14ac:dyDescent="0.3"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 spans="4:25" ht="15.75" customHeight="1" x14ac:dyDescent="0.3"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 spans="4:25" ht="15.75" customHeight="1" x14ac:dyDescent="0.3"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 spans="4:25" ht="12.5" x14ac:dyDescent="0.25"/>
    <row r="992" spans="4:25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workbookViewId="0">
      <selection activeCell="H27" sqref="H27"/>
    </sheetView>
  </sheetViews>
  <sheetFormatPr defaultColWidth="12.54296875" defaultRowHeight="15.75" customHeight="1" x14ac:dyDescent="0.25"/>
  <cols>
    <col min="1" max="1" width="46.26953125" customWidth="1"/>
    <col min="2" max="2" width="17.1796875" bestFit="1" customWidth="1"/>
    <col min="3" max="3" width="15.81640625" customWidth="1"/>
    <col min="4" max="4" width="17.26953125" style="12" bestFit="1" customWidth="1"/>
    <col min="5" max="5" width="25.81640625" bestFit="1" customWidth="1"/>
    <col min="6" max="6" width="26.7265625" bestFit="1" customWidth="1"/>
    <col min="7" max="7" width="23.453125" customWidth="1"/>
    <col min="8" max="10" width="17.26953125" bestFit="1" customWidth="1"/>
    <col min="11" max="26" width="22.26953125" customWidth="1"/>
  </cols>
  <sheetData>
    <row r="1" spans="1:26" ht="15.75" customHeight="1" x14ac:dyDescent="0.4">
      <c r="A1" s="72" t="s">
        <v>52</v>
      </c>
      <c r="B1" s="73"/>
      <c r="C1" s="1"/>
      <c r="D1" s="1"/>
      <c r="E1" s="1"/>
      <c r="F1" s="15"/>
      <c r="G1" s="15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2" customFormat="1" ht="15.75" customHeight="1" x14ac:dyDescent="0.4">
      <c r="A2" s="11"/>
      <c r="C2" s="1"/>
      <c r="D2" s="1"/>
      <c r="E2" s="1"/>
      <c r="F2" s="15"/>
      <c r="G2" s="15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2" customFormat="1" ht="15.75" customHeight="1" x14ac:dyDescent="0.4">
      <c r="A3" s="6" t="s">
        <v>9</v>
      </c>
      <c r="B3" s="3"/>
      <c r="C3" s="3"/>
      <c r="D3" s="3"/>
      <c r="E3" s="3"/>
      <c r="F3" s="3"/>
      <c r="G3" s="10"/>
      <c r="H3" s="10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12" customFormat="1" ht="15.75" customHeight="1" x14ac:dyDescent="0.4">
      <c r="A4" s="6"/>
      <c r="B4" s="3"/>
      <c r="C4" s="3"/>
      <c r="D4" s="3"/>
      <c r="E4" s="3"/>
      <c r="F4" s="3"/>
      <c r="G4" s="10"/>
      <c r="H4" s="10"/>
      <c r="I4" s="10"/>
      <c r="J4" s="10"/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2" customFormat="1" ht="15.75" customHeight="1" x14ac:dyDescent="0.4">
      <c r="A5" s="6" t="s">
        <v>10</v>
      </c>
      <c r="B5" s="3"/>
      <c r="C5" s="3"/>
      <c r="D5" s="3"/>
      <c r="E5" s="3"/>
      <c r="F5" s="3"/>
      <c r="G5" s="10"/>
      <c r="H5" s="10"/>
      <c r="I5" s="10"/>
      <c r="J5" s="10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8" customFormat="1" ht="18" x14ac:dyDescent="0.4">
      <c r="A6" s="8" t="s">
        <v>0</v>
      </c>
      <c r="B6" s="8" t="s">
        <v>1</v>
      </c>
      <c r="C6" s="33" t="s">
        <v>15</v>
      </c>
      <c r="D6" s="8" t="s">
        <v>13</v>
      </c>
      <c r="E6" s="14" t="s">
        <v>55</v>
      </c>
      <c r="F6" s="42" t="s">
        <v>56</v>
      </c>
      <c r="G6" s="18"/>
      <c r="H6" s="18"/>
      <c r="I6" s="18"/>
      <c r="J6" s="18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68" customFormat="1" ht="15.75" customHeight="1" x14ac:dyDescent="0.4">
      <c r="A7" s="9" t="s">
        <v>2</v>
      </c>
      <c r="B7" s="64"/>
      <c r="C7" s="65"/>
      <c r="D7" s="25">
        <f>B7-(B7*C7)</f>
        <v>0</v>
      </c>
      <c r="E7" s="9">
        <v>10</v>
      </c>
      <c r="F7" s="16">
        <f>E7*D7</f>
        <v>0</v>
      </c>
      <c r="G7" s="18"/>
      <c r="H7" s="18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68" customFormat="1" ht="15.75" customHeight="1" x14ac:dyDescent="0.4">
      <c r="A8" s="9" t="s">
        <v>3</v>
      </c>
      <c r="B8" s="64"/>
      <c r="C8" s="65"/>
      <c r="D8" s="25">
        <f t="shared" ref="D8:D10" si="0">B8-(B8*C8)</f>
        <v>0</v>
      </c>
      <c r="E8" s="9">
        <v>10</v>
      </c>
      <c r="F8" s="16">
        <f t="shared" ref="F8:F10" si="1">E8*D8</f>
        <v>0</v>
      </c>
      <c r="G8" s="18"/>
      <c r="H8" s="18"/>
      <c r="I8" s="18"/>
      <c r="J8" s="18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68" customFormat="1" ht="15.75" customHeight="1" x14ac:dyDescent="0.4">
      <c r="A9" s="9" t="s">
        <v>4</v>
      </c>
      <c r="B9" s="64"/>
      <c r="C9" s="65"/>
      <c r="D9" s="25">
        <f t="shared" si="0"/>
        <v>0</v>
      </c>
      <c r="E9" s="9">
        <v>10</v>
      </c>
      <c r="F9" s="16">
        <f t="shared" si="1"/>
        <v>0</v>
      </c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68" customFormat="1" ht="15.65" customHeight="1" x14ac:dyDescent="0.4">
      <c r="A10" s="9" t="s">
        <v>8</v>
      </c>
      <c r="B10" s="66"/>
      <c r="C10" s="67"/>
      <c r="D10" s="35">
        <f t="shared" si="0"/>
        <v>0</v>
      </c>
      <c r="E10" s="36">
        <v>10</v>
      </c>
      <c r="F10" s="37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12" customFormat="1" ht="18" x14ac:dyDescent="0.4">
      <c r="A11" s="4" t="s">
        <v>11</v>
      </c>
      <c r="B11" s="5"/>
      <c r="C11" s="5" t="s">
        <v>48</v>
      </c>
      <c r="D11" s="69"/>
      <c r="E11" s="44" t="s">
        <v>20</v>
      </c>
      <c r="F11" s="40">
        <f>SUM(F7:F10)</f>
        <v>0</v>
      </c>
      <c r="G11" s="17"/>
      <c r="H11" s="17"/>
      <c r="I11" s="17"/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12" customFormat="1" ht="15.75" customHeight="1" x14ac:dyDescent="0.4">
      <c r="A12" s="11"/>
      <c r="B12" s="13"/>
      <c r="C12" s="1"/>
      <c r="D12" s="1"/>
      <c r="E12" s="1"/>
      <c r="F12" s="15"/>
      <c r="G12" s="18"/>
      <c r="H12" s="18"/>
      <c r="I12" s="18"/>
      <c r="J12" s="18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2" customFormat="1" ht="35.5" x14ac:dyDescent="0.4">
      <c r="A13" s="8" t="s">
        <v>0</v>
      </c>
      <c r="B13" s="8" t="s">
        <v>1</v>
      </c>
      <c r="C13" s="33" t="s">
        <v>15</v>
      </c>
      <c r="D13" s="8" t="s">
        <v>13</v>
      </c>
      <c r="E13" s="14" t="s">
        <v>14</v>
      </c>
      <c r="F13" s="42" t="s">
        <v>56</v>
      </c>
      <c r="G13" s="18"/>
      <c r="H13" s="18"/>
      <c r="I13" s="18"/>
      <c r="J13" s="18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12" customFormat="1" ht="15.75" customHeight="1" x14ac:dyDescent="0.4">
      <c r="A14" s="9" t="s">
        <v>2</v>
      </c>
      <c r="B14" s="64"/>
      <c r="C14" s="65"/>
      <c r="D14" s="25">
        <f>B14-(B14*C14)</f>
        <v>0</v>
      </c>
      <c r="E14" s="9">
        <v>500</v>
      </c>
      <c r="F14" s="16">
        <f>E14*D14</f>
        <v>0</v>
      </c>
      <c r="G14" s="18"/>
      <c r="H14" s="18"/>
      <c r="I14" s="18"/>
      <c r="J14" s="18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12" customFormat="1" ht="15.75" customHeight="1" x14ac:dyDescent="0.4">
      <c r="A15" s="9" t="s">
        <v>3</v>
      </c>
      <c r="B15" s="64"/>
      <c r="C15" s="65"/>
      <c r="D15" s="25">
        <f t="shared" ref="D15:D20" si="2">B15-(B15*C15)</f>
        <v>0</v>
      </c>
      <c r="E15" s="9">
        <v>300</v>
      </c>
      <c r="F15" s="16">
        <f t="shared" ref="F15:F20" si="3">E15*D15</f>
        <v>0</v>
      </c>
      <c r="G15" s="18"/>
      <c r="H15" s="18"/>
      <c r="I15" s="18"/>
      <c r="J15" s="18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12" customFormat="1" ht="15.75" customHeight="1" x14ac:dyDescent="0.4">
      <c r="A16" s="9" t="s">
        <v>4</v>
      </c>
      <c r="B16" s="64"/>
      <c r="C16" s="65"/>
      <c r="D16" s="25">
        <f t="shared" si="2"/>
        <v>0</v>
      </c>
      <c r="E16" s="9">
        <v>300</v>
      </c>
      <c r="F16" s="16">
        <f t="shared" si="3"/>
        <v>0</v>
      </c>
      <c r="G16" s="18"/>
      <c r="H16" s="18"/>
      <c r="I16" s="18"/>
      <c r="J16" s="18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12" customFormat="1" ht="15.75" customHeight="1" x14ac:dyDescent="0.4">
      <c r="A17" s="9" t="s">
        <v>5</v>
      </c>
      <c r="B17" s="64"/>
      <c r="C17" s="65"/>
      <c r="D17" s="25">
        <f t="shared" si="2"/>
        <v>0</v>
      </c>
      <c r="E17" s="9">
        <v>60</v>
      </c>
      <c r="F17" s="16">
        <f t="shared" si="3"/>
        <v>0</v>
      </c>
      <c r="H17" s="17"/>
      <c r="I17" s="17"/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12" customFormat="1" ht="15.75" customHeight="1" x14ac:dyDescent="0.4">
      <c r="A18" s="9" t="s">
        <v>6</v>
      </c>
      <c r="B18" s="64"/>
      <c r="C18" s="65"/>
      <c r="D18" s="25">
        <f t="shared" si="2"/>
        <v>0</v>
      </c>
      <c r="E18" s="9">
        <v>60</v>
      </c>
      <c r="F18" s="16">
        <f t="shared" si="3"/>
        <v>0</v>
      </c>
      <c r="G18" s="19"/>
      <c r="H18" s="19"/>
      <c r="I18" s="19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5" customHeight="1" x14ac:dyDescent="0.4">
      <c r="A19" s="9" t="s">
        <v>7</v>
      </c>
      <c r="B19" s="64"/>
      <c r="C19" s="65"/>
      <c r="D19" s="25">
        <f t="shared" si="2"/>
        <v>0</v>
      </c>
      <c r="E19" s="9">
        <v>60</v>
      </c>
      <c r="F19" s="16">
        <f t="shared" si="3"/>
        <v>0</v>
      </c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9" t="s">
        <v>8</v>
      </c>
      <c r="B20" s="66"/>
      <c r="C20" s="67"/>
      <c r="D20" s="35">
        <f t="shared" si="2"/>
        <v>0</v>
      </c>
      <c r="E20" s="36">
        <v>200</v>
      </c>
      <c r="F20" s="37">
        <f t="shared" si="3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4" t="s">
        <v>12</v>
      </c>
      <c r="B21" s="38"/>
      <c r="C21" s="39"/>
      <c r="D21" s="39"/>
      <c r="E21" s="43" t="s">
        <v>20</v>
      </c>
      <c r="F21" s="40">
        <f>SUM(F14:F20)</f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32"/>
      <c r="B22" s="15"/>
      <c r="C22" s="15"/>
      <c r="D22" s="15"/>
      <c r="E22" s="15"/>
      <c r="F22" s="20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5.5" x14ac:dyDescent="0.4">
      <c r="A23" s="8" t="s">
        <v>0</v>
      </c>
      <c r="B23" s="8" t="s">
        <v>1</v>
      </c>
      <c r="C23" s="33" t="s">
        <v>15</v>
      </c>
      <c r="D23" s="8" t="s">
        <v>13</v>
      </c>
      <c r="E23" s="14" t="s">
        <v>14</v>
      </c>
      <c r="F23" s="42" t="s">
        <v>56</v>
      </c>
      <c r="G23" s="7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x14ac:dyDescent="0.4">
      <c r="A24" s="9" t="s">
        <v>2</v>
      </c>
      <c r="B24" s="64"/>
      <c r="C24" s="65"/>
      <c r="D24" s="25">
        <f>B24-(B24*C24)</f>
        <v>0</v>
      </c>
      <c r="E24" s="9">
        <v>100</v>
      </c>
      <c r="F24" s="16">
        <f>E24*D24</f>
        <v>0</v>
      </c>
      <c r="G24" s="17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9" t="s">
        <v>3</v>
      </c>
      <c r="B25" s="64"/>
      <c r="C25" s="65"/>
      <c r="D25" s="25">
        <f t="shared" ref="D25:D27" si="4">B25-(B25*C25)</f>
        <v>0</v>
      </c>
      <c r="E25" s="9">
        <v>150</v>
      </c>
      <c r="F25" s="16">
        <f t="shared" ref="F25:F27" si="5">E25*D25</f>
        <v>0</v>
      </c>
      <c r="G25" s="21"/>
      <c r="H25" s="21"/>
      <c r="I25" s="21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9" t="s">
        <v>4</v>
      </c>
      <c r="B26" s="64"/>
      <c r="C26" s="65"/>
      <c r="D26" s="25">
        <f t="shared" si="4"/>
        <v>0</v>
      </c>
      <c r="E26" s="9">
        <v>100</v>
      </c>
      <c r="F26" s="16">
        <f t="shared" si="5"/>
        <v>0</v>
      </c>
      <c r="G26" s="21"/>
      <c r="H26" s="21"/>
      <c r="I26" s="21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9" t="s">
        <v>8</v>
      </c>
      <c r="B27" s="66"/>
      <c r="C27" s="67"/>
      <c r="D27" s="35">
        <f t="shared" si="4"/>
        <v>0</v>
      </c>
      <c r="E27" s="36">
        <v>50</v>
      </c>
      <c r="F27" s="37">
        <f t="shared" si="5"/>
        <v>0</v>
      </c>
      <c r="G27" s="21"/>
      <c r="H27" s="21"/>
      <c r="I27" s="21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4" t="s">
        <v>49</v>
      </c>
      <c r="B28" s="38"/>
      <c r="C28" s="39"/>
      <c r="D28" s="39"/>
      <c r="E28" s="43" t="s">
        <v>20</v>
      </c>
      <c r="F28" s="40">
        <f>SUM(F24:F27)</f>
        <v>0</v>
      </c>
      <c r="G28" s="21"/>
      <c r="H28" s="21"/>
      <c r="I28" s="21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32"/>
      <c r="B29" s="15"/>
      <c r="C29" s="15"/>
      <c r="D29" s="15"/>
      <c r="E29" s="15"/>
      <c r="F29" s="20"/>
      <c r="G29" s="23"/>
      <c r="H29" s="23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15"/>
      <c r="B30" s="15"/>
      <c r="C30" s="15"/>
      <c r="D30" s="15"/>
      <c r="E30" s="34" t="s">
        <v>16</v>
      </c>
      <c r="F30" s="71">
        <f>SUM(F28,F21,F11)</f>
        <v>0</v>
      </c>
      <c r="G30" s="23"/>
      <c r="H30" s="23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6"/>
      <c r="B31" s="15"/>
      <c r="C31" s="15"/>
      <c r="D31" s="15"/>
      <c r="E31" s="15"/>
      <c r="F31" s="27"/>
      <c r="G31" s="28"/>
      <c r="H31" s="29"/>
      <c r="I31" s="28"/>
      <c r="J31" s="2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30"/>
      <c r="B32" s="28"/>
      <c r="C32" s="28"/>
      <c r="D32" s="28"/>
      <c r="E32" s="28"/>
      <c r="F32" s="28"/>
      <c r="G32" s="28"/>
      <c r="H32" s="28"/>
      <c r="I32" s="28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">
      <c r="A33" s="31"/>
      <c r="B33" s="28"/>
      <c r="C33" s="28"/>
      <c r="D33" s="28"/>
      <c r="E33" s="28"/>
      <c r="F33" s="28"/>
      <c r="G33" s="28"/>
      <c r="H33" s="28"/>
      <c r="I33" s="28"/>
      <c r="J33" s="2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2"/>
      <c r="B35" s="2"/>
      <c r="C35" s="2"/>
      <c r="D35" s="2"/>
      <c r="F35" s="4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8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8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8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8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8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8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8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8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7E13-33BB-4359-B639-292D75BF641E}">
  <sheetPr>
    <outlinePr summaryBelow="0" summaryRight="0"/>
  </sheetPr>
  <dimension ref="A1:Z998"/>
  <sheetViews>
    <sheetView workbookViewId="0">
      <selection activeCell="J18" sqref="J18"/>
    </sheetView>
  </sheetViews>
  <sheetFormatPr defaultColWidth="12.54296875" defaultRowHeight="15.75" customHeight="1" x14ac:dyDescent="0.25"/>
  <cols>
    <col min="1" max="1" width="48.453125" style="12" customWidth="1"/>
    <col min="2" max="2" width="21.54296875" style="12" customWidth="1"/>
    <col min="3" max="3" width="15.81640625" style="12" customWidth="1"/>
    <col min="4" max="4" width="17.26953125" style="12" bestFit="1" customWidth="1"/>
    <col min="5" max="5" width="20.453125" style="12" bestFit="1" customWidth="1"/>
    <col min="6" max="6" width="26.7265625" style="12" bestFit="1" customWidth="1"/>
    <col min="7" max="7" width="23.453125" style="12" customWidth="1"/>
    <col min="8" max="10" width="17.26953125" style="12" bestFit="1" customWidth="1"/>
    <col min="11" max="26" width="22.26953125" style="12" customWidth="1"/>
    <col min="27" max="16384" width="12.54296875" style="12"/>
  </cols>
  <sheetData>
    <row r="1" spans="1:26" ht="15.75" customHeight="1" x14ac:dyDescent="0.4">
      <c r="A1" s="72" t="s">
        <v>51</v>
      </c>
      <c r="B1" s="73"/>
      <c r="C1" s="1"/>
      <c r="D1" s="1"/>
      <c r="E1" s="1"/>
      <c r="F1" s="15"/>
      <c r="G1" s="15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1"/>
      <c r="C2" s="1"/>
      <c r="D2" s="1"/>
      <c r="E2" s="1"/>
      <c r="F2" s="15"/>
      <c r="G2" s="15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6" t="s">
        <v>9</v>
      </c>
      <c r="B3" s="3"/>
      <c r="C3" s="3"/>
      <c r="D3" s="3"/>
      <c r="E3" s="3"/>
      <c r="F3" s="3"/>
      <c r="G3" s="10"/>
      <c r="H3" s="10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6"/>
      <c r="B4" s="3"/>
      <c r="C4" s="3"/>
      <c r="D4" s="3"/>
      <c r="E4" s="3"/>
      <c r="F4" s="3"/>
      <c r="G4" s="10"/>
      <c r="H4" s="10"/>
      <c r="I4" s="10"/>
      <c r="J4" s="10"/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6" t="s">
        <v>10</v>
      </c>
      <c r="B5" s="3"/>
      <c r="C5" s="3"/>
      <c r="D5" s="3"/>
      <c r="E5" s="3"/>
      <c r="F5" s="3"/>
      <c r="G5" s="10"/>
      <c r="H5" s="10"/>
      <c r="I5" s="10"/>
      <c r="J5" s="10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8" customFormat="1" ht="18" x14ac:dyDescent="0.4">
      <c r="A6" s="8" t="s">
        <v>0</v>
      </c>
      <c r="B6" s="8" t="s">
        <v>1</v>
      </c>
      <c r="C6" s="33" t="s">
        <v>15</v>
      </c>
      <c r="D6" s="8" t="s">
        <v>13</v>
      </c>
      <c r="E6" s="14" t="s">
        <v>55</v>
      </c>
      <c r="F6" s="42" t="s">
        <v>17</v>
      </c>
      <c r="G6" s="18"/>
      <c r="H6" s="18"/>
      <c r="I6" s="18"/>
      <c r="J6" s="18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68" customFormat="1" ht="15.75" customHeight="1" x14ac:dyDescent="0.4">
      <c r="A7" s="9" t="s">
        <v>2</v>
      </c>
      <c r="B7" s="64"/>
      <c r="C7" s="65"/>
      <c r="D7" s="25">
        <f>B7-(B7*C7)</f>
        <v>0</v>
      </c>
      <c r="E7" s="9">
        <v>10</v>
      </c>
      <c r="F7" s="16">
        <f>E7*D7</f>
        <v>0</v>
      </c>
      <c r="G7" s="18"/>
      <c r="H7" s="18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68" customFormat="1" ht="15.75" customHeight="1" x14ac:dyDescent="0.4">
      <c r="A8" s="9" t="s">
        <v>3</v>
      </c>
      <c r="B8" s="64"/>
      <c r="C8" s="65"/>
      <c r="D8" s="25">
        <f t="shared" ref="D8:D10" si="0">B8-(B8*C8)</f>
        <v>0</v>
      </c>
      <c r="E8" s="9">
        <v>10</v>
      </c>
      <c r="F8" s="16">
        <f t="shared" ref="F8:F10" si="1">E8*D8</f>
        <v>0</v>
      </c>
      <c r="G8" s="18"/>
      <c r="H8" s="18"/>
      <c r="I8" s="18"/>
      <c r="J8" s="18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68" customFormat="1" ht="15.75" customHeight="1" x14ac:dyDescent="0.4">
      <c r="A9" s="9" t="s">
        <v>4</v>
      </c>
      <c r="B9" s="64"/>
      <c r="C9" s="65"/>
      <c r="D9" s="25">
        <f t="shared" si="0"/>
        <v>0</v>
      </c>
      <c r="E9" s="9">
        <v>10</v>
      </c>
      <c r="F9" s="16">
        <f t="shared" si="1"/>
        <v>0</v>
      </c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68" customFormat="1" ht="15.65" customHeight="1" x14ac:dyDescent="0.4">
      <c r="A10" s="9" t="s">
        <v>8</v>
      </c>
      <c r="B10" s="66"/>
      <c r="C10" s="67"/>
      <c r="D10" s="35">
        <f t="shared" si="0"/>
        <v>0</v>
      </c>
      <c r="E10" s="36">
        <v>10</v>
      </c>
      <c r="F10" s="37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4" t="s">
        <v>11</v>
      </c>
      <c r="B11" s="5"/>
      <c r="C11" s="5" t="s">
        <v>48</v>
      </c>
      <c r="D11" s="69"/>
      <c r="E11" s="44" t="s">
        <v>20</v>
      </c>
      <c r="F11" s="40">
        <f>SUM(F7:F10)</f>
        <v>0</v>
      </c>
      <c r="G11" s="18"/>
      <c r="H11" s="18"/>
      <c r="I11" s="18"/>
      <c r="J11" s="18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11"/>
      <c r="C12" s="1"/>
      <c r="D12" s="1"/>
      <c r="E12" s="1"/>
      <c r="F12" s="15"/>
      <c r="H12" s="17"/>
      <c r="I12" s="17"/>
      <c r="J12" s="17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3" customFormat="1" ht="35.5" x14ac:dyDescent="0.4">
      <c r="A13" s="8" t="s">
        <v>0</v>
      </c>
      <c r="B13" s="8" t="s">
        <v>1</v>
      </c>
      <c r="C13" s="33" t="s">
        <v>15</v>
      </c>
      <c r="D13" s="8" t="s">
        <v>13</v>
      </c>
      <c r="E13" s="14" t="s">
        <v>14</v>
      </c>
      <c r="F13" s="42" t="s">
        <v>17</v>
      </c>
      <c r="G13" s="17"/>
      <c r="H13" s="17"/>
      <c r="I13" s="17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13" customFormat="1" ht="15.75" customHeight="1" x14ac:dyDescent="0.4">
      <c r="A14" s="9" t="s">
        <v>2</v>
      </c>
      <c r="B14" s="64"/>
      <c r="C14" s="65"/>
      <c r="D14" s="25">
        <f>B14-(B14*C14)</f>
        <v>0</v>
      </c>
      <c r="E14" s="9">
        <v>500</v>
      </c>
      <c r="F14" s="16">
        <f>E14*D14</f>
        <v>0</v>
      </c>
      <c r="G14" s="21"/>
      <c r="H14" s="21"/>
      <c r="I14" s="21"/>
      <c r="J14" s="2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13" customFormat="1" ht="15.75" customHeight="1" x14ac:dyDescent="0.4">
      <c r="A15" s="9" t="s">
        <v>3</v>
      </c>
      <c r="B15" s="64"/>
      <c r="C15" s="65"/>
      <c r="D15" s="25">
        <f t="shared" ref="D15:D20" si="2">B15-(B15*C15)</f>
        <v>0</v>
      </c>
      <c r="E15" s="9">
        <v>300</v>
      </c>
      <c r="F15" s="16">
        <f t="shared" ref="F15:F20" si="3">E15*D15</f>
        <v>0</v>
      </c>
      <c r="G15" s="21"/>
      <c r="H15" s="21"/>
      <c r="I15" s="21"/>
      <c r="J15" s="2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13" customFormat="1" ht="15.75" customHeight="1" x14ac:dyDescent="0.4">
      <c r="A16" s="9" t="s">
        <v>4</v>
      </c>
      <c r="B16" s="64"/>
      <c r="C16" s="65"/>
      <c r="D16" s="25">
        <f t="shared" si="2"/>
        <v>0</v>
      </c>
      <c r="E16" s="9">
        <v>300</v>
      </c>
      <c r="F16" s="16">
        <f t="shared" si="3"/>
        <v>0</v>
      </c>
      <c r="G16" s="21"/>
      <c r="H16" s="21"/>
      <c r="I16" s="21"/>
      <c r="J16" s="2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13" customFormat="1" ht="15.75" customHeight="1" x14ac:dyDescent="0.4">
      <c r="A17" s="9" t="s">
        <v>5</v>
      </c>
      <c r="B17" s="64"/>
      <c r="C17" s="65"/>
      <c r="D17" s="25">
        <f t="shared" si="2"/>
        <v>0</v>
      </c>
      <c r="E17" s="9">
        <v>60</v>
      </c>
      <c r="F17" s="16">
        <f t="shared" si="3"/>
        <v>0</v>
      </c>
      <c r="G17" s="21"/>
      <c r="H17" s="21"/>
      <c r="I17" s="21"/>
      <c r="J17" s="2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13" customFormat="1" ht="15.75" customHeight="1" x14ac:dyDescent="0.4">
      <c r="A18" s="9" t="s">
        <v>6</v>
      </c>
      <c r="B18" s="64"/>
      <c r="C18" s="65"/>
      <c r="D18" s="25">
        <f t="shared" si="2"/>
        <v>0</v>
      </c>
      <c r="E18" s="9">
        <v>60</v>
      </c>
      <c r="F18" s="16">
        <f t="shared" si="3"/>
        <v>0</v>
      </c>
      <c r="G18" s="21"/>
      <c r="H18" s="21"/>
      <c r="I18" s="21"/>
      <c r="J18" s="2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13" customFormat="1" ht="15.75" customHeight="1" x14ac:dyDescent="0.4">
      <c r="A19" s="9" t="s">
        <v>7</v>
      </c>
      <c r="B19" s="64"/>
      <c r="C19" s="65"/>
      <c r="D19" s="25">
        <f t="shared" si="2"/>
        <v>0</v>
      </c>
      <c r="E19" s="9">
        <v>60</v>
      </c>
      <c r="F19" s="16">
        <f t="shared" si="3"/>
        <v>0</v>
      </c>
      <c r="G19" s="21"/>
      <c r="H19" s="21"/>
      <c r="I19" s="21"/>
      <c r="J19" s="2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13" customFormat="1" ht="15.75" customHeight="1" x14ac:dyDescent="0.4">
      <c r="A20" s="9" t="s">
        <v>8</v>
      </c>
      <c r="B20" s="66"/>
      <c r="C20" s="67"/>
      <c r="D20" s="35">
        <f t="shared" si="2"/>
        <v>0</v>
      </c>
      <c r="E20" s="36">
        <v>200</v>
      </c>
      <c r="F20" s="37">
        <f t="shared" si="3"/>
        <v>0</v>
      </c>
      <c r="G20" s="21"/>
      <c r="H20" s="21"/>
      <c r="I20" s="21"/>
      <c r="J20" s="2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13" customFormat="1" ht="15.75" customHeight="1" x14ac:dyDescent="0.4">
      <c r="A21" s="4" t="s">
        <v>12</v>
      </c>
      <c r="B21" s="38"/>
      <c r="C21" s="39"/>
      <c r="D21" s="39"/>
      <c r="E21" s="43" t="s">
        <v>20</v>
      </c>
      <c r="F21" s="40">
        <f>SUM(F14:F20)</f>
        <v>0</v>
      </c>
      <c r="G21" s="22"/>
      <c r="H21" s="22"/>
      <c r="I21" s="22"/>
      <c r="J21" s="2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32"/>
      <c r="B22" s="15"/>
      <c r="C22" s="15"/>
      <c r="D22" s="15"/>
      <c r="E22" s="15"/>
      <c r="F22" s="20"/>
      <c r="G22" s="23"/>
      <c r="H22" s="23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5.5" x14ac:dyDescent="0.4">
      <c r="A23" s="8" t="s">
        <v>0</v>
      </c>
      <c r="B23" s="8" t="s">
        <v>1</v>
      </c>
      <c r="C23" s="33" t="s">
        <v>15</v>
      </c>
      <c r="D23" s="8" t="s">
        <v>13</v>
      </c>
      <c r="E23" s="14" t="s">
        <v>14</v>
      </c>
      <c r="F23" s="42" t="s">
        <v>17</v>
      </c>
      <c r="G23" s="23"/>
      <c r="H23" s="23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9" t="s">
        <v>2</v>
      </c>
      <c r="B24" s="64"/>
      <c r="C24" s="65"/>
      <c r="D24" s="25">
        <f>B24-(B24*C24)</f>
        <v>0</v>
      </c>
      <c r="E24" s="9">
        <v>100</v>
      </c>
      <c r="F24" s="16">
        <f>E24*D24</f>
        <v>0</v>
      </c>
      <c r="G24" s="28"/>
      <c r="H24" s="29"/>
      <c r="I24" s="28"/>
      <c r="J24" s="2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9" t="s">
        <v>3</v>
      </c>
      <c r="B25" s="64"/>
      <c r="C25" s="65"/>
      <c r="D25" s="25">
        <f t="shared" ref="D25:D27" si="4">B25-(B25*C25)</f>
        <v>0</v>
      </c>
      <c r="E25" s="9">
        <v>150</v>
      </c>
      <c r="F25" s="16">
        <f t="shared" ref="F25:F27" si="5">E25*D25</f>
        <v>0</v>
      </c>
      <c r="G25" s="28"/>
      <c r="H25" s="28"/>
      <c r="I25" s="28"/>
      <c r="J25" s="2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9" t="s">
        <v>4</v>
      </c>
      <c r="B26" s="64"/>
      <c r="C26" s="65"/>
      <c r="D26" s="25">
        <f t="shared" si="4"/>
        <v>0</v>
      </c>
      <c r="E26" s="9">
        <v>100</v>
      </c>
      <c r="F26" s="16">
        <f t="shared" si="5"/>
        <v>0</v>
      </c>
      <c r="G26" s="28"/>
      <c r="H26" s="28"/>
      <c r="I26" s="28"/>
      <c r="J26" s="2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9" t="s">
        <v>8</v>
      </c>
      <c r="B27" s="66"/>
      <c r="C27" s="67"/>
      <c r="D27" s="35">
        <f t="shared" si="4"/>
        <v>0</v>
      </c>
      <c r="E27" s="36">
        <v>50</v>
      </c>
      <c r="F27" s="37">
        <f t="shared" si="5"/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4" t="s">
        <v>49</v>
      </c>
      <c r="B28" s="38"/>
      <c r="C28" s="39"/>
      <c r="D28" s="39"/>
      <c r="E28" s="43" t="s">
        <v>20</v>
      </c>
      <c r="F28" s="40">
        <f>SUM(F24:F27)</f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34" t="s">
        <v>18</v>
      </c>
      <c r="F30" s="70">
        <f>SUM(F28+F21+F11)</f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8C5F-6C26-432B-AE38-EB77E4460093}">
  <sheetPr>
    <outlinePr summaryBelow="0" summaryRight="0"/>
  </sheetPr>
  <dimension ref="A1:Z1008"/>
  <sheetViews>
    <sheetView workbookViewId="0">
      <selection activeCell="H24" sqref="H24"/>
    </sheetView>
  </sheetViews>
  <sheetFormatPr defaultColWidth="12.54296875" defaultRowHeight="15.75" customHeight="1" x14ac:dyDescent="0.25"/>
  <cols>
    <col min="1" max="1" width="48" style="12" customWidth="1"/>
    <col min="2" max="2" width="21.54296875" style="12" customWidth="1"/>
    <col min="3" max="3" width="15.81640625" style="12" customWidth="1"/>
    <col min="4" max="4" width="17.26953125" style="12" bestFit="1" customWidth="1"/>
    <col min="5" max="5" width="25.81640625" style="12" bestFit="1" customWidth="1"/>
    <col min="6" max="6" width="26.7265625" style="12" bestFit="1" customWidth="1"/>
    <col min="7" max="7" width="23.453125" style="12" customWidth="1"/>
    <col min="8" max="10" width="17.26953125" style="12" bestFit="1" customWidth="1"/>
    <col min="11" max="26" width="22.26953125" style="12" customWidth="1"/>
    <col min="27" max="16384" width="12.54296875" style="12"/>
  </cols>
  <sheetData>
    <row r="1" spans="1:26" ht="15.75" customHeight="1" x14ac:dyDescent="0.4">
      <c r="A1" s="72" t="s">
        <v>50</v>
      </c>
      <c r="B1" s="73"/>
      <c r="C1" s="1"/>
      <c r="D1" s="1"/>
      <c r="E1" s="1"/>
      <c r="F1" s="15"/>
      <c r="G1" s="15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1"/>
      <c r="C2" s="1"/>
      <c r="D2" s="1"/>
      <c r="E2" s="1"/>
      <c r="F2" s="15"/>
      <c r="G2" s="15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6" t="s">
        <v>9</v>
      </c>
      <c r="B3" s="3"/>
      <c r="C3" s="3"/>
      <c r="D3" s="3"/>
      <c r="E3" s="3"/>
      <c r="F3" s="3"/>
      <c r="G3" s="10"/>
      <c r="H3" s="10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6"/>
      <c r="B4" s="3"/>
      <c r="C4" s="3"/>
      <c r="D4" s="3"/>
      <c r="E4" s="3"/>
      <c r="F4" s="3"/>
      <c r="G4" s="10"/>
      <c r="H4" s="10"/>
      <c r="I4" s="10"/>
      <c r="J4" s="10"/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6" t="s">
        <v>10</v>
      </c>
      <c r="B5" s="3"/>
      <c r="C5" s="3"/>
      <c r="D5" s="3"/>
      <c r="E5" s="3"/>
      <c r="F5" s="3"/>
      <c r="G5" s="10"/>
      <c r="H5" s="10"/>
      <c r="I5" s="10"/>
      <c r="J5" s="10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8" customFormat="1" ht="18" x14ac:dyDescent="0.4">
      <c r="A6" s="8" t="s">
        <v>0</v>
      </c>
      <c r="B6" s="8" t="s">
        <v>1</v>
      </c>
      <c r="C6" s="33" t="s">
        <v>15</v>
      </c>
      <c r="D6" s="8" t="s">
        <v>13</v>
      </c>
      <c r="E6" s="14" t="s">
        <v>55</v>
      </c>
      <c r="F6" s="42" t="s">
        <v>57</v>
      </c>
      <c r="G6" s="18"/>
      <c r="H6" s="18"/>
      <c r="I6" s="18"/>
      <c r="J6" s="18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68" customFormat="1" ht="15.75" customHeight="1" x14ac:dyDescent="0.4">
      <c r="A7" s="9" t="s">
        <v>2</v>
      </c>
      <c r="B7" s="64"/>
      <c r="C7" s="65"/>
      <c r="D7" s="25">
        <f>B7-(B7*C7)</f>
        <v>0</v>
      </c>
      <c r="E7" s="9">
        <v>10</v>
      </c>
      <c r="F7" s="16">
        <f>E7*D7</f>
        <v>0</v>
      </c>
      <c r="G7" s="18"/>
      <c r="H7" s="18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68" customFormat="1" ht="15.75" customHeight="1" x14ac:dyDescent="0.4">
      <c r="A8" s="9" t="s">
        <v>3</v>
      </c>
      <c r="B8" s="64"/>
      <c r="C8" s="65"/>
      <c r="D8" s="25">
        <f t="shared" ref="D8:D10" si="0">B8-(B8*C8)</f>
        <v>0</v>
      </c>
      <c r="E8" s="9">
        <v>10</v>
      </c>
      <c r="F8" s="16">
        <f t="shared" ref="F8:F10" si="1">E8*D8</f>
        <v>0</v>
      </c>
      <c r="G8" s="18"/>
      <c r="H8" s="18"/>
      <c r="I8" s="18"/>
      <c r="J8" s="18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68" customFormat="1" ht="15.75" customHeight="1" x14ac:dyDescent="0.4">
      <c r="A9" s="9" t="s">
        <v>4</v>
      </c>
      <c r="B9" s="64"/>
      <c r="C9" s="65"/>
      <c r="D9" s="25">
        <f t="shared" si="0"/>
        <v>0</v>
      </c>
      <c r="E9" s="9">
        <v>10</v>
      </c>
      <c r="F9" s="16">
        <f t="shared" si="1"/>
        <v>0</v>
      </c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68" customFormat="1" ht="15.65" customHeight="1" x14ac:dyDescent="0.4">
      <c r="A10" s="9" t="s">
        <v>8</v>
      </c>
      <c r="B10" s="66"/>
      <c r="C10" s="67"/>
      <c r="D10" s="35">
        <f t="shared" si="0"/>
        <v>0</v>
      </c>
      <c r="E10" s="36">
        <v>10</v>
      </c>
      <c r="F10" s="37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x14ac:dyDescent="0.4">
      <c r="A11" s="4" t="s">
        <v>11</v>
      </c>
      <c r="B11" s="5"/>
      <c r="C11" s="5" t="s">
        <v>48</v>
      </c>
      <c r="D11" s="69"/>
      <c r="E11" s="44" t="s">
        <v>20</v>
      </c>
      <c r="F11" s="40">
        <f>SUM(F7:F10)</f>
        <v>0</v>
      </c>
      <c r="G11" s="17"/>
      <c r="H11" s="17"/>
      <c r="I11" s="17"/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11"/>
      <c r="B12" s="13"/>
      <c r="C12" s="1"/>
      <c r="D12" s="1"/>
      <c r="E12" s="1"/>
      <c r="F12" s="15"/>
      <c r="G12" s="18"/>
      <c r="H12" s="18"/>
      <c r="I12" s="18"/>
      <c r="J12" s="18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5.5" x14ac:dyDescent="0.4">
      <c r="A13" s="8" t="s">
        <v>0</v>
      </c>
      <c r="B13" s="8" t="s">
        <v>1</v>
      </c>
      <c r="C13" s="33" t="s">
        <v>15</v>
      </c>
      <c r="D13" s="8" t="s">
        <v>13</v>
      </c>
      <c r="E13" s="14" t="s">
        <v>14</v>
      </c>
      <c r="F13" s="42" t="s">
        <v>57</v>
      </c>
      <c r="G13" s="18"/>
      <c r="H13" s="18"/>
      <c r="I13" s="18"/>
      <c r="J13" s="18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9" t="s">
        <v>2</v>
      </c>
      <c r="B14" s="64"/>
      <c r="C14" s="65"/>
      <c r="D14" s="25">
        <f>B14-(B14*C14)</f>
        <v>0</v>
      </c>
      <c r="E14" s="9">
        <v>500</v>
      </c>
      <c r="F14" s="16">
        <f>E14*D14</f>
        <v>0</v>
      </c>
      <c r="G14" s="18"/>
      <c r="H14" s="18"/>
      <c r="I14" s="18"/>
      <c r="J14" s="18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9" t="s">
        <v>3</v>
      </c>
      <c r="B15" s="64"/>
      <c r="C15" s="65"/>
      <c r="D15" s="25">
        <f t="shared" ref="D15:D20" si="2">B15-(B15*C15)</f>
        <v>0</v>
      </c>
      <c r="E15" s="9">
        <v>300</v>
      </c>
      <c r="F15" s="16">
        <f t="shared" ref="F15:F20" si="3">E15*D15</f>
        <v>0</v>
      </c>
      <c r="G15" s="18"/>
      <c r="H15" s="18"/>
      <c r="I15" s="18"/>
      <c r="J15" s="18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9" t="s">
        <v>4</v>
      </c>
      <c r="B16" s="64"/>
      <c r="C16" s="65"/>
      <c r="D16" s="25">
        <f t="shared" si="2"/>
        <v>0</v>
      </c>
      <c r="E16" s="9">
        <v>300</v>
      </c>
      <c r="F16" s="16">
        <f t="shared" si="3"/>
        <v>0</v>
      </c>
      <c r="G16" s="18"/>
      <c r="H16" s="18"/>
      <c r="I16" s="18"/>
      <c r="J16" s="18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9" t="s">
        <v>5</v>
      </c>
      <c r="B17" s="64"/>
      <c r="C17" s="65"/>
      <c r="D17" s="25">
        <f t="shared" si="2"/>
        <v>0</v>
      </c>
      <c r="E17" s="9">
        <v>60</v>
      </c>
      <c r="F17" s="16">
        <f t="shared" si="3"/>
        <v>0</v>
      </c>
      <c r="H17" s="17"/>
      <c r="I17" s="17"/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9" t="s">
        <v>6</v>
      </c>
      <c r="B18" s="64"/>
      <c r="C18" s="65"/>
      <c r="D18" s="25">
        <f t="shared" si="2"/>
        <v>0</v>
      </c>
      <c r="E18" s="9">
        <v>60</v>
      </c>
      <c r="F18" s="16">
        <f t="shared" si="3"/>
        <v>0</v>
      </c>
      <c r="G18" s="19"/>
      <c r="H18" s="19"/>
      <c r="I18" s="19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5" customHeight="1" x14ac:dyDescent="0.4">
      <c r="A19" s="9" t="s">
        <v>7</v>
      </c>
      <c r="B19" s="64"/>
      <c r="C19" s="65"/>
      <c r="D19" s="25">
        <f t="shared" si="2"/>
        <v>0</v>
      </c>
      <c r="E19" s="9">
        <v>60</v>
      </c>
      <c r="F19" s="16">
        <f t="shared" si="3"/>
        <v>0</v>
      </c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9" t="s">
        <v>8</v>
      </c>
      <c r="B20" s="66"/>
      <c r="C20" s="67"/>
      <c r="D20" s="35">
        <f t="shared" si="2"/>
        <v>0</v>
      </c>
      <c r="E20" s="36">
        <v>200</v>
      </c>
      <c r="F20" s="37">
        <f t="shared" si="3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4" t="s">
        <v>12</v>
      </c>
      <c r="B21" s="38"/>
      <c r="C21" s="39"/>
      <c r="D21" s="39"/>
      <c r="E21" s="43" t="s">
        <v>20</v>
      </c>
      <c r="F21" s="40">
        <f>SUM(F14:F20)</f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32"/>
      <c r="B22" s="15"/>
      <c r="C22" s="15"/>
      <c r="D22" s="15"/>
      <c r="E22" s="15"/>
      <c r="F22" s="20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5.5" x14ac:dyDescent="0.4">
      <c r="A23" s="8" t="s">
        <v>0</v>
      </c>
      <c r="B23" s="8" t="s">
        <v>1</v>
      </c>
      <c r="C23" s="33" t="s">
        <v>15</v>
      </c>
      <c r="D23" s="8" t="s">
        <v>13</v>
      </c>
      <c r="E23" s="14" t="s">
        <v>14</v>
      </c>
      <c r="F23" s="42" t="s">
        <v>57</v>
      </c>
      <c r="G23" s="7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x14ac:dyDescent="0.4">
      <c r="A24" s="9" t="s">
        <v>2</v>
      </c>
      <c r="B24" s="64"/>
      <c r="C24" s="65"/>
      <c r="D24" s="25">
        <f>B24-(B24*C24)</f>
        <v>0</v>
      </c>
      <c r="E24" s="9">
        <v>100</v>
      </c>
      <c r="F24" s="16">
        <f>E24*D24</f>
        <v>0</v>
      </c>
      <c r="G24" s="17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9" t="s">
        <v>3</v>
      </c>
      <c r="B25" s="64"/>
      <c r="C25" s="65"/>
      <c r="D25" s="25">
        <f t="shared" ref="D25:D27" si="4">B25-(B25*C25)</f>
        <v>0</v>
      </c>
      <c r="E25" s="9">
        <v>150</v>
      </c>
      <c r="F25" s="16">
        <f t="shared" ref="F25:F27" si="5">E25*D25</f>
        <v>0</v>
      </c>
      <c r="G25" s="21"/>
      <c r="H25" s="21"/>
      <c r="I25" s="21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9" t="s">
        <v>4</v>
      </c>
      <c r="B26" s="64"/>
      <c r="C26" s="65"/>
      <c r="D26" s="25">
        <f t="shared" si="4"/>
        <v>0</v>
      </c>
      <c r="E26" s="9">
        <v>100</v>
      </c>
      <c r="F26" s="16">
        <f t="shared" si="5"/>
        <v>0</v>
      </c>
      <c r="G26" s="21"/>
      <c r="H26" s="21"/>
      <c r="I26" s="21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9" t="s">
        <v>8</v>
      </c>
      <c r="B27" s="66"/>
      <c r="C27" s="67"/>
      <c r="D27" s="35">
        <f t="shared" si="4"/>
        <v>0</v>
      </c>
      <c r="E27" s="36">
        <v>50</v>
      </c>
      <c r="F27" s="37">
        <f t="shared" si="5"/>
        <v>0</v>
      </c>
      <c r="G27" s="21"/>
      <c r="H27" s="21"/>
      <c r="I27" s="21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4" t="s">
        <v>49</v>
      </c>
      <c r="B28" s="38"/>
      <c r="C28" s="39"/>
      <c r="D28" s="39"/>
      <c r="E28" s="43" t="s">
        <v>20</v>
      </c>
      <c r="F28" s="40">
        <f>SUM(F24:F27)</f>
        <v>0</v>
      </c>
      <c r="G28" s="21"/>
      <c r="H28" s="21"/>
      <c r="I28" s="21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32"/>
      <c r="B29" s="15"/>
      <c r="C29" s="15"/>
      <c r="D29" s="15"/>
      <c r="E29" s="15"/>
      <c r="F29" s="20"/>
      <c r="G29" s="23"/>
      <c r="H29" s="23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15"/>
      <c r="B30" s="15"/>
      <c r="C30" s="15"/>
      <c r="D30" s="15"/>
      <c r="E30" s="34" t="s">
        <v>18</v>
      </c>
      <c r="F30" s="70">
        <f>SUM(F28+F21+F11)</f>
        <v>0</v>
      </c>
      <c r="G30" s="23"/>
      <c r="H30" s="23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6"/>
      <c r="B31" s="15"/>
      <c r="C31" s="15"/>
      <c r="D31" s="15"/>
      <c r="E31" s="15"/>
      <c r="F31" s="27"/>
      <c r="G31" s="28"/>
      <c r="H31" s="29"/>
      <c r="I31" s="28"/>
      <c r="J31" s="2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30"/>
      <c r="B32" s="28"/>
      <c r="C32" s="28"/>
      <c r="D32" s="28"/>
      <c r="E32" s="28"/>
      <c r="F32" s="28"/>
      <c r="G32" s="28"/>
      <c r="H32" s="28"/>
      <c r="I32" s="28"/>
      <c r="J32" s="2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">
      <c r="A33" s="31"/>
      <c r="B33" s="28"/>
      <c r="C33" s="28"/>
      <c r="D33" s="28"/>
      <c r="E33" s="28"/>
      <c r="F33" s="28"/>
      <c r="G33" s="28"/>
      <c r="H33" s="28"/>
      <c r="I33" s="28"/>
      <c r="J33" s="2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2"/>
      <c r="B35" s="2"/>
      <c r="C35" s="2"/>
      <c r="D35" s="2"/>
      <c r="F35" s="4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8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8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8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8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8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8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8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8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0B0D-9FBF-481F-8B0D-626A754C4901}">
  <sheetPr>
    <outlinePr summaryBelow="0" summaryRight="0"/>
  </sheetPr>
  <dimension ref="A1:Z1002"/>
  <sheetViews>
    <sheetView workbookViewId="0">
      <selection activeCell="H18" sqref="H18"/>
    </sheetView>
  </sheetViews>
  <sheetFormatPr defaultColWidth="12.54296875" defaultRowHeight="15.75" customHeight="1" x14ac:dyDescent="0.25"/>
  <cols>
    <col min="1" max="1" width="47.26953125" style="12" customWidth="1"/>
    <col min="2" max="2" width="21.54296875" style="12" customWidth="1"/>
    <col min="3" max="3" width="15.81640625" style="12" customWidth="1"/>
    <col min="4" max="4" width="17.26953125" style="12" bestFit="1" customWidth="1"/>
    <col min="5" max="5" width="25.81640625" style="12" bestFit="1" customWidth="1"/>
    <col min="6" max="6" width="28" style="12" customWidth="1"/>
    <col min="7" max="7" width="23.453125" style="12" customWidth="1"/>
    <col min="8" max="10" width="17.26953125" style="12" bestFit="1" customWidth="1"/>
    <col min="11" max="26" width="22.26953125" style="12" customWidth="1"/>
    <col min="27" max="16384" width="12.54296875" style="12"/>
  </cols>
  <sheetData>
    <row r="1" spans="1:26" ht="15.75" customHeight="1" x14ac:dyDescent="0.4">
      <c r="A1" s="72" t="s">
        <v>53</v>
      </c>
      <c r="B1" s="73"/>
      <c r="C1" s="1"/>
      <c r="D1" s="1"/>
      <c r="E1" s="1"/>
      <c r="F1" s="15"/>
      <c r="G1" s="15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1"/>
      <c r="C2" s="1"/>
      <c r="D2" s="1"/>
      <c r="E2" s="1"/>
      <c r="F2" s="15"/>
      <c r="G2" s="15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6" t="s">
        <v>9</v>
      </c>
      <c r="B3" s="3"/>
      <c r="C3" s="3"/>
      <c r="D3" s="3"/>
      <c r="E3" s="3"/>
      <c r="F3" s="3"/>
      <c r="G3" s="10"/>
      <c r="H3" s="10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6"/>
      <c r="B4" s="3"/>
      <c r="C4" s="3"/>
      <c r="D4" s="3"/>
      <c r="E4" s="3"/>
      <c r="F4" s="3"/>
      <c r="G4" s="10"/>
      <c r="H4" s="10"/>
      <c r="I4" s="10"/>
      <c r="J4" s="10"/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6" t="s">
        <v>10</v>
      </c>
      <c r="B5" s="3"/>
      <c r="C5" s="3"/>
      <c r="D5" s="3"/>
      <c r="E5" s="3"/>
      <c r="F5" s="3"/>
      <c r="G5" s="10"/>
      <c r="H5" s="10"/>
      <c r="I5" s="10"/>
      <c r="J5" s="10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8" customFormat="1" ht="18" x14ac:dyDescent="0.4">
      <c r="A6" s="8" t="s">
        <v>0</v>
      </c>
      <c r="B6" s="8" t="s">
        <v>1</v>
      </c>
      <c r="C6" s="33" t="s">
        <v>15</v>
      </c>
      <c r="D6" s="8" t="s">
        <v>13</v>
      </c>
      <c r="E6" s="14" t="s">
        <v>55</v>
      </c>
      <c r="F6" s="42" t="s">
        <v>58</v>
      </c>
      <c r="G6" s="18"/>
      <c r="H6" s="18"/>
      <c r="I6" s="18"/>
      <c r="J6" s="18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68" customFormat="1" ht="15.75" customHeight="1" x14ac:dyDescent="0.4">
      <c r="A7" s="9" t="s">
        <v>2</v>
      </c>
      <c r="B7" s="64"/>
      <c r="C7" s="65"/>
      <c r="D7" s="25">
        <f>B7-(B7*C7)</f>
        <v>0</v>
      </c>
      <c r="E7" s="9">
        <v>10</v>
      </c>
      <c r="F7" s="16">
        <f>E7*D7</f>
        <v>0</v>
      </c>
      <c r="G7" s="18"/>
      <c r="H7" s="18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68" customFormat="1" ht="15.75" customHeight="1" x14ac:dyDescent="0.4">
      <c r="A8" s="9" t="s">
        <v>3</v>
      </c>
      <c r="B8" s="64"/>
      <c r="C8" s="65"/>
      <c r="D8" s="25">
        <f t="shared" ref="D8:D10" si="0">B8-(B8*C8)</f>
        <v>0</v>
      </c>
      <c r="E8" s="9">
        <v>10</v>
      </c>
      <c r="F8" s="16">
        <f t="shared" ref="F8:F10" si="1">E8*D8</f>
        <v>0</v>
      </c>
      <c r="G8" s="18"/>
      <c r="H8" s="18"/>
      <c r="I8" s="18"/>
      <c r="J8" s="18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68" customFormat="1" ht="15.75" customHeight="1" x14ac:dyDescent="0.4">
      <c r="A9" s="9" t="s">
        <v>4</v>
      </c>
      <c r="B9" s="64"/>
      <c r="C9" s="65"/>
      <c r="D9" s="25">
        <f t="shared" si="0"/>
        <v>0</v>
      </c>
      <c r="E9" s="9">
        <v>10</v>
      </c>
      <c r="F9" s="16">
        <f t="shared" si="1"/>
        <v>0</v>
      </c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68" customFormat="1" ht="15.65" customHeight="1" x14ac:dyDescent="0.4">
      <c r="A10" s="9" t="s">
        <v>8</v>
      </c>
      <c r="B10" s="66"/>
      <c r="C10" s="67"/>
      <c r="D10" s="35">
        <f t="shared" si="0"/>
        <v>0</v>
      </c>
      <c r="E10" s="36">
        <v>10</v>
      </c>
      <c r="F10" s="37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x14ac:dyDescent="0.4">
      <c r="A11" s="4" t="s">
        <v>11</v>
      </c>
      <c r="B11" s="5"/>
      <c r="C11" s="5" t="s">
        <v>48</v>
      </c>
      <c r="D11" s="69"/>
      <c r="E11" s="44" t="s">
        <v>20</v>
      </c>
      <c r="F11" s="40">
        <f>SUM(F7:F10)</f>
        <v>0</v>
      </c>
      <c r="G11" s="17"/>
      <c r="H11" s="17"/>
      <c r="I11" s="17"/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11"/>
      <c r="B12" s="13"/>
      <c r="C12" s="1"/>
      <c r="D12" s="1"/>
      <c r="E12" s="1"/>
      <c r="F12" s="15"/>
      <c r="G12" s="18"/>
      <c r="H12" s="18"/>
      <c r="I12" s="18"/>
      <c r="J12" s="18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8" t="s">
        <v>0</v>
      </c>
      <c r="B13" s="8" t="s">
        <v>1</v>
      </c>
      <c r="C13" s="33" t="s">
        <v>15</v>
      </c>
      <c r="D13" s="8" t="s">
        <v>13</v>
      </c>
      <c r="E13" s="14" t="s">
        <v>14</v>
      </c>
      <c r="F13" s="42" t="s">
        <v>58</v>
      </c>
      <c r="G13" s="18"/>
      <c r="H13" s="18"/>
      <c r="I13" s="18"/>
      <c r="J13" s="18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9" t="s">
        <v>2</v>
      </c>
      <c r="B14" s="64"/>
      <c r="C14" s="65"/>
      <c r="D14" s="25">
        <f>B14-(B14*C14)</f>
        <v>0</v>
      </c>
      <c r="E14" s="9">
        <v>500</v>
      </c>
      <c r="F14" s="16">
        <f>E14*D14</f>
        <v>0</v>
      </c>
      <c r="G14" s="18"/>
      <c r="H14" s="18"/>
      <c r="I14" s="18"/>
      <c r="J14" s="18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9" t="s">
        <v>3</v>
      </c>
      <c r="B15" s="64"/>
      <c r="C15" s="65"/>
      <c r="D15" s="25">
        <f t="shared" ref="D15:D20" si="2">B15-(B15*C15)</f>
        <v>0</v>
      </c>
      <c r="E15" s="9">
        <v>300</v>
      </c>
      <c r="F15" s="16">
        <f t="shared" ref="F15:F20" si="3">E15*D15</f>
        <v>0</v>
      </c>
      <c r="G15" s="18"/>
      <c r="H15" s="18"/>
      <c r="I15" s="18"/>
      <c r="J15" s="18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9" t="s">
        <v>4</v>
      </c>
      <c r="B16" s="64"/>
      <c r="C16" s="65"/>
      <c r="D16" s="25">
        <f t="shared" si="2"/>
        <v>0</v>
      </c>
      <c r="E16" s="9">
        <v>300</v>
      </c>
      <c r="F16" s="16">
        <f t="shared" si="3"/>
        <v>0</v>
      </c>
      <c r="G16" s="18"/>
      <c r="H16" s="18"/>
      <c r="I16" s="18"/>
      <c r="J16" s="18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9" t="s">
        <v>5</v>
      </c>
      <c r="B17" s="64"/>
      <c r="C17" s="65"/>
      <c r="D17" s="25">
        <f t="shared" si="2"/>
        <v>0</v>
      </c>
      <c r="E17" s="9">
        <v>60</v>
      </c>
      <c r="F17" s="16">
        <f t="shared" si="3"/>
        <v>0</v>
      </c>
      <c r="H17" s="17"/>
      <c r="I17" s="17"/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9" t="s">
        <v>6</v>
      </c>
      <c r="B18" s="64"/>
      <c r="C18" s="65"/>
      <c r="D18" s="25">
        <f t="shared" si="2"/>
        <v>0</v>
      </c>
      <c r="E18" s="9">
        <v>60</v>
      </c>
      <c r="F18" s="16">
        <f t="shared" si="3"/>
        <v>0</v>
      </c>
      <c r="G18" s="19"/>
      <c r="H18" s="19"/>
      <c r="I18" s="19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5" customHeight="1" x14ac:dyDescent="0.4">
      <c r="A19" s="9" t="s">
        <v>7</v>
      </c>
      <c r="B19" s="64"/>
      <c r="C19" s="65"/>
      <c r="D19" s="25">
        <f t="shared" si="2"/>
        <v>0</v>
      </c>
      <c r="E19" s="9">
        <v>60</v>
      </c>
      <c r="F19" s="16">
        <f t="shared" si="3"/>
        <v>0</v>
      </c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9" t="s">
        <v>8</v>
      </c>
      <c r="B20" s="66"/>
      <c r="C20" s="67"/>
      <c r="D20" s="35">
        <f t="shared" si="2"/>
        <v>0</v>
      </c>
      <c r="E20" s="36">
        <v>200</v>
      </c>
      <c r="F20" s="37">
        <f t="shared" si="3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4" t="s">
        <v>12</v>
      </c>
      <c r="B21" s="38"/>
      <c r="C21" s="39"/>
      <c r="D21" s="39"/>
      <c r="E21" s="43" t="s">
        <v>20</v>
      </c>
      <c r="F21" s="40">
        <f>SUM(F14:F20)</f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32"/>
      <c r="B22" s="15"/>
      <c r="C22" s="15"/>
      <c r="D22" s="15"/>
      <c r="E22" s="15"/>
      <c r="F22" s="20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8" t="s">
        <v>0</v>
      </c>
      <c r="B23" s="8" t="s">
        <v>1</v>
      </c>
      <c r="C23" s="33" t="s">
        <v>15</v>
      </c>
      <c r="D23" s="8" t="s">
        <v>13</v>
      </c>
      <c r="E23" s="14" t="s">
        <v>14</v>
      </c>
      <c r="F23" s="42" t="s">
        <v>58</v>
      </c>
      <c r="G23" s="7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0.65" customHeight="1" x14ac:dyDescent="0.4">
      <c r="A24" s="9" t="s">
        <v>2</v>
      </c>
      <c r="B24" s="64"/>
      <c r="C24" s="65"/>
      <c r="D24" s="25">
        <f>B24-(B24*C24)</f>
        <v>0</v>
      </c>
      <c r="E24" s="9">
        <v>100</v>
      </c>
      <c r="F24" s="16">
        <f>E24*D24</f>
        <v>0</v>
      </c>
      <c r="G24" s="17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9" t="s">
        <v>3</v>
      </c>
      <c r="B25" s="64"/>
      <c r="C25" s="65"/>
      <c r="D25" s="25">
        <f t="shared" ref="D25:D27" si="4">B25-(B25*C25)</f>
        <v>0</v>
      </c>
      <c r="E25" s="9">
        <v>150</v>
      </c>
      <c r="F25" s="16">
        <f t="shared" ref="F25:F27" si="5">E25*D25</f>
        <v>0</v>
      </c>
      <c r="G25" s="21"/>
      <c r="H25" s="21"/>
      <c r="I25" s="21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9" t="s">
        <v>4</v>
      </c>
      <c r="B26" s="64"/>
      <c r="C26" s="65"/>
      <c r="D26" s="25">
        <f t="shared" si="4"/>
        <v>0</v>
      </c>
      <c r="E26" s="9">
        <v>100</v>
      </c>
      <c r="F26" s="16">
        <f t="shared" si="5"/>
        <v>0</v>
      </c>
      <c r="G26" s="21"/>
      <c r="H26" s="21"/>
      <c r="I26" s="21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9" t="s">
        <v>8</v>
      </c>
      <c r="B27" s="66"/>
      <c r="C27" s="67"/>
      <c r="D27" s="35">
        <f t="shared" si="4"/>
        <v>0</v>
      </c>
      <c r="E27" s="36">
        <v>50</v>
      </c>
      <c r="F27" s="37">
        <f t="shared" si="5"/>
        <v>0</v>
      </c>
      <c r="G27" s="21"/>
      <c r="H27" s="21"/>
      <c r="I27" s="21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4" t="s">
        <v>49</v>
      </c>
      <c r="B28" s="38"/>
      <c r="C28" s="39"/>
      <c r="D28" s="39"/>
      <c r="E28" s="43" t="s">
        <v>20</v>
      </c>
      <c r="F28" s="40">
        <f>SUM(F24:F27)</f>
        <v>0</v>
      </c>
      <c r="G28" s="21"/>
      <c r="H28" s="21"/>
      <c r="I28" s="21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32"/>
      <c r="B29" s="15"/>
      <c r="C29" s="15"/>
      <c r="D29" s="15"/>
      <c r="E29" s="15"/>
      <c r="F29" s="20"/>
      <c r="G29" s="21"/>
      <c r="H29" s="21"/>
      <c r="I29" s="21"/>
      <c r="J29" s="2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15"/>
      <c r="B30" s="15"/>
      <c r="C30" s="15"/>
      <c r="D30" s="15"/>
      <c r="E30" s="34" t="s">
        <v>21</v>
      </c>
      <c r="F30" s="70">
        <f>SUM(F28+F21+F11)</f>
        <v>0</v>
      </c>
      <c r="G30" s="21"/>
      <c r="H30" s="21"/>
      <c r="I30" s="21"/>
      <c r="J30" s="2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8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8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9A92-EBB8-4C57-9928-FB0E1DAED59A}">
  <sheetPr>
    <outlinePr summaryBelow="0" summaryRight="0"/>
  </sheetPr>
  <dimension ref="A1:Z1002"/>
  <sheetViews>
    <sheetView workbookViewId="0">
      <selection activeCell="H14" sqref="H14"/>
    </sheetView>
  </sheetViews>
  <sheetFormatPr defaultColWidth="12.54296875" defaultRowHeight="15.75" customHeight="1" x14ac:dyDescent="0.25"/>
  <cols>
    <col min="1" max="1" width="46.26953125" style="12" customWidth="1"/>
    <col min="2" max="2" width="21.54296875" style="12" customWidth="1"/>
    <col min="3" max="3" width="15.81640625" style="12" customWidth="1"/>
    <col min="4" max="4" width="17.26953125" style="12" bestFit="1" customWidth="1"/>
    <col min="5" max="5" width="25.81640625" style="12" bestFit="1" customWidth="1"/>
    <col min="6" max="6" width="28" style="12" customWidth="1"/>
    <col min="7" max="7" width="23.453125" style="12" customWidth="1"/>
    <col min="8" max="10" width="17.26953125" style="12" bestFit="1" customWidth="1"/>
    <col min="11" max="26" width="22.26953125" style="12" customWidth="1"/>
    <col min="27" max="16384" width="12.54296875" style="12"/>
  </cols>
  <sheetData>
    <row r="1" spans="1:26" ht="15.75" customHeight="1" x14ac:dyDescent="0.4">
      <c r="A1" s="72" t="s">
        <v>54</v>
      </c>
      <c r="B1" s="73"/>
      <c r="C1" s="1"/>
      <c r="D1" s="1"/>
      <c r="E1" s="1"/>
      <c r="F1" s="15"/>
      <c r="G1" s="15"/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1"/>
      <c r="C2" s="1"/>
      <c r="D2" s="1"/>
      <c r="E2" s="1"/>
      <c r="F2" s="15"/>
      <c r="G2" s="15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6" t="s">
        <v>9</v>
      </c>
      <c r="B3" s="3"/>
      <c r="C3" s="3"/>
      <c r="D3" s="3"/>
      <c r="E3" s="3"/>
      <c r="F3" s="3"/>
      <c r="G3" s="10"/>
      <c r="H3" s="10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6"/>
      <c r="B4" s="3"/>
      <c r="C4" s="3"/>
      <c r="D4" s="3"/>
      <c r="E4" s="3"/>
      <c r="F4" s="3"/>
      <c r="G4" s="10"/>
      <c r="H4" s="10"/>
      <c r="I4" s="10"/>
      <c r="J4" s="10"/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6" t="s">
        <v>10</v>
      </c>
      <c r="B5" s="3"/>
      <c r="C5" s="3"/>
      <c r="D5" s="3"/>
      <c r="E5" s="3"/>
      <c r="F5" s="3"/>
      <c r="G5" s="10"/>
      <c r="H5" s="10"/>
      <c r="I5" s="10"/>
      <c r="J5" s="10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8" customFormat="1" ht="18" x14ac:dyDescent="0.4">
      <c r="A6" s="8" t="s">
        <v>0</v>
      </c>
      <c r="B6" s="8" t="s">
        <v>1</v>
      </c>
      <c r="C6" s="33" t="s">
        <v>15</v>
      </c>
      <c r="D6" s="8" t="s">
        <v>13</v>
      </c>
      <c r="E6" s="14" t="s">
        <v>55</v>
      </c>
      <c r="F6" s="42" t="s">
        <v>59</v>
      </c>
      <c r="G6" s="18"/>
      <c r="H6" s="18"/>
      <c r="I6" s="18"/>
      <c r="J6" s="18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68" customFormat="1" ht="15.75" customHeight="1" x14ac:dyDescent="0.4">
      <c r="A7" s="9" t="s">
        <v>2</v>
      </c>
      <c r="B7" s="64"/>
      <c r="C7" s="65"/>
      <c r="D7" s="25">
        <f>B7-(B7*C7)</f>
        <v>0</v>
      </c>
      <c r="E7" s="9">
        <v>10</v>
      </c>
      <c r="F7" s="16">
        <f>E7*D7</f>
        <v>0</v>
      </c>
      <c r="G7" s="18"/>
      <c r="H7" s="18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68" customFormat="1" ht="15.75" customHeight="1" x14ac:dyDescent="0.4">
      <c r="A8" s="9" t="s">
        <v>3</v>
      </c>
      <c r="B8" s="64"/>
      <c r="C8" s="65"/>
      <c r="D8" s="25">
        <f t="shared" ref="D8:D10" si="0">B8-(B8*C8)</f>
        <v>0</v>
      </c>
      <c r="E8" s="9">
        <v>10</v>
      </c>
      <c r="F8" s="16">
        <f t="shared" ref="F8:F10" si="1">E8*D8</f>
        <v>0</v>
      </c>
      <c r="G8" s="18"/>
      <c r="H8" s="18"/>
      <c r="I8" s="18"/>
      <c r="J8" s="18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68" customFormat="1" ht="15.75" customHeight="1" x14ac:dyDescent="0.4">
      <c r="A9" s="9" t="s">
        <v>4</v>
      </c>
      <c r="B9" s="64"/>
      <c r="C9" s="65"/>
      <c r="D9" s="25">
        <f t="shared" si="0"/>
        <v>0</v>
      </c>
      <c r="E9" s="9">
        <v>10</v>
      </c>
      <c r="F9" s="16">
        <f t="shared" si="1"/>
        <v>0</v>
      </c>
      <c r="G9" s="18"/>
      <c r="H9" s="18"/>
      <c r="I9" s="18"/>
      <c r="J9" s="18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68" customFormat="1" ht="15.65" customHeight="1" x14ac:dyDescent="0.4">
      <c r="A10" s="9" t="s">
        <v>8</v>
      </c>
      <c r="B10" s="66"/>
      <c r="C10" s="67"/>
      <c r="D10" s="35">
        <f t="shared" si="0"/>
        <v>0</v>
      </c>
      <c r="E10" s="36">
        <v>10</v>
      </c>
      <c r="F10" s="37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x14ac:dyDescent="0.4">
      <c r="A11" s="4" t="s">
        <v>11</v>
      </c>
      <c r="B11" s="5"/>
      <c r="C11" s="5" t="s">
        <v>48</v>
      </c>
      <c r="D11" s="69"/>
      <c r="E11" s="44" t="s">
        <v>20</v>
      </c>
      <c r="F11" s="40">
        <f>SUM(F7:F10)</f>
        <v>0</v>
      </c>
      <c r="G11" s="17"/>
      <c r="H11" s="17"/>
      <c r="I11" s="17"/>
      <c r="J11" s="17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11"/>
      <c r="B12" s="13"/>
      <c r="C12" s="1"/>
      <c r="D12" s="1"/>
      <c r="E12" s="1"/>
      <c r="F12" s="15"/>
      <c r="G12" s="18"/>
      <c r="H12" s="18"/>
      <c r="I12" s="18"/>
      <c r="J12" s="18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5.5" x14ac:dyDescent="0.4">
      <c r="A13" s="8" t="s">
        <v>0</v>
      </c>
      <c r="B13" s="8" t="s">
        <v>1</v>
      </c>
      <c r="C13" s="33" t="s">
        <v>15</v>
      </c>
      <c r="D13" s="8" t="s">
        <v>13</v>
      </c>
      <c r="E13" s="14" t="s">
        <v>14</v>
      </c>
      <c r="F13" s="42" t="s">
        <v>59</v>
      </c>
      <c r="G13" s="18"/>
      <c r="H13" s="18"/>
      <c r="I13" s="18"/>
      <c r="J13" s="18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9" t="s">
        <v>2</v>
      </c>
      <c r="B14" s="64"/>
      <c r="C14" s="65"/>
      <c r="D14" s="25">
        <f>B14-(B14*C14)</f>
        <v>0</v>
      </c>
      <c r="E14" s="9">
        <v>500</v>
      </c>
      <c r="F14" s="16">
        <f>E14*D14</f>
        <v>0</v>
      </c>
      <c r="G14" s="18"/>
      <c r="H14" s="18"/>
      <c r="I14" s="18"/>
      <c r="J14" s="18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9" t="s">
        <v>3</v>
      </c>
      <c r="B15" s="64"/>
      <c r="C15" s="65"/>
      <c r="D15" s="25">
        <f t="shared" ref="D15:D20" si="2">B15-(B15*C15)</f>
        <v>0</v>
      </c>
      <c r="E15" s="9">
        <v>300</v>
      </c>
      <c r="F15" s="16">
        <f t="shared" ref="F15:F20" si="3">E15*D15</f>
        <v>0</v>
      </c>
      <c r="G15" s="18"/>
      <c r="H15" s="18"/>
      <c r="I15" s="18"/>
      <c r="J15" s="18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9" t="s">
        <v>4</v>
      </c>
      <c r="B16" s="64"/>
      <c r="C16" s="65"/>
      <c r="D16" s="25">
        <f t="shared" si="2"/>
        <v>0</v>
      </c>
      <c r="E16" s="9">
        <v>300</v>
      </c>
      <c r="F16" s="16">
        <f t="shared" si="3"/>
        <v>0</v>
      </c>
      <c r="G16" s="18"/>
      <c r="H16" s="18"/>
      <c r="I16" s="18"/>
      <c r="J16" s="18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9" t="s">
        <v>5</v>
      </c>
      <c r="B17" s="64"/>
      <c r="C17" s="65"/>
      <c r="D17" s="25">
        <f t="shared" si="2"/>
        <v>0</v>
      </c>
      <c r="E17" s="9">
        <v>60</v>
      </c>
      <c r="F17" s="16">
        <f t="shared" si="3"/>
        <v>0</v>
      </c>
      <c r="H17" s="17"/>
      <c r="I17" s="17"/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9" t="s">
        <v>6</v>
      </c>
      <c r="B18" s="64"/>
      <c r="C18" s="65"/>
      <c r="D18" s="25">
        <f t="shared" si="2"/>
        <v>0</v>
      </c>
      <c r="E18" s="9">
        <v>60</v>
      </c>
      <c r="F18" s="16">
        <f t="shared" si="3"/>
        <v>0</v>
      </c>
      <c r="G18" s="19"/>
      <c r="H18" s="19"/>
      <c r="I18" s="19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5" customHeight="1" x14ac:dyDescent="0.4">
      <c r="A19" s="9" t="s">
        <v>7</v>
      </c>
      <c r="B19" s="64"/>
      <c r="C19" s="65"/>
      <c r="D19" s="25">
        <f t="shared" si="2"/>
        <v>0</v>
      </c>
      <c r="E19" s="9">
        <v>60</v>
      </c>
      <c r="F19" s="16">
        <f t="shared" si="3"/>
        <v>0</v>
      </c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9" t="s">
        <v>8</v>
      </c>
      <c r="B20" s="66"/>
      <c r="C20" s="67"/>
      <c r="D20" s="35">
        <f t="shared" si="2"/>
        <v>0</v>
      </c>
      <c r="E20" s="36">
        <v>200</v>
      </c>
      <c r="F20" s="37">
        <f t="shared" si="3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4" t="s">
        <v>12</v>
      </c>
      <c r="B21" s="38"/>
      <c r="C21" s="39"/>
      <c r="D21" s="39"/>
      <c r="E21" s="43" t="s">
        <v>20</v>
      </c>
      <c r="F21" s="40">
        <f>SUM(F14:F20)</f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32"/>
      <c r="B22" s="15"/>
      <c r="C22" s="15"/>
      <c r="D22" s="15"/>
      <c r="E22" s="15"/>
      <c r="F22" s="20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5.5" x14ac:dyDescent="0.4">
      <c r="A23" s="8" t="s">
        <v>0</v>
      </c>
      <c r="B23" s="8" t="s">
        <v>1</v>
      </c>
      <c r="C23" s="33" t="s">
        <v>15</v>
      </c>
      <c r="D23" s="8" t="s">
        <v>13</v>
      </c>
      <c r="E23" s="14" t="s">
        <v>14</v>
      </c>
      <c r="F23" s="42" t="s">
        <v>59</v>
      </c>
      <c r="G23" s="7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x14ac:dyDescent="0.4">
      <c r="A24" s="9" t="s">
        <v>2</v>
      </c>
      <c r="B24" s="64"/>
      <c r="C24" s="65"/>
      <c r="D24" s="25">
        <f>B24-(B24*C24)</f>
        <v>0</v>
      </c>
      <c r="E24" s="9">
        <v>100</v>
      </c>
      <c r="F24" s="16">
        <f>E24*D24</f>
        <v>0</v>
      </c>
      <c r="G24" s="17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9" t="s">
        <v>3</v>
      </c>
      <c r="B25" s="64"/>
      <c r="C25" s="65"/>
      <c r="D25" s="25">
        <f t="shared" ref="D25:D27" si="4">B25-(B25*C25)</f>
        <v>0</v>
      </c>
      <c r="E25" s="9">
        <v>150</v>
      </c>
      <c r="F25" s="16">
        <f t="shared" ref="F25:F27" si="5">E25*D25</f>
        <v>0</v>
      </c>
      <c r="G25" s="21"/>
      <c r="H25" s="21"/>
      <c r="I25" s="21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9" t="s">
        <v>4</v>
      </c>
      <c r="B26" s="64"/>
      <c r="C26" s="65"/>
      <c r="D26" s="25">
        <f t="shared" si="4"/>
        <v>0</v>
      </c>
      <c r="E26" s="9">
        <v>100</v>
      </c>
      <c r="F26" s="16">
        <f t="shared" si="5"/>
        <v>0</v>
      </c>
      <c r="G26" s="21"/>
      <c r="H26" s="21"/>
      <c r="I26" s="21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9" t="s">
        <v>8</v>
      </c>
      <c r="B27" s="66"/>
      <c r="C27" s="67"/>
      <c r="D27" s="35">
        <f t="shared" si="4"/>
        <v>0</v>
      </c>
      <c r="E27" s="36">
        <v>50</v>
      </c>
      <c r="F27" s="37">
        <f t="shared" si="5"/>
        <v>0</v>
      </c>
      <c r="G27" s="21"/>
      <c r="H27" s="21"/>
      <c r="I27" s="21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4" t="s">
        <v>49</v>
      </c>
      <c r="B28" s="38"/>
      <c r="C28" s="39"/>
      <c r="D28" s="39"/>
      <c r="E28" s="43" t="s">
        <v>20</v>
      </c>
      <c r="F28" s="40">
        <f>SUM(F24:F27)</f>
        <v>0</v>
      </c>
      <c r="G28" s="21"/>
      <c r="H28" s="21"/>
      <c r="I28" s="21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32"/>
      <c r="B29" s="15"/>
      <c r="C29" s="15"/>
      <c r="D29" s="15"/>
      <c r="E29" s="15"/>
      <c r="F29" s="20"/>
      <c r="G29" s="21"/>
      <c r="H29" s="21"/>
      <c r="I29" s="21"/>
      <c r="J29" s="2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15"/>
      <c r="B30" s="15"/>
      <c r="C30" s="15"/>
      <c r="D30" s="15"/>
      <c r="E30" s="34" t="s">
        <v>19</v>
      </c>
      <c r="F30" s="70">
        <f>SUM(F28+F21+F11)</f>
        <v>0</v>
      </c>
      <c r="G30" s="21"/>
      <c r="H30" s="21"/>
      <c r="I30" s="21"/>
      <c r="J30" s="2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8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8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Pricing CLINs</vt:lpstr>
      <vt:lpstr>Base Year</vt:lpstr>
      <vt:lpstr>OY1</vt:lpstr>
      <vt:lpstr>OY2</vt:lpstr>
      <vt:lpstr>OY3</vt:lpstr>
      <vt:lpstr>OY4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DeSantis</cp:lastModifiedBy>
  <dcterms:modified xsi:type="dcterms:W3CDTF">2026-05-04T14:07:58Z</dcterms:modified>
</cp:coreProperties>
</file>