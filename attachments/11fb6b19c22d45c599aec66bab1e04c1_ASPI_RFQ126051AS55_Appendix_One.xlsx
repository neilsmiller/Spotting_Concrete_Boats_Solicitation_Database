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8107B2A1-08F3-4388-A090-94EC0F2FF47C}" xr6:coauthVersionLast="47" xr6:coauthVersionMax="47" xr10:uidLastSave="{00000000-0000-0000-0000-000000000000}"/>
  <bookViews>
    <workbookView xWindow="-38520" yWindow="90" windowWidth="38640" windowHeight="20910" xr2:uid="{00000000-000D-0000-FFFF-FFFF00000000}"/>
  </bookViews>
  <sheets>
    <sheet name="Sheet" sheetId="1" r:id="rId1"/>
  </sheets>
  <definedNames>
    <definedName name="_xlnm._FilterDatabase" localSheetId="0" hidden="1">Sheet!$A$1:$K$3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1" l="1"/>
  <c r="H22" i="1"/>
  <c r="H25" i="1" s="1"/>
  <c r="H13" i="1"/>
  <c r="H12" i="1"/>
  <c r="H15" i="1" s="1"/>
  <c r="H3" i="1"/>
  <c r="H2" i="1"/>
  <c r="H5" i="1" s="1"/>
</calcChain>
</file>

<file path=xl/sharedStrings.xml><?xml version="1.0" encoding="utf-8"?>
<sst xmlns="http://schemas.openxmlformats.org/spreadsheetml/2006/main" count="62" uniqueCount="25">
  <si>
    <t>Publisher</t>
  </si>
  <si>
    <t>Product</t>
  </si>
  <si>
    <t>Part Number/SKU</t>
  </si>
  <si>
    <t>License Type</t>
  </si>
  <si>
    <t>License Term</t>
  </si>
  <si>
    <t>Units Requested</t>
  </si>
  <si>
    <t>Unit Price</t>
  </si>
  <si>
    <t>Total Cost</t>
  </si>
  <si>
    <t>Effective Date</t>
  </si>
  <si>
    <t>Expiry Date</t>
  </si>
  <si>
    <t>CLIN#</t>
  </si>
  <si>
    <t>User</t>
  </si>
  <si>
    <t>Subscription</t>
  </si>
  <si>
    <t>0001</t>
  </si>
  <si>
    <t>Date of Award</t>
  </si>
  <si>
    <t>Other</t>
  </si>
  <si>
    <t>Award+365</t>
  </si>
  <si>
    <t>China Defence University Tracker (CDUT) + Critical Technologies Tracker (20 seats)</t>
  </si>
  <si>
    <t>API Access</t>
  </si>
  <si>
    <t xml:space="preserve">Australian Strategic Policy Institute  </t>
  </si>
  <si>
    <t>CDUT-20</t>
  </si>
  <si>
    <t>API</t>
  </si>
  <si>
    <t>BASE YEAR</t>
  </si>
  <si>
    <t>OPTION YEAR 1</t>
  </si>
  <si>
    <t>OPTION 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</si>
</sst>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4" fontId="0" fillId="0" borderId="0" xfId="0" applyNumberFormat="1"/>
    <xf numFmtId="164" fontId="0" fillId="0" borderId="0" xfId="0" applyNumberFormat="1" applyFill="1"/>
    <xf numFmtId="0" fontId="0" fillId="0" borderId="0" xfId="0" applyProtection="1">
      <protection locked="0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vertical="center" wrapText="1"/>
    </xf>
    <xf numFmtId="164" fontId="0" fillId="2" borderId="0" xfId="0" applyNumberFormat="1" applyFill="1"/>
    <xf numFmtId="0" fontId="3" fillId="3" borderId="0" xfId="0" applyFont="1" applyFill="1"/>
  </cellXfs>
  <cellStyles count="2">
    <cellStyle name="Normal" xfId="0" builtinId="0"/>
    <cellStyle name="Normal_Barrel Snapshot_4" xfId="1" xr:uid="{B972865A-B790-4D18-9E2A-09F824F506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G37" sqref="G36:G37"/>
    </sheetView>
  </sheetViews>
  <sheetFormatPr defaultRowHeight="15" x14ac:dyDescent="0.25"/>
  <cols>
    <col min="1" max="1" width="32.7109375" bestFit="1" customWidth="1"/>
    <col min="2" max="2" width="74.7109375" bestFit="1" customWidth="1"/>
    <col min="3" max="3" width="25.7109375" bestFit="1" customWidth="1"/>
    <col min="4" max="4" width="14.5703125" bestFit="1" customWidth="1"/>
    <col min="5" max="5" width="14.85546875" bestFit="1" customWidth="1"/>
    <col min="6" max="6" width="18" style="4" bestFit="1" customWidth="1"/>
    <col min="7" max="7" width="11.85546875" style="1" bestFit="1" customWidth="1"/>
    <col min="8" max="8" width="12" style="1" bestFit="1" customWidth="1"/>
    <col min="9" max="9" width="15.85546875" bestFit="1" customWidth="1"/>
    <col min="10" max="10" width="13.28515625" bestFit="1" customWidth="1"/>
    <col min="11" max="11" width="8.28515625" bestFit="1" customWidth="1"/>
    <col min="13" max="13" width="14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M1" s="9" t="s">
        <v>22</v>
      </c>
    </row>
    <row r="2" spans="1:13" x14ac:dyDescent="0.25">
      <c r="A2" s="3" t="s">
        <v>19</v>
      </c>
      <c r="B2" s="3" t="s">
        <v>17</v>
      </c>
      <c r="C2" s="7" t="s">
        <v>20</v>
      </c>
      <c r="D2" t="s">
        <v>11</v>
      </c>
      <c r="E2" t="s">
        <v>12</v>
      </c>
      <c r="F2" s="5">
        <v>1</v>
      </c>
      <c r="G2" s="8"/>
      <c r="H2" s="2">
        <f>+F2*G2</f>
        <v>0</v>
      </c>
      <c r="I2" s="6" t="s">
        <v>14</v>
      </c>
      <c r="J2" s="6" t="s">
        <v>16</v>
      </c>
      <c r="K2" t="s">
        <v>13</v>
      </c>
    </row>
    <row r="3" spans="1:13" x14ac:dyDescent="0.25">
      <c r="A3" s="3" t="s">
        <v>19</v>
      </c>
      <c r="B3" s="3" t="s">
        <v>18</v>
      </c>
      <c r="C3" s="7" t="s">
        <v>21</v>
      </c>
      <c r="D3" t="s">
        <v>15</v>
      </c>
      <c r="E3" t="s">
        <v>12</v>
      </c>
      <c r="F3" s="5">
        <v>1</v>
      </c>
      <c r="G3" s="8"/>
      <c r="H3" s="2">
        <f>+F3*G3</f>
        <v>0</v>
      </c>
      <c r="I3" s="6" t="s">
        <v>14</v>
      </c>
      <c r="J3" s="6" t="s">
        <v>16</v>
      </c>
      <c r="K3" t="s">
        <v>13</v>
      </c>
    </row>
    <row r="5" spans="1:13" x14ac:dyDescent="0.25">
      <c r="H5" s="1">
        <f>SUM(H2:H4)</f>
        <v>0</v>
      </c>
    </row>
    <row r="12" spans="1:13" x14ac:dyDescent="0.25">
      <c r="A12" s="3" t="s">
        <v>19</v>
      </c>
      <c r="B12" s="3" t="s">
        <v>17</v>
      </c>
      <c r="C12" s="7" t="s">
        <v>20</v>
      </c>
      <c r="D12" t="s">
        <v>11</v>
      </c>
      <c r="E12" t="s">
        <v>12</v>
      </c>
      <c r="F12" s="5">
        <v>1</v>
      </c>
      <c r="G12" s="8"/>
      <c r="H12" s="2">
        <f>+F12*G12</f>
        <v>0</v>
      </c>
      <c r="I12" s="6" t="s">
        <v>14</v>
      </c>
      <c r="J12" s="6" t="s">
        <v>16</v>
      </c>
      <c r="K12" t="s">
        <v>13</v>
      </c>
      <c r="M12" s="9" t="s">
        <v>23</v>
      </c>
    </row>
    <row r="13" spans="1:13" x14ac:dyDescent="0.25">
      <c r="A13" s="3" t="s">
        <v>19</v>
      </c>
      <c r="B13" s="3" t="s">
        <v>18</v>
      </c>
      <c r="C13" s="7" t="s">
        <v>21</v>
      </c>
      <c r="D13" t="s">
        <v>15</v>
      </c>
      <c r="E13" t="s">
        <v>12</v>
      </c>
      <c r="F13" s="5">
        <v>1</v>
      </c>
      <c r="G13" s="8"/>
      <c r="H13" s="2">
        <f>+F13*G13</f>
        <v>0</v>
      </c>
      <c r="I13" s="6" t="s">
        <v>14</v>
      </c>
      <c r="J13" s="6" t="s">
        <v>16</v>
      </c>
      <c r="K13" t="s">
        <v>13</v>
      </c>
    </row>
    <row r="15" spans="1:13" x14ac:dyDescent="0.25">
      <c r="H15" s="1">
        <f>SUM(H12:H14)</f>
        <v>0</v>
      </c>
    </row>
    <row r="22" spans="1:13" x14ac:dyDescent="0.25">
      <c r="A22" s="3" t="s">
        <v>19</v>
      </c>
      <c r="B22" s="3" t="s">
        <v>17</v>
      </c>
      <c r="C22" s="7" t="s">
        <v>20</v>
      </c>
      <c r="D22" t="s">
        <v>11</v>
      </c>
      <c r="E22" t="s">
        <v>12</v>
      </c>
      <c r="F22" s="5">
        <v>1</v>
      </c>
      <c r="G22" s="8"/>
      <c r="H22" s="2">
        <f>+F22*G22</f>
        <v>0</v>
      </c>
      <c r="I22" s="6" t="s">
        <v>14</v>
      </c>
      <c r="J22" s="6" t="s">
        <v>16</v>
      </c>
      <c r="K22" t="s">
        <v>13</v>
      </c>
      <c r="M22" s="9" t="s">
        <v>24</v>
      </c>
    </row>
    <row r="23" spans="1:13" x14ac:dyDescent="0.25">
      <c r="A23" s="3" t="s">
        <v>19</v>
      </c>
      <c r="B23" s="3" t="s">
        <v>18</v>
      </c>
      <c r="C23" s="7" t="s">
        <v>21</v>
      </c>
      <c r="D23" t="s">
        <v>15</v>
      </c>
      <c r="E23" t="s">
        <v>12</v>
      </c>
      <c r="F23" s="5">
        <v>1</v>
      </c>
      <c r="G23" s="8"/>
      <c r="H23" s="2">
        <f>+F23*G23</f>
        <v>0</v>
      </c>
      <c r="I23" s="6" t="s">
        <v>14</v>
      </c>
      <c r="J23" s="6" t="s">
        <v>16</v>
      </c>
      <c r="K23" t="s">
        <v>13</v>
      </c>
    </row>
    <row r="25" spans="1:13" x14ac:dyDescent="0.25">
      <c r="H25" s="1">
        <f>SUM(H22:H24)</f>
        <v>0</v>
      </c>
    </row>
  </sheetData>
  <autoFilter ref="A1:K3" xr:uid="{00000000-0009-0000-0000-000000000000}"/>
  <pageMargins left="0.7" right="0.7" top="0.75" bottom="0.5" header="0.3" footer="0.3"/>
  <pageSetup orientation="portrait" horizontalDpi="4294967295" verticalDpi="4294967295" r:id="rId1"/>
  <headerFooter>
    <oddHeader>&amp;C&amp;"Courier"&amp;12UNCLASSIFIED</oddHeader>
    <oddFooter>&amp;C&amp;"Courier"&amp;12UNCLASSIFIED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6-05-04" portionMarking="false" caveat="false" tool="Desktop" toolVersion="202520">
  <class:ClassificationMarking type="USClassificationMarking" value="UNCLASSIFIED"/>
  <class:ClassifiedBy>Connor Dunaway - Contract Specialist</class:ClassifiedBy>
  <class:ClassificationHeader>
    <class:ClassificationBanner>UNCLASSIFIED</class:ClassificationBanner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E2739FB1-130B-45EA-A909-141372F35963}">
  <ds:schemaRefs>
    <ds:schemaRef ds:uri="urn:us:gov:cia:enterprise:schema:Classification:2.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2026-04-16T18:03:05Z</dcterms:created>
  <dcterms:modified xsi:type="dcterms:W3CDTF">2026-05-04T14:46:48Z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202520</vt:lpwstr>
  </property>
  <property fmtid="{D5CDD505-2E9C-101B-9397-08002B2CF9AE}" pid="20" name="AACG_CustomClassXMLPart">
    <vt:lpwstr>{E2739FB1-130B-45EA-A909-141372F35963}</vt:lpwstr>
  </property>
</Properties>
</file>