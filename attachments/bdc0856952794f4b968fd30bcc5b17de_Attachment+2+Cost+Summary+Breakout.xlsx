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D:\Users\daniel.cooley\Desktop\Files\"/>
    </mc:Choice>
  </mc:AlternateContent>
  <bookViews>
    <workbookView xWindow="-60" yWindow="-60" windowWidth="15480" windowHeight="11640"/>
  </bookViews>
  <sheets>
    <sheet name="Instructions" sheetId="15" r:id="rId1"/>
    <sheet name="Cost Summary Spreadsheet" sheetId="14" r:id="rId2"/>
    <sheet name="Summary" sheetId="1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14" l="1"/>
  <c r="B57" i="14"/>
  <c r="B56" i="14"/>
  <c r="B58" i="14"/>
  <c r="H9" i="14"/>
  <c r="K9" i="14"/>
  <c r="N9" i="14"/>
  <c r="Q9" i="14"/>
  <c r="T9" i="14"/>
  <c r="W9" i="14"/>
  <c r="X9" i="14"/>
  <c r="H10" i="14"/>
  <c r="K10" i="14"/>
  <c r="N10" i="14"/>
  <c r="Q10" i="14"/>
  <c r="T10" i="14"/>
  <c r="W10" i="14"/>
  <c r="X10" i="14"/>
  <c r="H11" i="14"/>
  <c r="H12" i="14"/>
  <c r="K11" i="14"/>
  <c r="N11" i="14"/>
  <c r="Q11" i="14"/>
  <c r="T11" i="14"/>
  <c r="W11" i="14"/>
  <c r="X11" i="14"/>
  <c r="X12" i="14"/>
  <c r="H27" i="14"/>
  <c r="K27" i="14"/>
  <c r="N27" i="14"/>
  <c r="Q27" i="14"/>
  <c r="T27" i="14"/>
  <c r="W27" i="14"/>
  <c r="Y33" i="14"/>
  <c r="Y42" i="14"/>
  <c r="Y49" i="14"/>
  <c r="Y27" i="14"/>
  <c r="B55" i="14"/>
  <c r="C58" i="14" s="1"/>
  <c r="Q12" i="14"/>
  <c r="Q18" i="14"/>
  <c r="Q20" i="14"/>
  <c r="Y11" i="14"/>
  <c r="T12" i="14"/>
  <c r="T18" i="14"/>
  <c r="T20" i="14"/>
  <c r="Y10" i="14"/>
  <c r="K12" i="14"/>
  <c r="H18" i="14"/>
  <c r="H20" i="14"/>
  <c r="K18" i="14"/>
  <c r="N12" i="14"/>
  <c r="N18" i="14"/>
  <c r="N20" i="14"/>
  <c r="K20" i="14"/>
  <c r="W12" i="14" l="1"/>
  <c r="Y9" i="14"/>
  <c r="W18" i="14" l="1"/>
  <c r="Y12" i="14"/>
  <c r="W20" i="14" l="1"/>
  <c r="Y20" i="14" s="1"/>
  <c r="B63" i="14" s="1"/>
  <c r="C64" i="14" s="1"/>
  <c r="Y18" i="14"/>
</calcChain>
</file>

<file path=xl/sharedStrings.xml><?xml version="1.0" encoding="utf-8"?>
<sst xmlns="http://schemas.openxmlformats.org/spreadsheetml/2006/main" count="135" uniqueCount="102">
  <si>
    <t>Instructions for Prime Contractor:</t>
  </si>
  <si>
    <t xml:space="preserve">Enter Prime offeror name into cell A3.  </t>
  </si>
  <si>
    <r>
      <t>Enter all prime employee names in Column A (starting at row 9)</t>
    </r>
    <r>
      <rPr>
        <b/>
        <sz val="11"/>
        <rFont val="Arial"/>
        <family val="2"/>
      </rPr>
      <t xml:space="preserve"> If necessary, insert additional rows--but ensure integrity of formulas.</t>
    </r>
  </si>
  <si>
    <r>
      <t xml:space="preserve">Enter all prime labor categories in Column C (starting at row 9) </t>
    </r>
    <r>
      <rPr>
        <b/>
        <sz val="11"/>
        <rFont val="Arial"/>
        <family val="2"/>
      </rPr>
      <t xml:space="preserve">If necessary, insert additional rows--but ensure integrity of formulas. </t>
    </r>
    <r>
      <rPr>
        <sz val="11"/>
        <rFont val="Arial"/>
        <family val="2"/>
      </rPr>
      <t>In column C, the Offeror should insert the title of the labor category it will be utilizing.  The Offeror is not required to utilize the Government's labor categories, however, each proposed labor category should appear opposite of the government labor category it is comparable to. Please note, in evaluation, the Offeror's proposal will be compared to the Government Estimate in terms of hours and labor categories.</t>
    </r>
    <r>
      <rPr>
        <b/>
        <sz val="11"/>
        <rFont val="Arial"/>
        <family val="2"/>
      </rPr>
      <t xml:space="preserve">  </t>
    </r>
    <r>
      <rPr>
        <sz val="11"/>
        <rFont val="Arial"/>
        <family val="2"/>
      </rPr>
      <t>Also, labor categories with more than one person providing service shall be listed multiple times for each person performing work.  For example, if the offeror proposes four Senior Analysts, then the labor category Senior Analyst shall be listed four times along with their applicable rates and information.</t>
    </r>
  </si>
  <si>
    <t>Only one worksheet shall be prepared for the entire period of performance (for each Prime and Subcontractor)</t>
  </si>
  <si>
    <r>
      <t xml:space="preserve">The worksheets of the workbook should all be formatted for printing on </t>
    </r>
    <r>
      <rPr>
        <b/>
        <sz val="11"/>
        <rFont val="Arial"/>
        <family val="2"/>
      </rPr>
      <t>letter-size paper, without requiring "adjustments."</t>
    </r>
    <r>
      <rPr>
        <sz val="11"/>
        <rFont val="Arial"/>
        <family val="2"/>
      </rPr>
      <t xml:space="preserve">  It may be formatted for either landscape or portrait.  DO NOT FORMAT FOR LEGAL SIZE PAPER.</t>
    </r>
  </si>
  <si>
    <t>All cells shall be unprotected and unlocked, with formulae intact to show mathematical operations.</t>
  </si>
  <si>
    <t>All dollar figures shall be carried out no further than two decimal places.</t>
  </si>
  <si>
    <t>In column D, f identify for the specific labor category individual whether they are full-time on this acquisition or part-time.  Enter "F" for full-time or "P" for part-time.</t>
  </si>
  <si>
    <t xml:space="preserve">In column E, the Offeror shall insert a "K" if the worker will be performing at the Contractor's facility or a "G" if it will be performing in the Government Spaces.  </t>
  </si>
  <si>
    <t>Insert applicable indirect rates and apply accordingly.  For example, if there are multiple fringe rates, insert separately and apply accordinly.</t>
  </si>
  <si>
    <t>For each subcontractor, enter the subcontractor name, total hours, and total amount  for each period of performance.</t>
  </si>
  <si>
    <t>Please note if more subcontractors are needed, the contractor may add additional rows to accommodate them, but ensure integrity of formulas.</t>
  </si>
  <si>
    <t>The prime should insert the subcontractor handling charge, if any.</t>
  </si>
  <si>
    <t>The prime should insert the fixed fee rate applied to its cost excluding subcontractor labor.</t>
  </si>
  <si>
    <t>The prime should insert the fixed fee rate it is applying to the subcontractor labor, if any.</t>
  </si>
  <si>
    <t>Under Other Direct Costs, the prime contractor should separate by Travel, Material and NMCI as applicable.</t>
  </si>
  <si>
    <t>Apply indirects to the Other Direct Costs if applicable and if in compliance with the RFP instructions.</t>
  </si>
  <si>
    <t>On the Summary tab, break out all costs by CLIN. Ensure that the total costs of the CLINs match Section B and the total on the Cost Summary Spreadsheet</t>
  </si>
  <si>
    <t>When submitting this file, the instructions may be deleted.</t>
  </si>
  <si>
    <t>Instructions for Subcontractors:</t>
  </si>
  <si>
    <t>Replace Prime Contractor with Subcontractor in A7, A8, A13, and A20.</t>
  </si>
  <si>
    <r>
      <t xml:space="preserve">Enter all subcontractor employee names in Column A (starting at row 9) </t>
    </r>
    <r>
      <rPr>
        <b/>
        <sz val="11"/>
        <rFont val="Arial"/>
        <family val="2"/>
      </rPr>
      <t>If necessary, insert additional rows--but ensure integrity of formulas.</t>
    </r>
  </si>
  <si>
    <r>
      <t>Enter all subcontractor labor categories in Column C (starting at row 9)</t>
    </r>
    <r>
      <rPr>
        <b/>
        <sz val="11"/>
        <rFont val="Arial"/>
        <family val="2"/>
      </rPr>
      <t xml:space="preserve"> If necessary, insert additional rows--but ensure integrity of formulas.  </t>
    </r>
    <r>
      <rPr>
        <sz val="11"/>
        <rFont val="Arial"/>
        <family val="2"/>
      </rPr>
      <t>In column C, the Offeror should insert the title of the labor category it will be utilizing.  The Offeror is not required to utilize the Government's labor categories, however, each proposed labor category should appear opposite of the government labor category it is comparable to. Please note, in evaluation, the Offeror's proposal will be compared to the Government Estimate in terms of hours and labor categories. Also, labor categories with more than one person providing service shall be listed multiple times for each person performing work.  For example, if the offeror proposes four Senior Analysts, then the labor category Senior Analyst shall be listed four times along with their applicable rates and information.</t>
    </r>
  </si>
  <si>
    <r>
      <t>The worksheets of the workbook should all be formatted for printing on</t>
    </r>
    <r>
      <rPr>
        <b/>
        <sz val="11"/>
        <rFont val="Arial"/>
        <family val="2"/>
      </rPr>
      <t xml:space="preserve"> letter-size paper, without requiring "adjustments."</t>
    </r>
    <r>
      <rPr>
        <sz val="11"/>
        <rFont val="Arial"/>
        <family val="2"/>
      </rPr>
      <t xml:space="preserve">  It may be formatted for either landscape or portrait.  DO NOT FORMAT FOR LEGAL SIZE PAPER.</t>
    </r>
  </si>
  <si>
    <t>For subcontractor cost summary sheets, delete Rows 22-48.</t>
  </si>
  <si>
    <t>COST SUMMARY SPREADSHEET</t>
  </si>
  <si>
    <t>Prime Offeror Name:</t>
  </si>
  <si>
    <t xml:space="preserve">Subcontractor Name (if applicable): </t>
  </si>
  <si>
    <t>Base Period</t>
  </si>
  <si>
    <t>Option Period 1</t>
  </si>
  <si>
    <t>Option Period 2</t>
  </si>
  <si>
    <t>Option Period 3</t>
  </si>
  <si>
    <t>Option Period 4</t>
  </si>
  <si>
    <t>Option Period 5</t>
  </si>
  <si>
    <t>Total for All Periods</t>
  </si>
  <si>
    <t>Cost Elements</t>
  </si>
  <si>
    <t>Government Labor Category</t>
  </si>
  <si>
    <t>Proposed Labor Category</t>
  </si>
  <si>
    <t>F/P</t>
  </si>
  <si>
    <t>Site</t>
  </si>
  <si>
    <t>Rate</t>
  </si>
  <si>
    <t>Hours</t>
  </si>
  <si>
    <t>Amount</t>
  </si>
  <si>
    <t>Prime Contractor Labor Cost</t>
  </si>
  <si>
    <t>Prime Contractor Direct Labor</t>
  </si>
  <si>
    <t>Employee Name 1</t>
  </si>
  <si>
    <t>Employee Name 2</t>
  </si>
  <si>
    <t>Etc.</t>
  </si>
  <si>
    <t>Total Direct Labor Cost</t>
  </si>
  <si>
    <t>Prime Contractor Indirect Labor Cost</t>
  </si>
  <si>
    <t>Overhead</t>
  </si>
  <si>
    <t>Fringe Benefits</t>
  </si>
  <si>
    <t>G&amp;A</t>
  </si>
  <si>
    <t>Total Indirect Labor Cost</t>
  </si>
  <si>
    <t>Total Direct and Indirect Labor cost</t>
  </si>
  <si>
    <t>COM</t>
  </si>
  <si>
    <t>Total Prime Contractor Labor Cost</t>
  </si>
  <si>
    <t>Subcontractor Labor Cost</t>
  </si>
  <si>
    <t>Subcontractor proposed cost and fee</t>
  </si>
  <si>
    <t>Subcontractor 1</t>
  </si>
  <si>
    <t>Subcontractor 2</t>
  </si>
  <si>
    <t>Total proposed subcontractor labor cost and fee</t>
  </si>
  <si>
    <t>Prime contractor pass through (not including fee)</t>
  </si>
  <si>
    <t>Handling</t>
  </si>
  <si>
    <t>Other (if any)</t>
  </si>
  <si>
    <t>Total pass through (not including fee)</t>
  </si>
  <si>
    <t>Total Subcontractor Cost including pass through</t>
  </si>
  <si>
    <t>Total Labor Cost (Prime and Subcontractor Labor)</t>
  </si>
  <si>
    <t>Fixed Fee</t>
  </si>
  <si>
    <t xml:space="preserve">Prime Contractor Fee for Prime Contractor Labor </t>
  </si>
  <si>
    <t>Prime Contractor Fee for Subcontractor Labor *</t>
  </si>
  <si>
    <t>Total Fee (for Prime and Subcontractor Labor)</t>
  </si>
  <si>
    <t>Total Labor Cost Plus Fixed Fee (CPFF)</t>
  </si>
  <si>
    <t>Other Direct Costs</t>
  </si>
  <si>
    <t xml:space="preserve">Other Direct Costs (ODCs) </t>
  </si>
  <si>
    <t>Any adders to ODCs such as G&amp;A (cost only - no fee)</t>
  </si>
  <si>
    <t>Total ODCs</t>
  </si>
  <si>
    <t>Total CPFF all CLINs (Labor and ODCs)</t>
  </si>
  <si>
    <t>Grand Total of CPFF all CLINs</t>
  </si>
  <si>
    <t>Pass Through Analysis - Total for All Years</t>
  </si>
  <si>
    <t>Percent</t>
  </si>
  <si>
    <t>Pass Through Amount (not including fee)</t>
  </si>
  <si>
    <t>Total Pass Through Amount (including fee)</t>
  </si>
  <si>
    <t>Maximum Pass Through Allowed by SeaPort-e IDIQ Contract</t>
  </si>
  <si>
    <t>Fee Analysis - Total for All Years</t>
  </si>
  <si>
    <t>Fixed Fee for Labor Performed by Prime Contractor</t>
  </si>
  <si>
    <t>Maximum Fixed Fee Allowed by SeaPort-e IDIQ Contract</t>
  </si>
  <si>
    <t xml:space="preserve">*  When analyzing pass through costs, the Government will consider prime offeror fee on subcontractor price as an element of pass through as explained in the Section H Savings Clause of the MACs.  In Section B, however, prime offeror fee on subcontractor price is a fee element rather than a cost element.  Prime offeror fee on subcontractor price should be included in the fee column (rather than the cost column) of Section B.
</t>
  </si>
  <si>
    <t>CLIN Summary Sheet</t>
  </si>
  <si>
    <t>CLINS</t>
  </si>
  <si>
    <t>CLIN Description</t>
  </si>
  <si>
    <t>Total Hours</t>
  </si>
  <si>
    <t>Total Cost</t>
  </si>
  <si>
    <t>Total Fixed Fee</t>
  </si>
  <si>
    <t>Total Value $</t>
  </si>
  <si>
    <t>X001</t>
  </si>
  <si>
    <t>X002</t>
  </si>
  <si>
    <t>X003</t>
  </si>
  <si>
    <t>X004</t>
  </si>
  <si>
    <t>X005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</si>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</sst>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8" x14ac:knownFonts="1">
    <font>
      <sz val="10"/>
      <name val="Arial"/>
    </font>
    <font>
      <sz val="10"/>
      <name val="Arial"/>
    </font>
    <font>
      <b/>
      <sz val="8"/>
      <name val="Arial"/>
      <family val="2"/>
    </font>
    <font>
      <sz val="8"/>
      <name val="Arial"/>
      <family val="2"/>
    </font>
    <font>
      <sz val="10"/>
      <name val="Arial"/>
      <family val="2"/>
    </font>
    <font>
      <sz val="11"/>
      <name val="Arial"/>
      <family val="2"/>
    </font>
    <font>
      <b/>
      <sz val="11"/>
      <name val="Arial"/>
      <family val="2"/>
    </font>
    <font>
      <b/>
      <sz val="10"/>
      <name val="Arial"/>
      <family val="2"/>
    </font>
  </fonts>
  <fills count="6">
    <fill>
      <patternFill patternType="none"/>
    </fill>
    <fill>
      <patternFill patternType="gray125"/>
    </fill>
    <fill>
      <patternFill patternType="solid">
        <fgColor indexed="22"/>
        <bgColor indexed="64"/>
      </patternFill>
    </fill>
    <fill>
      <patternFill patternType="solid">
        <fgColor rgb="FFFFFF99"/>
        <bgColor indexed="64"/>
      </patternFill>
    </fill>
    <fill>
      <patternFill patternType="solid">
        <fgColor rgb="FFCCFFCC"/>
        <bgColor indexed="64"/>
      </patternFill>
    </fill>
    <fill>
      <patternFill patternType="solid">
        <fgColor rgb="FFFFFF00"/>
        <bgColor indexed="64"/>
      </patternFill>
    </fill>
  </fills>
  <borders count="32">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94">
    <xf numFmtId="0" fontId="0" fillId="0" borderId="0" xfId="0"/>
    <xf numFmtId="0" fontId="2" fillId="0" borderId="0" xfId="0" applyFont="1" applyBorder="1"/>
    <xf numFmtId="0" fontId="3" fillId="0" borderId="0" xfId="0" applyFont="1"/>
    <xf numFmtId="0" fontId="2" fillId="0" borderId="0" xfId="0" applyFont="1" applyFill="1" applyBorder="1"/>
    <xf numFmtId="0" fontId="3" fillId="0" borderId="0" xfId="0" applyFont="1" applyFill="1"/>
    <xf numFmtId="0" fontId="3" fillId="0" borderId="0" xfId="0" applyFont="1" applyFill="1" applyBorder="1"/>
    <xf numFmtId="2" fontId="2" fillId="0" borderId="0" xfId="0" applyNumberFormat="1" applyFont="1" applyBorder="1" applyAlignment="1">
      <alignment horizontal="center"/>
    </xf>
    <xf numFmtId="0" fontId="2" fillId="0" borderId="1" xfId="0" applyFont="1" applyBorder="1"/>
    <xf numFmtId="0" fontId="2" fillId="0" borderId="2"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Fill="1" applyBorder="1" applyAlignment="1">
      <alignment horizontal="center"/>
    </xf>
    <xf numFmtId="0" fontId="2" fillId="0" borderId="4" xfId="0" applyFont="1" applyFill="1" applyBorder="1" applyAlignment="1">
      <alignment horizontal="center"/>
    </xf>
    <xf numFmtId="0" fontId="2" fillId="0" borderId="6" xfId="0" applyFont="1" applyBorder="1"/>
    <xf numFmtId="0" fontId="3" fillId="0" borderId="7" xfId="0" applyFont="1" applyBorder="1"/>
    <xf numFmtId="0" fontId="3" fillId="0" borderId="6" xfId="0" applyFont="1" applyBorder="1"/>
    <xf numFmtId="0" fontId="3" fillId="0" borderId="8" xfId="0" applyFont="1" applyBorder="1"/>
    <xf numFmtId="0" fontId="3" fillId="0" borderId="9" xfId="0" applyFont="1" applyBorder="1" applyAlignment="1">
      <alignment horizontal="left" indent="1"/>
    </xf>
    <xf numFmtId="0" fontId="3" fillId="0" borderId="10" xfId="0" applyFont="1" applyBorder="1"/>
    <xf numFmtId="0" fontId="3" fillId="0" borderId="9" xfId="0" applyFont="1" applyBorder="1"/>
    <xf numFmtId="0" fontId="3" fillId="0" borderId="11" xfId="0" applyFont="1" applyBorder="1"/>
    <xf numFmtId="0" fontId="2" fillId="0" borderId="9" xfId="0" applyFont="1" applyBorder="1"/>
    <xf numFmtId="0" fontId="2" fillId="0" borderId="10" xfId="0" applyFont="1" applyBorder="1"/>
    <xf numFmtId="0" fontId="3" fillId="0" borderId="9" xfId="0" applyFont="1" applyBorder="1" applyAlignment="1">
      <alignment horizontal="left" indent="3"/>
    </xf>
    <xf numFmtId="0" fontId="2" fillId="0" borderId="9" xfId="0" applyFont="1" applyBorder="1" applyAlignment="1">
      <alignment horizontal="left"/>
    </xf>
    <xf numFmtId="0" fontId="2" fillId="0" borderId="3" xfId="0" applyFont="1" applyBorder="1" applyAlignment="1">
      <alignment horizontal="left"/>
    </xf>
    <xf numFmtId="0" fontId="3" fillId="0" borderId="4" xfId="0" applyFont="1" applyBorder="1"/>
    <xf numFmtId="0" fontId="3" fillId="0" borderId="3" xfId="0" applyFont="1" applyBorder="1"/>
    <xf numFmtId="0" fontId="3" fillId="0" borderId="5" xfId="0" applyFont="1" applyBorder="1"/>
    <xf numFmtId="0" fontId="2" fillId="0" borderId="12" xfId="0" applyFont="1" applyBorder="1"/>
    <xf numFmtId="0" fontId="2" fillId="0" borderId="13" xfId="0" applyFont="1" applyBorder="1" applyAlignment="1">
      <alignment horizontal="center"/>
    </xf>
    <xf numFmtId="0" fontId="2" fillId="0" borderId="14" xfId="0" applyFont="1" applyBorder="1" applyAlignment="1">
      <alignment horizontal="center"/>
    </xf>
    <xf numFmtId="0" fontId="3" fillId="0" borderId="15" xfId="0" applyFont="1" applyBorder="1" applyAlignment="1">
      <alignment horizontal="left"/>
    </xf>
    <xf numFmtId="164" fontId="3" fillId="0" borderId="16" xfId="0" applyNumberFormat="1" applyFont="1" applyBorder="1"/>
    <xf numFmtId="0" fontId="3" fillId="2" borderId="17" xfId="0" applyFont="1" applyFill="1" applyBorder="1"/>
    <xf numFmtId="0" fontId="3" fillId="0" borderId="18" xfId="0" applyFont="1" applyFill="1" applyBorder="1" applyAlignment="1">
      <alignment horizontal="left"/>
    </xf>
    <xf numFmtId="164" fontId="3" fillId="0" borderId="19" xfId="0" applyNumberFormat="1" applyFont="1" applyBorder="1"/>
    <xf numFmtId="0" fontId="3" fillId="0" borderId="20" xfId="0" applyFont="1" applyFill="1" applyBorder="1" applyAlignment="1">
      <alignment horizontal="left"/>
    </xf>
    <xf numFmtId="0" fontId="3" fillId="2" borderId="21" xfId="0" applyFont="1" applyFill="1" applyBorder="1"/>
    <xf numFmtId="0" fontId="3" fillId="0" borderId="22" xfId="0" applyFont="1" applyFill="1" applyBorder="1" applyAlignment="1">
      <alignment horizontal="left"/>
    </xf>
    <xf numFmtId="164" fontId="3" fillId="0" borderId="23" xfId="0" applyNumberFormat="1" applyFont="1" applyBorder="1"/>
    <xf numFmtId="9" fontId="3" fillId="2" borderId="24" xfId="1" applyFont="1" applyFill="1" applyBorder="1"/>
    <xf numFmtId="9" fontId="3" fillId="2" borderId="25" xfId="1" applyFont="1" applyFill="1" applyBorder="1"/>
    <xf numFmtId="9" fontId="3" fillId="0" borderId="25" xfId="1" applyFont="1" applyFill="1" applyBorder="1" applyAlignment="1">
      <alignment horizontal="center"/>
    </xf>
    <xf numFmtId="9" fontId="3" fillId="0" borderId="26" xfId="1" applyFont="1" applyBorder="1" applyAlignment="1">
      <alignment horizontal="center"/>
    </xf>
    <xf numFmtId="9" fontId="3" fillId="0" borderId="24" xfId="1" applyFont="1" applyFill="1" applyBorder="1"/>
    <xf numFmtId="0" fontId="2" fillId="0" borderId="0" xfId="0" applyFont="1" applyBorder="1" applyAlignment="1">
      <alignment horizontal="left"/>
    </xf>
    <xf numFmtId="0" fontId="3" fillId="0" borderId="0" xfId="0" applyFont="1" applyBorder="1"/>
    <xf numFmtId="0" fontId="2" fillId="0" borderId="0" xfId="0" applyFont="1"/>
    <xf numFmtId="0" fontId="5" fillId="0" borderId="0" xfId="0" applyFont="1" applyFill="1" applyBorder="1" applyAlignment="1">
      <alignment horizontal="center" vertical="top" wrapText="1"/>
    </xf>
    <xf numFmtId="0" fontId="6" fillId="0" borderId="0" xfId="0" applyFont="1" applyBorder="1" applyAlignment="1">
      <alignment horizontal="center" vertical="top" wrapText="1"/>
    </xf>
    <xf numFmtId="0" fontId="5" fillId="0" borderId="0" xfId="0" applyFont="1" applyBorder="1" applyAlignment="1">
      <alignment horizontal="center" vertical="top" wrapText="1"/>
    </xf>
    <xf numFmtId="0" fontId="6" fillId="0" borderId="0" xfId="0" applyFont="1" applyBorder="1" applyAlignment="1">
      <alignment horizontal="left" vertical="top" wrapText="1"/>
    </xf>
    <xf numFmtId="0" fontId="5" fillId="0" borderId="0" xfId="0" applyFont="1" applyFill="1" applyBorder="1" applyAlignment="1">
      <alignment horizontal="left" vertical="top" wrapText="1"/>
    </xf>
    <xf numFmtId="0" fontId="5" fillId="0" borderId="0" xfId="0" applyFont="1" applyBorder="1" applyAlignment="1">
      <alignment horizontal="center"/>
    </xf>
    <xf numFmtId="0" fontId="5" fillId="0" borderId="0" xfId="0" applyFont="1" applyBorder="1" applyAlignment="1">
      <alignment horizontal="left" vertical="top" wrapText="1"/>
    </xf>
    <xf numFmtId="0" fontId="5" fillId="0" borderId="0" xfId="0" applyFont="1" applyFill="1" applyBorder="1" applyAlignment="1">
      <alignment vertical="top" wrapText="1"/>
    </xf>
    <xf numFmtId="0" fontId="5" fillId="0" borderId="0" xfId="0" applyFont="1" applyBorder="1" applyAlignment="1">
      <alignment wrapText="1"/>
    </xf>
    <xf numFmtId="0" fontId="3" fillId="3" borderId="9" xfId="0" applyFont="1" applyFill="1" applyBorder="1" applyAlignment="1">
      <alignment horizontal="left" indent="3"/>
    </xf>
    <xf numFmtId="0" fontId="3" fillId="3" borderId="9" xfId="0" applyFont="1" applyFill="1" applyBorder="1"/>
    <xf numFmtId="0" fontId="3" fillId="3" borderId="11" xfId="0" applyFont="1" applyFill="1" applyBorder="1"/>
    <xf numFmtId="0" fontId="3" fillId="3" borderId="6" xfId="0" applyFont="1" applyFill="1" applyBorder="1"/>
    <xf numFmtId="0" fontId="3" fillId="4" borderId="7" xfId="0" applyFont="1" applyFill="1" applyBorder="1"/>
    <xf numFmtId="0" fontId="3" fillId="4" borderId="10" xfId="0" applyFont="1" applyFill="1" applyBorder="1"/>
    <xf numFmtId="0" fontId="3" fillId="4" borderId="11" xfId="0" applyFont="1" applyFill="1" applyBorder="1"/>
    <xf numFmtId="0" fontId="3" fillId="4" borderId="4" xfId="0" applyFont="1" applyFill="1" applyBorder="1"/>
    <xf numFmtId="0" fontId="5" fillId="5" borderId="0" xfId="0" applyFont="1" applyFill="1" applyBorder="1" applyAlignment="1">
      <alignment horizontal="left" vertical="top" wrapText="1"/>
    </xf>
    <xf numFmtId="0" fontId="6" fillId="0" borderId="0" xfId="0" applyFont="1" applyFill="1" applyBorder="1" applyAlignment="1">
      <alignment horizontal="left" vertical="top" wrapText="1"/>
    </xf>
    <xf numFmtId="0" fontId="2" fillId="0" borderId="2" xfId="0" applyFont="1" applyFill="1" applyBorder="1"/>
    <xf numFmtId="0" fontId="3" fillId="0" borderId="7" xfId="0" applyFont="1" applyFill="1" applyBorder="1"/>
    <xf numFmtId="0" fontId="3" fillId="0" borderId="10" xfId="0" applyFont="1" applyFill="1" applyBorder="1"/>
    <xf numFmtId="0" fontId="2" fillId="0" borderId="10" xfId="0" applyFont="1" applyFill="1" applyBorder="1"/>
    <xf numFmtId="0" fontId="3" fillId="0" borderId="4" xfId="0" applyFont="1" applyFill="1" applyBorder="1"/>
    <xf numFmtId="0" fontId="2" fillId="0" borderId="0" xfId="0" applyFont="1" applyBorder="1" applyAlignment="1">
      <alignment horizontal="center"/>
    </xf>
    <xf numFmtId="0" fontId="3" fillId="2" borderId="0" xfId="0" applyFont="1" applyFill="1" applyBorder="1"/>
    <xf numFmtId="9" fontId="3" fillId="2" borderId="0" xfId="1" applyFont="1" applyFill="1" applyBorder="1"/>
    <xf numFmtId="9" fontId="3" fillId="0" borderId="0" xfId="1" applyFont="1" applyFill="1" applyBorder="1" applyAlignment="1">
      <alignment horizontal="center"/>
    </xf>
    <xf numFmtId="9" fontId="3" fillId="0" borderId="0" xfId="1" applyFont="1" applyBorder="1" applyAlignment="1">
      <alignment horizontal="center"/>
    </xf>
    <xf numFmtId="9" fontId="3" fillId="0" borderId="0" xfId="1" applyFont="1" applyFill="1" applyBorder="1"/>
    <xf numFmtId="0" fontId="7" fillId="0" borderId="11" xfId="0" applyFont="1" applyBorder="1"/>
    <xf numFmtId="0" fontId="0" fillId="0" borderId="11" xfId="0" applyBorder="1"/>
    <xf numFmtId="0" fontId="2" fillId="0" borderId="11" xfId="0" applyFont="1" applyBorder="1" applyAlignment="1">
      <alignment horizontal="center"/>
    </xf>
    <xf numFmtId="0" fontId="7" fillId="0" borderId="11" xfId="0" applyFont="1" applyFill="1" applyBorder="1"/>
    <xf numFmtId="0" fontId="4" fillId="0" borderId="11" xfId="0" applyFont="1" applyBorder="1"/>
    <xf numFmtId="0" fontId="3" fillId="0" borderId="11" xfId="0" applyFont="1" applyFill="1" applyBorder="1"/>
    <xf numFmtId="0" fontId="4" fillId="0" borderId="11" xfId="0" applyFont="1" applyFill="1" applyBorder="1"/>
    <xf numFmtId="0" fontId="7" fillId="0" borderId="27" xfId="0" applyFont="1" applyFill="1" applyBorder="1"/>
    <xf numFmtId="0" fontId="3" fillId="4" borderId="28" xfId="0" applyFont="1" applyFill="1" applyBorder="1"/>
    <xf numFmtId="0" fontId="3" fillId="0" borderId="28" xfId="0" applyFont="1" applyFill="1" applyBorder="1"/>
    <xf numFmtId="0" fontId="2" fillId="0" borderId="29" xfId="0" applyFont="1" applyBorder="1" applyAlignment="1">
      <alignment horizontal="center"/>
    </xf>
    <xf numFmtId="0" fontId="2" fillId="0" borderId="30" xfId="0" applyFont="1" applyBorder="1" applyAlignment="1">
      <alignment horizontal="center"/>
    </xf>
    <xf numFmtId="0" fontId="2" fillId="0" borderId="31" xfId="0" applyFont="1" applyBorder="1" applyAlignment="1">
      <alignment horizontal="center"/>
    </xf>
    <xf numFmtId="0" fontId="3" fillId="0" borderId="0" xfId="0" applyFont="1" applyAlignment="1">
      <alignment horizontal="left" wrapText="1"/>
    </xf>
    <xf numFmtId="0" fontId="3"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workbookViewId="0">
      <selection activeCell="B36" sqref="B36"/>
    </sheetView>
  </sheetViews>
  <sheetFormatPr defaultRowHeight="12.75" x14ac:dyDescent="0.2"/>
  <cols>
    <col min="1" max="1" width="3.28515625" bestFit="1" customWidth="1"/>
    <col min="2" max="2" width="91.28515625" customWidth="1"/>
  </cols>
  <sheetData>
    <row r="1" spans="1:2" ht="15" x14ac:dyDescent="0.2">
      <c r="A1" s="49"/>
      <c r="B1" s="50" t="s">
        <v>0</v>
      </c>
    </row>
    <row r="2" spans="1:2" ht="14.25" x14ac:dyDescent="0.2">
      <c r="A2" s="49">
        <v>1</v>
      </c>
      <c r="B2" s="55" t="s">
        <v>1</v>
      </c>
    </row>
    <row r="3" spans="1:2" ht="30" x14ac:dyDescent="0.2">
      <c r="A3" s="49">
        <v>2</v>
      </c>
      <c r="B3" s="55" t="s">
        <v>2</v>
      </c>
    </row>
    <row r="4" spans="1:2" ht="144.75" x14ac:dyDescent="0.2">
      <c r="A4" s="49">
        <v>3</v>
      </c>
      <c r="B4" s="55" t="s">
        <v>3</v>
      </c>
    </row>
    <row r="5" spans="1:2" ht="28.5" x14ac:dyDescent="0.2">
      <c r="A5" s="49">
        <v>4</v>
      </c>
      <c r="B5" s="66" t="s">
        <v>4</v>
      </c>
    </row>
    <row r="6" spans="1:2" ht="44.25" x14ac:dyDescent="0.2">
      <c r="A6" s="49">
        <v>5</v>
      </c>
      <c r="B6" s="53" t="s">
        <v>5</v>
      </c>
    </row>
    <row r="7" spans="1:2" ht="28.5" x14ac:dyDescent="0.2">
      <c r="A7" s="49">
        <v>6</v>
      </c>
      <c r="B7" s="53" t="s">
        <v>6</v>
      </c>
    </row>
    <row r="8" spans="1:2" ht="15" x14ac:dyDescent="0.2">
      <c r="A8" s="49">
        <v>7</v>
      </c>
      <c r="B8" s="67" t="s">
        <v>7</v>
      </c>
    </row>
    <row r="9" spans="1:2" ht="28.5" x14ac:dyDescent="0.2">
      <c r="A9" s="49">
        <v>8</v>
      </c>
      <c r="B9" s="56" t="s">
        <v>8</v>
      </c>
    </row>
    <row r="10" spans="1:2" ht="28.5" x14ac:dyDescent="0.2">
      <c r="A10" s="49">
        <v>9</v>
      </c>
      <c r="B10" s="53" t="s">
        <v>9</v>
      </c>
    </row>
    <row r="11" spans="1:2" ht="28.5" x14ac:dyDescent="0.2">
      <c r="A11" s="54">
        <v>10</v>
      </c>
      <c r="B11" s="53" t="s">
        <v>10</v>
      </c>
    </row>
    <row r="12" spans="1:2" ht="28.5" x14ac:dyDescent="0.2">
      <c r="A12" s="49">
        <v>11</v>
      </c>
      <c r="B12" s="55" t="s">
        <v>11</v>
      </c>
    </row>
    <row r="13" spans="1:2" ht="30" x14ac:dyDescent="0.2">
      <c r="A13" s="49">
        <v>12</v>
      </c>
      <c r="B13" s="52" t="s">
        <v>12</v>
      </c>
    </row>
    <row r="14" spans="1:2" ht="14.25" x14ac:dyDescent="0.2">
      <c r="A14" s="49">
        <v>13</v>
      </c>
      <c r="B14" s="55" t="s">
        <v>13</v>
      </c>
    </row>
    <row r="15" spans="1:2" ht="14.25" x14ac:dyDescent="0.2">
      <c r="A15" s="51">
        <v>14</v>
      </c>
      <c r="B15" s="55" t="s">
        <v>14</v>
      </c>
    </row>
    <row r="16" spans="1:2" ht="14.25" x14ac:dyDescent="0.2">
      <c r="A16" s="51">
        <v>15</v>
      </c>
      <c r="B16" s="55" t="s">
        <v>15</v>
      </c>
    </row>
    <row r="17" spans="1:2" ht="28.5" x14ac:dyDescent="0.2">
      <c r="A17" s="51">
        <v>16</v>
      </c>
      <c r="B17" s="53" t="s">
        <v>16</v>
      </c>
    </row>
    <row r="18" spans="1:2" ht="28.5" x14ac:dyDescent="0.2">
      <c r="A18" s="51">
        <v>17</v>
      </c>
      <c r="B18" s="55" t="s">
        <v>17</v>
      </c>
    </row>
    <row r="19" spans="1:2" ht="28.5" x14ac:dyDescent="0.2">
      <c r="A19" s="51">
        <v>18</v>
      </c>
      <c r="B19" s="55" t="s">
        <v>18</v>
      </c>
    </row>
    <row r="20" spans="1:2" ht="14.25" x14ac:dyDescent="0.2">
      <c r="A20" s="51">
        <v>19</v>
      </c>
      <c r="B20" s="55" t="s">
        <v>19</v>
      </c>
    </row>
    <row r="21" spans="1:2" ht="14.25" x14ac:dyDescent="0.2">
      <c r="A21" s="51"/>
      <c r="B21" s="55"/>
    </row>
    <row r="22" spans="1:2" ht="15" x14ac:dyDescent="0.2">
      <c r="A22" s="51"/>
      <c r="B22" s="52"/>
    </row>
    <row r="23" spans="1:2" ht="15" x14ac:dyDescent="0.2">
      <c r="A23" s="49"/>
      <c r="B23" s="50" t="s">
        <v>20</v>
      </c>
    </row>
    <row r="24" spans="1:2" ht="14.25" x14ac:dyDescent="0.2">
      <c r="A24" s="49">
        <v>1</v>
      </c>
      <c r="B24" s="55" t="s">
        <v>1</v>
      </c>
    </row>
    <row r="25" spans="1:2" ht="14.25" x14ac:dyDescent="0.2">
      <c r="A25" s="49"/>
      <c r="B25" s="53" t="s">
        <v>21</v>
      </c>
    </row>
    <row r="26" spans="1:2" ht="30" x14ac:dyDescent="0.2">
      <c r="A26" s="49">
        <v>2</v>
      </c>
      <c r="B26" s="53" t="s">
        <v>22</v>
      </c>
    </row>
    <row r="27" spans="1:2" ht="144" x14ac:dyDescent="0.2">
      <c r="A27" s="49">
        <v>3</v>
      </c>
      <c r="B27" s="53" t="s">
        <v>23</v>
      </c>
    </row>
    <row r="28" spans="1:2" ht="28.5" x14ac:dyDescent="0.2">
      <c r="A28" s="49">
        <v>4</v>
      </c>
      <c r="B28" s="66" t="s">
        <v>4</v>
      </c>
    </row>
    <row r="29" spans="1:2" ht="44.25" x14ac:dyDescent="0.2">
      <c r="A29" s="49">
        <v>5</v>
      </c>
      <c r="B29" s="53" t="s">
        <v>24</v>
      </c>
    </row>
    <row r="30" spans="1:2" ht="28.5" x14ac:dyDescent="0.2">
      <c r="A30" s="49">
        <v>6</v>
      </c>
      <c r="B30" s="53" t="s">
        <v>6</v>
      </c>
    </row>
    <row r="31" spans="1:2" ht="15" x14ac:dyDescent="0.2">
      <c r="A31" s="49">
        <v>7</v>
      </c>
      <c r="B31" s="67" t="s">
        <v>7</v>
      </c>
    </row>
    <row r="32" spans="1:2" ht="28.5" x14ac:dyDescent="0.2">
      <c r="A32" s="49">
        <v>8</v>
      </c>
      <c r="B32" s="56" t="s">
        <v>8</v>
      </c>
    </row>
    <row r="33" spans="1:2" ht="28.5" x14ac:dyDescent="0.2">
      <c r="A33" s="49">
        <v>9</v>
      </c>
      <c r="B33" s="53" t="s">
        <v>9</v>
      </c>
    </row>
    <row r="34" spans="1:2" ht="28.5" x14ac:dyDescent="0.2">
      <c r="A34" s="49">
        <v>10</v>
      </c>
      <c r="B34" s="53" t="s">
        <v>10</v>
      </c>
    </row>
    <row r="35" spans="1:2" ht="14.25" x14ac:dyDescent="0.2">
      <c r="A35" s="49">
        <v>11</v>
      </c>
      <c r="B35" s="53" t="s">
        <v>25</v>
      </c>
    </row>
    <row r="36" spans="1:2" ht="14.25" x14ac:dyDescent="0.2">
      <c r="A36" s="49">
        <v>12</v>
      </c>
      <c r="B36" s="53" t="s">
        <v>19</v>
      </c>
    </row>
    <row r="37" spans="1:2" ht="14.25" x14ac:dyDescent="0.2">
      <c r="A37" s="49"/>
      <c r="B37" s="53"/>
    </row>
    <row r="38" spans="1:2" ht="14.25" x14ac:dyDescent="0.2">
      <c r="A38" s="49"/>
      <c r="B38" s="56"/>
    </row>
    <row r="39" spans="1:2" ht="14.25" x14ac:dyDescent="0.2">
      <c r="A39" s="49"/>
      <c r="B39" s="56"/>
    </row>
    <row r="40" spans="1:2" ht="14.25" x14ac:dyDescent="0.2">
      <c r="A40" s="49"/>
      <c r="B40" s="56"/>
    </row>
    <row r="41" spans="1:2" ht="14.25" x14ac:dyDescent="0.2">
      <c r="A41" s="49"/>
      <c r="B41" s="56"/>
    </row>
    <row r="42" spans="1:2" ht="14.25" x14ac:dyDescent="0.2">
      <c r="A42" s="49"/>
      <c r="B42" s="56"/>
    </row>
    <row r="43" spans="1:2" ht="14.25" x14ac:dyDescent="0.2">
      <c r="A43" s="49"/>
      <c r="B43" s="56"/>
    </row>
    <row r="44" spans="1:2" ht="14.25" x14ac:dyDescent="0.2">
      <c r="A44" s="49"/>
      <c r="B44" s="56"/>
    </row>
    <row r="45" spans="1:2" ht="14.25" x14ac:dyDescent="0.2">
      <c r="A45" s="49"/>
      <c r="B45" s="56"/>
    </row>
    <row r="46" spans="1:2" ht="14.25" x14ac:dyDescent="0.2">
      <c r="A46" s="49"/>
      <c r="B46" s="56"/>
    </row>
    <row r="47" spans="1:2" ht="14.25" x14ac:dyDescent="0.2">
      <c r="A47" s="49"/>
      <c r="B47" s="56"/>
    </row>
    <row r="48" spans="1:2" ht="14.25" x14ac:dyDescent="0.2">
      <c r="A48" s="49"/>
      <c r="B48" s="56"/>
    </row>
    <row r="49" spans="1:2" ht="14.25" x14ac:dyDescent="0.2">
      <c r="A49" s="49"/>
      <c r="B49" s="56"/>
    </row>
    <row r="50" spans="1:2" ht="14.25" x14ac:dyDescent="0.2">
      <c r="A50" s="49"/>
      <c r="B50" s="56"/>
    </row>
    <row r="51" spans="1:2" ht="14.25" x14ac:dyDescent="0.2">
      <c r="A51" s="49"/>
      <c r="B51" s="56"/>
    </row>
    <row r="52" spans="1:2" ht="14.25" x14ac:dyDescent="0.2">
      <c r="A52" s="49"/>
      <c r="B52" s="56"/>
    </row>
    <row r="53" spans="1:2" ht="14.25" x14ac:dyDescent="0.2">
      <c r="A53" s="49"/>
      <c r="B53" s="56"/>
    </row>
    <row r="54" spans="1:2" ht="14.25" x14ac:dyDescent="0.2">
      <c r="A54" s="49"/>
      <c r="B54" s="56"/>
    </row>
    <row r="55" spans="1:2" ht="14.25" x14ac:dyDescent="0.2">
      <c r="A55" s="49"/>
      <c r="B55" s="56"/>
    </row>
    <row r="56" spans="1:2" ht="14.25" x14ac:dyDescent="0.2">
      <c r="A56" s="49"/>
      <c r="B56" s="57"/>
    </row>
    <row r="57" spans="1:2" ht="14.25" x14ac:dyDescent="0.2">
      <c r="A57" s="54"/>
      <c r="B57" s="57"/>
    </row>
    <row r="58" spans="1:2" ht="14.25" x14ac:dyDescent="0.2">
      <c r="A58" s="54"/>
      <c r="B58" s="56"/>
    </row>
    <row r="59" spans="1:2" ht="14.25" x14ac:dyDescent="0.2">
      <c r="A59" s="54"/>
      <c r="B59" s="56"/>
    </row>
    <row r="60" spans="1:2" ht="14.25" x14ac:dyDescent="0.2">
      <c r="A60" s="49"/>
      <c r="B60" s="57"/>
    </row>
    <row r="61" spans="1:2" ht="14.25" x14ac:dyDescent="0.2">
      <c r="A61" s="49"/>
      <c r="B61" s="56"/>
    </row>
    <row r="62" spans="1:2" ht="14.25" x14ac:dyDescent="0.2">
      <c r="A62" s="49"/>
      <c r="B62" s="56"/>
    </row>
    <row r="63" spans="1:2" ht="14.25" x14ac:dyDescent="0.2">
      <c r="A63" s="49"/>
      <c r="B63" s="56"/>
    </row>
    <row r="64" spans="1:2" ht="14.25" x14ac:dyDescent="0.2">
      <c r="A64" s="49"/>
      <c r="B64" s="56"/>
    </row>
  </sheetData>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7"/>
  <sheetViews>
    <sheetView workbookViewId="0">
      <pane xSplit="3" ySplit="6" topLeftCell="W7" activePane="bottomRight" state="frozen"/>
      <selection pane="topRight" activeCell="C1" sqref="C1"/>
      <selection pane="bottomLeft" activeCell="A10" sqref="A10"/>
      <selection pane="bottomRight" activeCell="B8" sqref="B8"/>
    </sheetView>
  </sheetViews>
  <sheetFormatPr defaultRowHeight="11.25" x14ac:dyDescent="0.2"/>
  <cols>
    <col min="1" max="1" width="47.28515625" style="2" customWidth="1"/>
    <col min="2" max="3" width="23.85546875" style="2" bestFit="1" customWidth="1"/>
    <col min="4" max="5" width="5.7109375" style="2" customWidth="1"/>
    <col min="6" max="7" width="9.140625" style="2"/>
    <col min="8" max="8" width="7.5703125" style="2" customWidth="1"/>
    <col min="9" max="9" width="9.140625" style="2"/>
    <col min="10" max="10" width="8" style="2" customWidth="1"/>
    <col min="11" max="13" width="7.5703125" style="2" customWidth="1"/>
    <col min="14" max="16384" width="9.140625" style="2"/>
  </cols>
  <sheetData>
    <row r="1" spans="1:25" x14ac:dyDescent="0.2">
      <c r="A1" s="1" t="s">
        <v>26</v>
      </c>
    </row>
    <row r="2" spans="1:25" s="4" customFormat="1" ht="6" customHeight="1" x14ac:dyDescent="0.2">
      <c r="A2" s="3"/>
    </row>
    <row r="3" spans="1:25" s="4" customFormat="1" x14ac:dyDescent="0.2">
      <c r="A3" s="5" t="s">
        <v>27</v>
      </c>
      <c r="B3" s="5"/>
      <c r="C3" s="5"/>
      <c r="D3" s="5"/>
      <c r="E3" s="5"/>
    </row>
    <row r="4" spans="1:25" s="4" customFormat="1" ht="12" thickBot="1" x14ac:dyDescent="0.25">
      <c r="A4" s="5" t="s">
        <v>28</v>
      </c>
      <c r="B4" s="5"/>
      <c r="C4" s="5"/>
      <c r="D4" s="5"/>
      <c r="E4" s="5"/>
    </row>
    <row r="5" spans="1:25" ht="12" thickBot="1" x14ac:dyDescent="0.25">
      <c r="A5" s="1"/>
      <c r="B5" s="6"/>
      <c r="C5" s="6"/>
      <c r="D5" s="6"/>
      <c r="E5" s="6"/>
      <c r="F5" s="89" t="s">
        <v>29</v>
      </c>
      <c r="G5" s="90"/>
      <c r="H5" s="91"/>
      <c r="I5" s="89" t="s">
        <v>30</v>
      </c>
      <c r="J5" s="90"/>
      <c r="K5" s="91"/>
      <c r="L5" s="89" t="s">
        <v>31</v>
      </c>
      <c r="M5" s="90"/>
      <c r="N5" s="91"/>
      <c r="O5" s="89" t="s">
        <v>32</v>
      </c>
      <c r="P5" s="90"/>
      <c r="Q5" s="91"/>
      <c r="R5" s="89" t="s">
        <v>33</v>
      </c>
      <c r="S5" s="90"/>
      <c r="T5" s="91"/>
      <c r="U5" s="89" t="s">
        <v>34</v>
      </c>
      <c r="V5" s="90"/>
      <c r="W5" s="91"/>
      <c r="X5" s="89" t="s">
        <v>35</v>
      </c>
      <c r="Y5" s="91"/>
    </row>
    <row r="6" spans="1:25" ht="12" thickBot="1" x14ac:dyDescent="0.25">
      <c r="A6" s="7" t="s">
        <v>36</v>
      </c>
      <c r="B6" s="68" t="s">
        <v>37</v>
      </c>
      <c r="C6" s="8" t="s">
        <v>38</v>
      </c>
      <c r="D6" s="8" t="s">
        <v>39</v>
      </c>
      <c r="E6" s="8" t="s">
        <v>40</v>
      </c>
      <c r="F6" s="9" t="s">
        <v>41</v>
      </c>
      <c r="G6" s="11" t="s">
        <v>42</v>
      </c>
      <c r="H6" s="12" t="s">
        <v>43</v>
      </c>
      <c r="I6" s="9" t="s">
        <v>41</v>
      </c>
      <c r="J6" s="11" t="s">
        <v>42</v>
      </c>
      <c r="K6" s="12" t="s">
        <v>43</v>
      </c>
      <c r="L6" s="9" t="s">
        <v>41</v>
      </c>
      <c r="M6" s="11" t="s">
        <v>42</v>
      </c>
      <c r="N6" s="12" t="s">
        <v>43</v>
      </c>
      <c r="O6" s="9" t="s">
        <v>41</v>
      </c>
      <c r="P6" s="11" t="s">
        <v>42</v>
      </c>
      <c r="Q6" s="12" t="s">
        <v>43</v>
      </c>
      <c r="R6" s="9" t="s">
        <v>41</v>
      </c>
      <c r="S6" s="11" t="s">
        <v>42</v>
      </c>
      <c r="T6" s="12" t="s">
        <v>43</v>
      </c>
      <c r="U6" s="9" t="s">
        <v>41</v>
      </c>
      <c r="V6" s="11" t="s">
        <v>42</v>
      </c>
      <c r="W6" s="12" t="s">
        <v>43</v>
      </c>
      <c r="X6" s="9" t="s">
        <v>42</v>
      </c>
      <c r="Y6" s="10" t="s">
        <v>43</v>
      </c>
    </row>
    <row r="7" spans="1:25" x14ac:dyDescent="0.2">
      <c r="A7" s="13" t="s">
        <v>44</v>
      </c>
      <c r="B7" s="69"/>
      <c r="C7" s="14"/>
      <c r="D7" s="14"/>
      <c r="E7" s="14"/>
      <c r="F7" s="15"/>
      <c r="G7" s="16"/>
      <c r="H7" s="14"/>
      <c r="I7" s="15"/>
      <c r="J7" s="16"/>
      <c r="K7" s="14"/>
      <c r="L7" s="15"/>
      <c r="M7" s="16"/>
      <c r="N7" s="14"/>
      <c r="O7" s="15"/>
      <c r="P7" s="16"/>
      <c r="Q7" s="14"/>
      <c r="R7" s="15"/>
      <c r="S7" s="16"/>
      <c r="T7" s="14"/>
      <c r="U7" s="15"/>
      <c r="V7" s="16"/>
      <c r="W7" s="14"/>
      <c r="X7" s="15"/>
      <c r="Y7" s="14"/>
    </row>
    <row r="8" spans="1:25" x14ac:dyDescent="0.2">
      <c r="A8" s="17" t="s">
        <v>45</v>
      </c>
      <c r="B8" s="70"/>
      <c r="C8" s="18"/>
      <c r="D8" s="14"/>
      <c r="E8" s="14"/>
      <c r="F8" s="19"/>
      <c r="G8" s="20"/>
      <c r="H8" s="14"/>
      <c r="I8" s="19"/>
      <c r="J8" s="20"/>
      <c r="K8" s="14"/>
      <c r="L8" s="19"/>
      <c r="M8" s="20"/>
      <c r="N8" s="14"/>
      <c r="O8" s="19"/>
      <c r="P8" s="20"/>
      <c r="Q8" s="14"/>
      <c r="R8" s="19"/>
      <c r="S8" s="20"/>
      <c r="T8" s="14"/>
      <c r="U8" s="19"/>
      <c r="V8" s="20"/>
      <c r="W8" s="14"/>
      <c r="X8" s="15"/>
      <c r="Y8" s="14"/>
    </row>
    <row r="9" spans="1:25" x14ac:dyDescent="0.2">
      <c r="A9" s="58" t="s">
        <v>46</v>
      </c>
      <c r="B9" s="69"/>
      <c r="C9" s="18"/>
      <c r="D9" s="14"/>
      <c r="E9" s="14"/>
      <c r="F9" s="59"/>
      <c r="G9" s="60"/>
      <c r="H9" s="62">
        <f>F9*G9</f>
        <v>0</v>
      </c>
      <c r="I9" s="19"/>
      <c r="J9" s="60"/>
      <c r="K9" s="62">
        <f>I9*J9</f>
        <v>0</v>
      </c>
      <c r="L9" s="19"/>
      <c r="M9" s="60"/>
      <c r="N9" s="62">
        <f>L9*M9</f>
        <v>0</v>
      </c>
      <c r="O9" s="19"/>
      <c r="P9" s="60"/>
      <c r="Q9" s="62">
        <f>O9*P9</f>
        <v>0</v>
      </c>
      <c r="R9" s="19"/>
      <c r="S9" s="60"/>
      <c r="T9" s="62">
        <f>R9*S9</f>
        <v>0</v>
      </c>
      <c r="U9" s="19"/>
      <c r="V9" s="60"/>
      <c r="W9" s="62">
        <f>U9*V9</f>
        <v>0</v>
      </c>
      <c r="X9" s="61">
        <f t="shared" ref="X9:Y12" si="0">G9+J9+M9+P9+S9+V9</f>
        <v>0</v>
      </c>
      <c r="Y9" s="62">
        <f t="shared" si="0"/>
        <v>0</v>
      </c>
    </row>
    <row r="10" spans="1:25" x14ac:dyDescent="0.2">
      <c r="A10" s="58" t="s">
        <v>47</v>
      </c>
      <c r="B10" s="69"/>
      <c r="C10" s="18"/>
      <c r="D10" s="14"/>
      <c r="E10" s="14"/>
      <c r="F10" s="59"/>
      <c r="G10" s="60"/>
      <c r="H10" s="62">
        <f>F10*G10</f>
        <v>0</v>
      </c>
      <c r="I10" s="19"/>
      <c r="J10" s="60"/>
      <c r="K10" s="62">
        <f>I10*J10</f>
        <v>0</v>
      </c>
      <c r="L10" s="19"/>
      <c r="M10" s="60"/>
      <c r="N10" s="62">
        <f>L10*M10</f>
        <v>0</v>
      </c>
      <c r="O10" s="19"/>
      <c r="P10" s="60"/>
      <c r="Q10" s="62">
        <f>O10*P10</f>
        <v>0</v>
      </c>
      <c r="R10" s="19"/>
      <c r="S10" s="60"/>
      <c r="T10" s="62">
        <f>R10*S10</f>
        <v>0</v>
      </c>
      <c r="U10" s="19"/>
      <c r="V10" s="60"/>
      <c r="W10" s="62">
        <f>U10*V10</f>
        <v>0</v>
      </c>
      <c r="X10" s="61">
        <f t="shared" si="0"/>
        <v>0</v>
      </c>
      <c r="Y10" s="62">
        <f t="shared" si="0"/>
        <v>0</v>
      </c>
    </row>
    <row r="11" spans="1:25" x14ac:dyDescent="0.2">
      <c r="A11" s="58" t="s">
        <v>48</v>
      </c>
      <c r="B11" s="69"/>
      <c r="C11" s="18"/>
      <c r="D11" s="14"/>
      <c r="E11" s="14"/>
      <c r="F11" s="59"/>
      <c r="G11" s="60"/>
      <c r="H11" s="62">
        <f>F11*G11</f>
        <v>0</v>
      </c>
      <c r="I11" s="19"/>
      <c r="J11" s="60"/>
      <c r="K11" s="62">
        <f>I11*J11</f>
        <v>0</v>
      </c>
      <c r="L11" s="19"/>
      <c r="M11" s="60"/>
      <c r="N11" s="62">
        <f>L11*M11</f>
        <v>0</v>
      </c>
      <c r="O11" s="19"/>
      <c r="P11" s="60"/>
      <c r="Q11" s="62">
        <f>O11*P11</f>
        <v>0</v>
      </c>
      <c r="R11" s="19"/>
      <c r="S11" s="60"/>
      <c r="T11" s="62">
        <f>R11*S11</f>
        <v>0</v>
      </c>
      <c r="U11" s="19"/>
      <c r="V11" s="60"/>
      <c r="W11" s="62">
        <f>U11*V11</f>
        <v>0</v>
      </c>
      <c r="X11" s="61">
        <f t="shared" si="0"/>
        <v>0</v>
      </c>
      <c r="Y11" s="62">
        <f t="shared" si="0"/>
        <v>0</v>
      </c>
    </row>
    <row r="12" spans="1:25" x14ac:dyDescent="0.2">
      <c r="A12" s="23" t="s">
        <v>49</v>
      </c>
      <c r="B12" s="70"/>
      <c r="C12" s="18"/>
      <c r="D12" s="14"/>
      <c r="E12" s="14"/>
      <c r="F12" s="19"/>
      <c r="G12" s="20"/>
      <c r="H12" s="63">
        <f>SUM(H7:H11)</f>
        <v>0</v>
      </c>
      <c r="I12" s="19"/>
      <c r="J12" s="20"/>
      <c r="K12" s="63">
        <f>SUM(K7:K11)</f>
        <v>0</v>
      </c>
      <c r="L12" s="19"/>
      <c r="M12" s="20"/>
      <c r="N12" s="63">
        <f>SUM(N7:N11)</f>
        <v>0</v>
      </c>
      <c r="O12" s="19"/>
      <c r="P12" s="20"/>
      <c r="Q12" s="63">
        <f>SUM(Q7:Q11)</f>
        <v>0</v>
      </c>
      <c r="R12" s="19"/>
      <c r="S12" s="20"/>
      <c r="T12" s="63">
        <f>SUM(T7:T11)</f>
        <v>0</v>
      </c>
      <c r="U12" s="19"/>
      <c r="V12" s="20"/>
      <c r="W12" s="63">
        <f>SUM(W7:W11)</f>
        <v>0</v>
      </c>
      <c r="X12" s="19">
        <f t="shared" si="0"/>
        <v>0</v>
      </c>
      <c r="Y12" s="63">
        <f t="shared" si="0"/>
        <v>0</v>
      </c>
    </row>
    <row r="13" spans="1:25" x14ac:dyDescent="0.2">
      <c r="A13" s="17" t="s">
        <v>50</v>
      </c>
      <c r="B13" s="70"/>
      <c r="C13" s="18"/>
      <c r="D13" s="14"/>
      <c r="E13" s="14"/>
      <c r="F13" s="19"/>
      <c r="G13" s="20"/>
      <c r="H13" s="18"/>
      <c r="I13" s="19"/>
      <c r="J13" s="20"/>
      <c r="K13" s="18"/>
      <c r="L13" s="19"/>
      <c r="M13" s="20"/>
      <c r="N13" s="18"/>
      <c r="O13" s="19"/>
      <c r="P13" s="20"/>
      <c r="Q13" s="18"/>
      <c r="R13" s="19"/>
      <c r="S13" s="20"/>
      <c r="T13" s="18"/>
      <c r="U13" s="19"/>
      <c r="V13" s="20"/>
      <c r="W13" s="18"/>
      <c r="X13" s="19"/>
      <c r="Y13" s="18"/>
    </row>
    <row r="14" spans="1:25" x14ac:dyDescent="0.2">
      <c r="A14" s="23" t="s">
        <v>51</v>
      </c>
      <c r="B14" s="70"/>
      <c r="C14" s="18"/>
      <c r="D14" s="14"/>
      <c r="E14" s="14"/>
      <c r="F14" s="59"/>
      <c r="G14" s="20"/>
      <c r="H14" s="63"/>
      <c r="I14" s="19"/>
      <c r="J14" s="20"/>
      <c r="K14" s="63"/>
      <c r="L14" s="19"/>
      <c r="M14" s="20"/>
      <c r="N14" s="63"/>
      <c r="O14" s="19"/>
      <c r="P14" s="20"/>
      <c r="Q14" s="63"/>
      <c r="R14" s="19"/>
      <c r="S14" s="20"/>
      <c r="T14" s="63"/>
      <c r="U14" s="19"/>
      <c r="V14" s="20"/>
      <c r="W14" s="63"/>
      <c r="X14" s="19"/>
      <c r="Y14" s="63"/>
    </row>
    <row r="15" spans="1:25" x14ac:dyDescent="0.2">
      <c r="A15" s="23" t="s">
        <v>52</v>
      </c>
      <c r="B15" s="70"/>
      <c r="C15" s="18"/>
      <c r="D15" s="14"/>
      <c r="E15" s="14"/>
      <c r="F15" s="59"/>
      <c r="G15" s="20"/>
      <c r="H15" s="63"/>
      <c r="I15" s="19"/>
      <c r="J15" s="20"/>
      <c r="K15" s="63"/>
      <c r="L15" s="19"/>
      <c r="M15" s="20"/>
      <c r="N15" s="63"/>
      <c r="O15" s="19"/>
      <c r="P15" s="20"/>
      <c r="Q15" s="63"/>
      <c r="R15" s="19"/>
      <c r="S15" s="20"/>
      <c r="T15" s="63"/>
      <c r="U15" s="19"/>
      <c r="V15" s="20"/>
      <c r="W15" s="63"/>
      <c r="X15" s="19"/>
      <c r="Y15" s="63"/>
    </row>
    <row r="16" spans="1:25" x14ac:dyDescent="0.2">
      <c r="A16" s="23" t="s">
        <v>53</v>
      </c>
      <c r="B16" s="70"/>
      <c r="C16" s="18"/>
      <c r="D16" s="14"/>
      <c r="E16" s="14"/>
      <c r="F16" s="59"/>
      <c r="G16" s="20"/>
      <c r="H16" s="63"/>
      <c r="I16" s="19"/>
      <c r="J16" s="20"/>
      <c r="K16" s="63"/>
      <c r="L16" s="19"/>
      <c r="M16" s="20"/>
      <c r="N16" s="63"/>
      <c r="O16" s="19"/>
      <c r="P16" s="20"/>
      <c r="Q16" s="63"/>
      <c r="R16" s="19"/>
      <c r="S16" s="20"/>
      <c r="T16" s="63"/>
      <c r="U16" s="19"/>
      <c r="V16" s="20"/>
      <c r="W16" s="63"/>
      <c r="X16" s="19"/>
      <c r="Y16" s="63"/>
    </row>
    <row r="17" spans="1:25" x14ac:dyDescent="0.2">
      <c r="A17" s="23" t="s">
        <v>54</v>
      </c>
      <c r="B17" s="70"/>
      <c r="C17" s="18"/>
      <c r="D17" s="14"/>
      <c r="E17" s="14"/>
      <c r="F17" s="19"/>
      <c r="G17" s="20"/>
      <c r="H17" s="63"/>
      <c r="I17" s="19"/>
      <c r="J17" s="20"/>
      <c r="K17" s="63"/>
      <c r="L17" s="19"/>
      <c r="M17" s="20"/>
      <c r="N17" s="63"/>
      <c r="O17" s="19"/>
      <c r="P17" s="20"/>
      <c r="Q17" s="63"/>
      <c r="R17" s="19"/>
      <c r="S17" s="20"/>
      <c r="T17" s="63"/>
      <c r="U17" s="19"/>
      <c r="V17" s="20"/>
      <c r="W17" s="63"/>
      <c r="X17" s="19"/>
      <c r="Y17" s="63"/>
    </row>
    <row r="18" spans="1:25" x14ac:dyDescent="0.2">
      <c r="A18" s="17" t="s">
        <v>55</v>
      </c>
      <c r="B18" s="70"/>
      <c r="C18" s="18"/>
      <c r="D18" s="14"/>
      <c r="E18" s="14"/>
      <c r="F18" s="19"/>
      <c r="G18" s="20"/>
      <c r="H18" s="63">
        <f>H12+H17</f>
        <v>0</v>
      </c>
      <c r="I18" s="19"/>
      <c r="J18" s="20"/>
      <c r="K18" s="63">
        <f>K12+K17</f>
        <v>0</v>
      </c>
      <c r="L18" s="19"/>
      <c r="M18" s="20"/>
      <c r="N18" s="63">
        <f>N12+N17</f>
        <v>0</v>
      </c>
      <c r="O18" s="19"/>
      <c r="P18" s="20"/>
      <c r="Q18" s="63">
        <f>Q12+Q17</f>
        <v>0</v>
      </c>
      <c r="R18" s="19"/>
      <c r="S18" s="20"/>
      <c r="T18" s="63">
        <f>T12+T17</f>
        <v>0</v>
      </c>
      <c r="U18" s="19"/>
      <c r="V18" s="20"/>
      <c r="W18" s="63">
        <f>W12+W17</f>
        <v>0</v>
      </c>
      <c r="X18" s="19"/>
      <c r="Y18" s="63">
        <f>H18+K18+N18+Q18+T18+W18</f>
        <v>0</v>
      </c>
    </row>
    <row r="19" spans="1:25" x14ac:dyDescent="0.2">
      <c r="A19" s="17" t="s">
        <v>56</v>
      </c>
      <c r="B19" s="70"/>
      <c r="C19" s="18"/>
      <c r="D19" s="14"/>
      <c r="E19" s="14"/>
      <c r="F19" s="19"/>
      <c r="G19" s="20"/>
      <c r="H19" s="63"/>
      <c r="I19" s="19"/>
      <c r="J19" s="20"/>
      <c r="K19" s="63"/>
      <c r="L19" s="19"/>
      <c r="M19" s="20"/>
      <c r="N19" s="63"/>
      <c r="O19" s="19"/>
      <c r="P19" s="20"/>
      <c r="Q19" s="63"/>
      <c r="R19" s="19"/>
      <c r="S19" s="20"/>
      <c r="T19" s="63"/>
      <c r="U19" s="19"/>
      <c r="V19" s="20"/>
      <c r="W19" s="63"/>
      <c r="X19" s="19"/>
      <c r="Y19" s="63"/>
    </row>
    <row r="20" spans="1:25" x14ac:dyDescent="0.2">
      <c r="A20" s="17" t="s">
        <v>57</v>
      </c>
      <c r="B20" s="70"/>
      <c r="C20" s="18"/>
      <c r="D20" s="14"/>
      <c r="E20" s="14"/>
      <c r="F20" s="19"/>
      <c r="G20" s="20"/>
      <c r="H20" s="63">
        <f>H18+H19</f>
        <v>0</v>
      </c>
      <c r="I20" s="19"/>
      <c r="J20" s="20"/>
      <c r="K20" s="63">
        <f>K18+K19</f>
        <v>0</v>
      </c>
      <c r="L20" s="19"/>
      <c r="M20" s="20"/>
      <c r="N20" s="63">
        <f>N18+N19</f>
        <v>0</v>
      </c>
      <c r="O20" s="19"/>
      <c r="P20" s="20"/>
      <c r="Q20" s="63">
        <f>Q18+Q19</f>
        <v>0</v>
      </c>
      <c r="R20" s="19"/>
      <c r="S20" s="20"/>
      <c r="T20" s="63">
        <f>T18+T19</f>
        <v>0</v>
      </c>
      <c r="U20" s="19"/>
      <c r="V20" s="20"/>
      <c r="W20" s="63">
        <f>W18+W19</f>
        <v>0</v>
      </c>
      <c r="X20" s="19"/>
      <c r="Y20" s="63">
        <f>H20+K20+N20+Q20+T20+W20</f>
        <v>0</v>
      </c>
    </row>
    <row r="21" spans="1:25" x14ac:dyDescent="0.2">
      <c r="A21" s="19"/>
      <c r="B21" s="70"/>
      <c r="C21" s="18"/>
      <c r="D21" s="14"/>
      <c r="E21" s="14"/>
      <c r="F21" s="19"/>
      <c r="G21" s="20"/>
      <c r="H21" s="18"/>
      <c r="I21" s="19"/>
      <c r="J21" s="20"/>
      <c r="K21" s="18"/>
      <c r="L21" s="19"/>
      <c r="M21" s="20"/>
      <c r="N21" s="18"/>
      <c r="O21" s="19"/>
      <c r="P21" s="20"/>
      <c r="Q21" s="18"/>
      <c r="R21" s="19"/>
      <c r="S21" s="20"/>
      <c r="T21" s="18"/>
      <c r="U21" s="19"/>
      <c r="V21" s="20"/>
      <c r="W21" s="18"/>
      <c r="X21" s="19"/>
      <c r="Y21" s="18"/>
    </row>
    <row r="22" spans="1:25" x14ac:dyDescent="0.2">
      <c r="A22" s="21" t="s">
        <v>58</v>
      </c>
      <c r="B22" s="70"/>
      <c r="C22" s="18"/>
      <c r="D22" s="14"/>
      <c r="E22" s="14"/>
      <c r="F22" s="19"/>
      <c r="G22" s="20"/>
      <c r="H22" s="18"/>
      <c r="I22" s="19"/>
      <c r="J22" s="20"/>
      <c r="K22" s="18"/>
      <c r="L22" s="19"/>
      <c r="M22" s="20"/>
      <c r="N22" s="18"/>
      <c r="O22" s="19"/>
      <c r="P22" s="20"/>
      <c r="Q22" s="18"/>
      <c r="R22" s="19"/>
      <c r="S22" s="20"/>
      <c r="T22" s="18"/>
      <c r="U22" s="19"/>
      <c r="V22" s="20"/>
      <c r="W22" s="18"/>
      <c r="X22" s="19"/>
      <c r="Y22" s="18"/>
    </row>
    <row r="23" spans="1:25" x14ac:dyDescent="0.2">
      <c r="A23" s="17" t="s">
        <v>59</v>
      </c>
      <c r="B23" s="70"/>
      <c r="C23" s="18"/>
      <c r="D23" s="14"/>
      <c r="E23" s="14"/>
      <c r="F23" s="19"/>
      <c r="G23" s="20"/>
      <c r="H23" s="18"/>
      <c r="I23" s="19"/>
      <c r="J23" s="20"/>
      <c r="K23" s="18"/>
      <c r="L23" s="19"/>
      <c r="M23" s="20"/>
      <c r="N23" s="18"/>
      <c r="O23" s="19"/>
      <c r="P23" s="20"/>
      <c r="Q23" s="18"/>
      <c r="R23" s="19"/>
      <c r="S23" s="20"/>
      <c r="T23" s="18"/>
      <c r="U23" s="19"/>
      <c r="V23" s="20"/>
      <c r="W23" s="18"/>
      <c r="X23" s="19"/>
      <c r="Y23" s="18"/>
    </row>
    <row r="24" spans="1:25" x14ac:dyDescent="0.2">
      <c r="A24" s="58" t="s">
        <v>60</v>
      </c>
      <c r="B24" s="71"/>
      <c r="C24" s="22"/>
      <c r="D24" s="14"/>
      <c r="E24" s="14"/>
      <c r="G24" s="64"/>
      <c r="H24" s="63"/>
      <c r="I24" s="19"/>
      <c r="J24" s="64"/>
      <c r="K24" s="63"/>
      <c r="L24" s="19"/>
      <c r="M24" s="64"/>
      <c r="N24" s="63"/>
      <c r="O24" s="19"/>
      <c r="P24" s="64"/>
      <c r="Q24" s="63"/>
      <c r="R24" s="19"/>
      <c r="S24" s="64"/>
      <c r="T24" s="63"/>
      <c r="U24" s="19"/>
      <c r="V24" s="64"/>
      <c r="W24" s="63"/>
      <c r="X24" s="19"/>
      <c r="Y24" s="63"/>
    </row>
    <row r="25" spans="1:25" x14ac:dyDescent="0.2">
      <c r="A25" s="58" t="s">
        <v>61</v>
      </c>
      <c r="B25" s="70"/>
      <c r="C25" s="18"/>
      <c r="D25" s="14"/>
      <c r="E25" s="14"/>
      <c r="F25" s="19"/>
      <c r="G25" s="64"/>
      <c r="H25" s="63"/>
      <c r="I25" s="19"/>
      <c r="J25" s="64"/>
      <c r="K25" s="63"/>
      <c r="L25" s="19"/>
      <c r="M25" s="64"/>
      <c r="N25" s="63"/>
      <c r="O25" s="19"/>
      <c r="P25" s="64"/>
      <c r="Q25" s="63"/>
      <c r="R25" s="19"/>
      <c r="S25" s="64"/>
      <c r="T25" s="63"/>
      <c r="U25" s="19"/>
      <c r="V25" s="64"/>
      <c r="W25" s="63"/>
      <c r="X25" s="19"/>
      <c r="Y25" s="63"/>
    </row>
    <row r="26" spans="1:25" x14ac:dyDescent="0.2">
      <c r="A26" s="58" t="s">
        <v>48</v>
      </c>
      <c r="B26" s="70"/>
      <c r="C26" s="18"/>
      <c r="D26" s="14"/>
      <c r="E26" s="14"/>
      <c r="F26" s="19"/>
      <c r="G26" s="64"/>
      <c r="H26" s="63"/>
      <c r="I26" s="19"/>
      <c r="J26" s="64"/>
      <c r="K26" s="63"/>
      <c r="L26" s="19"/>
      <c r="M26" s="64"/>
      <c r="N26" s="63"/>
      <c r="O26" s="19"/>
      <c r="P26" s="64"/>
      <c r="Q26" s="63"/>
      <c r="R26" s="19"/>
      <c r="S26" s="64"/>
      <c r="T26" s="63"/>
      <c r="U26" s="19"/>
      <c r="V26" s="64"/>
      <c r="W26" s="63"/>
      <c r="X26" s="19"/>
      <c r="Y26" s="63"/>
    </row>
    <row r="27" spans="1:25" x14ac:dyDescent="0.2">
      <c r="A27" s="23" t="s">
        <v>62</v>
      </c>
      <c r="B27" s="70"/>
      <c r="C27" s="18"/>
      <c r="D27" s="14"/>
      <c r="E27" s="14"/>
      <c r="F27" s="19"/>
      <c r="G27" s="64"/>
      <c r="H27" s="63">
        <f>H24+H25+H26</f>
        <v>0</v>
      </c>
      <c r="I27" s="19"/>
      <c r="J27" s="64"/>
      <c r="K27" s="63">
        <f>K24+K25+K26</f>
        <v>0</v>
      </c>
      <c r="L27" s="19"/>
      <c r="M27" s="64"/>
      <c r="N27" s="63">
        <f>N24+N25+N26</f>
        <v>0</v>
      </c>
      <c r="O27" s="19"/>
      <c r="P27" s="64"/>
      <c r="Q27" s="63">
        <f>Q24+Q25+Q26</f>
        <v>0</v>
      </c>
      <c r="R27" s="19"/>
      <c r="S27" s="64"/>
      <c r="T27" s="63">
        <f>T24+T25+T26</f>
        <v>0</v>
      </c>
      <c r="U27" s="19"/>
      <c r="V27" s="64"/>
      <c r="W27" s="63">
        <f>W24+W25+W26</f>
        <v>0</v>
      </c>
      <c r="X27" s="19"/>
      <c r="Y27" s="63">
        <f>H27+K27+N27+Q27+T27+W27</f>
        <v>0</v>
      </c>
    </row>
    <row r="28" spans="1:25" x14ac:dyDescent="0.2">
      <c r="A28" s="17" t="s">
        <v>63</v>
      </c>
      <c r="B28" s="70"/>
      <c r="C28" s="18"/>
      <c r="D28" s="14"/>
      <c r="E28" s="14"/>
      <c r="F28" s="19"/>
      <c r="G28" s="20"/>
      <c r="H28" s="18"/>
      <c r="I28" s="19"/>
      <c r="J28" s="20"/>
      <c r="K28" s="18"/>
      <c r="L28" s="19"/>
      <c r="M28" s="20"/>
      <c r="N28" s="18"/>
      <c r="O28" s="19"/>
      <c r="P28" s="20"/>
      <c r="Q28" s="18"/>
      <c r="R28" s="19"/>
      <c r="S28" s="20"/>
      <c r="T28" s="18"/>
      <c r="U28" s="19"/>
      <c r="V28" s="20"/>
      <c r="W28" s="18"/>
      <c r="X28" s="19"/>
      <c r="Y28" s="18"/>
    </row>
    <row r="29" spans="1:25" x14ac:dyDescent="0.2">
      <c r="A29" s="23" t="s">
        <v>64</v>
      </c>
      <c r="B29" s="70"/>
      <c r="C29" s="18"/>
      <c r="D29" s="14"/>
      <c r="E29" s="14"/>
      <c r="F29" s="59"/>
      <c r="G29" s="20"/>
      <c r="H29" s="63"/>
      <c r="I29" s="19"/>
      <c r="J29" s="20"/>
      <c r="K29" s="63"/>
      <c r="L29" s="19"/>
      <c r="M29" s="20"/>
      <c r="N29" s="63"/>
      <c r="O29" s="19"/>
      <c r="P29" s="20"/>
      <c r="Q29" s="63"/>
      <c r="R29" s="19"/>
      <c r="S29" s="20"/>
      <c r="T29" s="63"/>
      <c r="U29" s="19"/>
      <c r="V29" s="20"/>
      <c r="W29" s="63"/>
      <c r="X29" s="19"/>
      <c r="Y29" s="63"/>
    </row>
    <row r="30" spans="1:25" x14ac:dyDescent="0.2">
      <c r="A30" s="23" t="s">
        <v>53</v>
      </c>
      <c r="B30" s="70"/>
      <c r="C30" s="18"/>
      <c r="D30" s="14"/>
      <c r="E30" s="14"/>
      <c r="F30" s="59"/>
      <c r="G30" s="20"/>
      <c r="H30" s="63"/>
      <c r="I30" s="19"/>
      <c r="J30" s="20"/>
      <c r="K30" s="63"/>
      <c r="L30" s="19"/>
      <c r="M30" s="20"/>
      <c r="N30" s="63"/>
      <c r="O30" s="19"/>
      <c r="P30" s="20"/>
      <c r="Q30" s="63"/>
      <c r="R30" s="19"/>
      <c r="S30" s="20"/>
      <c r="T30" s="63"/>
      <c r="U30" s="19"/>
      <c r="V30" s="20"/>
      <c r="W30" s="63"/>
      <c r="X30" s="19"/>
      <c r="Y30" s="63"/>
    </row>
    <row r="31" spans="1:25" x14ac:dyDescent="0.2">
      <c r="A31" s="23" t="s">
        <v>65</v>
      </c>
      <c r="B31" s="70"/>
      <c r="C31" s="18"/>
      <c r="D31" s="14"/>
      <c r="E31" s="14"/>
      <c r="F31" s="59"/>
      <c r="G31" s="20"/>
      <c r="H31" s="63"/>
      <c r="I31" s="19"/>
      <c r="J31" s="20"/>
      <c r="K31" s="63"/>
      <c r="L31" s="19"/>
      <c r="M31" s="20"/>
      <c r="N31" s="63"/>
      <c r="O31" s="19"/>
      <c r="P31" s="20"/>
      <c r="Q31" s="63"/>
      <c r="R31" s="19"/>
      <c r="S31" s="20"/>
      <c r="T31" s="63"/>
      <c r="U31" s="19"/>
      <c r="V31" s="20"/>
      <c r="W31" s="63"/>
      <c r="X31" s="19"/>
      <c r="Y31" s="63"/>
    </row>
    <row r="32" spans="1:25" x14ac:dyDescent="0.2">
      <c r="A32" s="23" t="s">
        <v>66</v>
      </c>
      <c r="B32" s="70"/>
      <c r="C32" s="18"/>
      <c r="D32" s="14"/>
      <c r="E32" s="14"/>
      <c r="F32" s="19"/>
      <c r="G32" s="20"/>
      <c r="H32" s="18"/>
      <c r="I32" s="19"/>
      <c r="J32" s="20"/>
      <c r="K32" s="18"/>
      <c r="L32" s="19"/>
      <c r="M32" s="20"/>
      <c r="N32" s="18"/>
      <c r="O32" s="19"/>
      <c r="P32" s="20"/>
      <c r="Q32" s="18"/>
      <c r="R32" s="19"/>
      <c r="S32" s="20"/>
      <c r="T32" s="18"/>
      <c r="U32" s="19"/>
      <c r="V32" s="20"/>
      <c r="W32" s="18"/>
      <c r="X32" s="19"/>
      <c r="Y32" s="18"/>
    </row>
    <row r="33" spans="1:25" x14ac:dyDescent="0.2">
      <c r="A33" s="17" t="s">
        <v>67</v>
      </c>
      <c r="B33" s="70"/>
      <c r="C33" s="18"/>
      <c r="D33" s="14"/>
      <c r="E33" s="14"/>
      <c r="F33" s="19"/>
      <c r="G33" s="20"/>
      <c r="H33" s="18"/>
      <c r="I33" s="19"/>
      <c r="J33" s="20"/>
      <c r="K33" s="18"/>
      <c r="L33" s="19"/>
      <c r="M33" s="20"/>
      <c r="N33" s="18"/>
      <c r="O33" s="19"/>
      <c r="P33" s="20"/>
      <c r="Q33" s="18"/>
      <c r="R33" s="19"/>
      <c r="S33" s="20"/>
      <c r="T33" s="18"/>
      <c r="U33" s="19"/>
      <c r="V33" s="20"/>
      <c r="W33" s="18"/>
      <c r="X33" s="19"/>
      <c r="Y33" s="18">
        <f>H33+K33+N33+Q33+T33+W33</f>
        <v>0</v>
      </c>
    </row>
    <row r="34" spans="1:25" x14ac:dyDescent="0.2">
      <c r="A34" s="17"/>
      <c r="B34" s="70"/>
      <c r="C34" s="18"/>
      <c r="D34" s="14"/>
      <c r="E34" s="14"/>
      <c r="F34" s="19"/>
      <c r="G34" s="20"/>
      <c r="H34" s="18"/>
      <c r="I34" s="19"/>
      <c r="J34" s="20"/>
      <c r="K34" s="18"/>
      <c r="L34" s="19"/>
      <c r="M34" s="20"/>
      <c r="N34" s="18"/>
      <c r="O34" s="19"/>
      <c r="P34" s="20"/>
      <c r="Q34" s="18"/>
      <c r="R34" s="19"/>
      <c r="S34" s="20"/>
      <c r="T34" s="18"/>
      <c r="U34" s="19"/>
      <c r="V34" s="20"/>
      <c r="W34" s="18"/>
      <c r="X34" s="19"/>
      <c r="Y34" s="18"/>
    </row>
    <row r="35" spans="1:25" x14ac:dyDescent="0.2">
      <c r="A35" s="24" t="s">
        <v>68</v>
      </c>
      <c r="B35" s="70"/>
      <c r="C35" s="18"/>
      <c r="D35" s="14"/>
      <c r="E35" s="14"/>
      <c r="F35" s="19"/>
      <c r="G35" s="20"/>
      <c r="H35" s="18"/>
      <c r="I35" s="19"/>
      <c r="J35" s="20"/>
      <c r="K35" s="18"/>
      <c r="L35" s="19"/>
      <c r="M35" s="20"/>
      <c r="N35" s="18"/>
      <c r="O35" s="19"/>
      <c r="P35" s="20"/>
      <c r="Q35" s="18"/>
      <c r="R35" s="19"/>
      <c r="S35" s="20"/>
      <c r="T35" s="18"/>
      <c r="U35" s="19"/>
      <c r="V35" s="20"/>
      <c r="W35" s="18"/>
      <c r="X35" s="19"/>
      <c r="Y35" s="18"/>
    </row>
    <row r="36" spans="1:25" x14ac:dyDescent="0.2">
      <c r="A36" s="19"/>
      <c r="B36" s="70"/>
      <c r="C36" s="18"/>
      <c r="D36" s="14"/>
      <c r="E36" s="14"/>
      <c r="F36" s="19"/>
      <c r="G36" s="20"/>
      <c r="H36" s="18"/>
      <c r="I36" s="19"/>
      <c r="J36" s="20"/>
      <c r="K36" s="18"/>
      <c r="L36" s="19"/>
      <c r="M36" s="20"/>
      <c r="N36" s="18"/>
      <c r="O36" s="19"/>
      <c r="P36" s="20"/>
      <c r="Q36" s="18"/>
      <c r="R36" s="19"/>
      <c r="S36" s="20"/>
      <c r="T36" s="18"/>
      <c r="U36" s="19"/>
      <c r="V36" s="20"/>
      <c r="W36" s="18"/>
      <c r="X36" s="19"/>
      <c r="Y36" s="18"/>
    </row>
    <row r="37" spans="1:25" x14ac:dyDescent="0.2">
      <c r="A37" s="21" t="s">
        <v>69</v>
      </c>
      <c r="B37" s="70"/>
      <c r="C37" s="18"/>
      <c r="D37" s="14"/>
      <c r="E37" s="14"/>
      <c r="F37" s="19"/>
      <c r="G37" s="20"/>
      <c r="H37" s="18"/>
      <c r="I37" s="19"/>
      <c r="J37" s="20"/>
      <c r="K37" s="18"/>
      <c r="L37" s="19"/>
      <c r="M37" s="20"/>
      <c r="N37" s="18"/>
      <c r="O37" s="19"/>
      <c r="P37" s="20"/>
      <c r="Q37" s="18"/>
      <c r="R37" s="19"/>
      <c r="S37" s="20"/>
      <c r="T37" s="18"/>
      <c r="U37" s="19"/>
      <c r="V37" s="20"/>
      <c r="W37" s="18"/>
      <c r="X37" s="19"/>
      <c r="Y37" s="18"/>
    </row>
    <row r="38" spans="1:25" x14ac:dyDescent="0.2">
      <c r="A38" s="17" t="s">
        <v>70</v>
      </c>
      <c r="B38" s="70"/>
      <c r="C38" s="18"/>
      <c r="D38" s="14"/>
      <c r="E38" s="14"/>
      <c r="F38" s="19"/>
      <c r="G38" s="20"/>
      <c r="H38" s="63"/>
      <c r="I38" s="19"/>
      <c r="J38" s="20"/>
      <c r="K38" s="63"/>
      <c r="L38" s="19"/>
      <c r="M38" s="20"/>
      <c r="N38" s="63"/>
      <c r="O38" s="19"/>
      <c r="P38" s="20"/>
      <c r="Q38" s="63"/>
      <c r="R38" s="19"/>
      <c r="S38" s="20"/>
      <c r="T38" s="63"/>
      <c r="U38" s="19"/>
      <c r="V38" s="20"/>
      <c r="W38" s="63"/>
      <c r="X38" s="19"/>
      <c r="Y38" s="63"/>
    </row>
    <row r="39" spans="1:25" x14ac:dyDescent="0.2">
      <c r="A39" s="17" t="s">
        <v>71</v>
      </c>
      <c r="B39" s="70"/>
      <c r="C39" s="18"/>
      <c r="D39" s="14"/>
      <c r="E39" s="14"/>
      <c r="F39" s="19"/>
      <c r="G39" s="20"/>
      <c r="H39" s="63"/>
      <c r="I39" s="19"/>
      <c r="J39" s="20"/>
      <c r="K39" s="63"/>
      <c r="L39" s="19"/>
      <c r="M39" s="20"/>
      <c r="N39" s="63"/>
      <c r="O39" s="19"/>
      <c r="P39" s="20"/>
      <c r="Q39" s="63"/>
      <c r="R39" s="19"/>
      <c r="S39" s="20"/>
      <c r="T39" s="63"/>
      <c r="U39" s="19"/>
      <c r="V39" s="20"/>
      <c r="W39" s="63"/>
      <c r="X39" s="19"/>
      <c r="Y39" s="63"/>
    </row>
    <row r="40" spans="1:25" x14ac:dyDescent="0.2">
      <c r="A40" s="17" t="s">
        <v>72</v>
      </c>
      <c r="B40" s="70"/>
      <c r="C40" s="18"/>
      <c r="D40" s="14"/>
      <c r="E40" s="14"/>
      <c r="F40" s="19"/>
      <c r="G40" s="20"/>
      <c r="H40" s="18"/>
      <c r="I40" s="19"/>
      <c r="J40" s="20"/>
      <c r="K40" s="18"/>
      <c r="L40" s="19"/>
      <c r="M40" s="20"/>
      <c r="N40" s="18"/>
      <c r="O40" s="19"/>
      <c r="P40" s="20"/>
      <c r="Q40" s="18"/>
      <c r="R40" s="19"/>
      <c r="S40" s="20"/>
      <c r="T40" s="18"/>
      <c r="U40" s="19"/>
      <c r="V40" s="20"/>
      <c r="W40" s="18"/>
      <c r="X40" s="19"/>
      <c r="Y40" s="18"/>
    </row>
    <row r="41" spans="1:25" x14ac:dyDescent="0.2">
      <c r="A41" s="17"/>
      <c r="B41" s="70"/>
      <c r="C41" s="18"/>
      <c r="D41" s="14"/>
      <c r="E41" s="14"/>
      <c r="F41" s="19"/>
      <c r="G41" s="20"/>
      <c r="H41" s="18"/>
      <c r="I41" s="19"/>
      <c r="J41" s="20"/>
      <c r="K41" s="18"/>
      <c r="L41" s="19"/>
      <c r="M41" s="20"/>
      <c r="N41" s="18"/>
      <c r="O41" s="19"/>
      <c r="P41" s="20"/>
      <c r="Q41" s="18"/>
      <c r="R41" s="19"/>
      <c r="S41" s="20"/>
      <c r="T41" s="18"/>
      <c r="U41" s="19"/>
      <c r="V41" s="20"/>
      <c r="W41" s="18"/>
      <c r="X41" s="19"/>
      <c r="Y41" s="18"/>
    </row>
    <row r="42" spans="1:25" x14ac:dyDescent="0.2">
      <c r="A42" s="24" t="s">
        <v>73</v>
      </c>
      <c r="B42" s="70"/>
      <c r="C42" s="18"/>
      <c r="D42" s="14"/>
      <c r="E42" s="14"/>
      <c r="F42" s="19"/>
      <c r="G42" s="20"/>
      <c r="H42" s="18"/>
      <c r="I42" s="19"/>
      <c r="J42" s="20"/>
      <c r="K42" s="18"/>
      <c r="L42" s="19"/>
      <c r="M42" s="20"/>
      <c r="N42" s="18"/>
      <c r="O42" s="19"/>
      <c r="P42" s="20"/>
      <c r="Q42" s="18"/>
      <c r="R42" s="19"/>
      <c r="S42" s="20"/>
      <c r="T42" s="18"/>
      <c r="U42" s="19"/>
      <c r="V42" s="20"/>
      <c r="W42" s="18"/>
      <c r="X42" s="19"/>
      <c r="Y42" s="18">
        <f>H42+K42+N42+Q42+T42+W42</f>
        <v>0</v>
      </c>
    </row>
    <row r="43" spans="1:25" x14ac:dyDescent="0.2">
      <c r="A43" s="17"/>
      <c r="B43" s="70"/>
      <c r="C43" s="18"/>
      <c r="D43" s="14"/>
      <c r="E43" s="14"/>
      <c r="F43" s="19"/>
      <c r="G43" s="20"/>
      <c r="H43" s="18"/>
      <c r="I43" s="19"/>
      <c r="J43" s="20"/>
      <c r="K43" s="18"/>
      <c r="L43" s="19"/>
      <c r="M43" s="20"/>
      <c r="N43" s="18"/>
      <c r="O43" s="19"/>
      <c r="P43" s="20"/>
      <c r="Q43" s="18"/>
      <c r="R43" s="19"/>
      <c r="S43" s="20"/>
      <c r="T43" s="18"/>
      <c r="U43" s="19"/>
      <c r="V43" s="20"/>
      <c r="W43" s="18"/>
      <c r="X43" s="19"/>
      <c r="Y43" s="18"/>
    </row>
    <row r="44" spans="1:25" x14ac:dyDescent="0.2">
      <c r="A44" s="24" t="s">
        <v>74</v>
      </c>
      <c r="B44" s="70"/>
      <c r="C44" s="18"/>
      <c r="D44" s="14"/>
      <c r="E44" s="14"/>
      <c r="F44" s="19"/>
      <c r="G44" s="20"/>
      <c r="H44" s="18"/>
      <c r="I44" s="19"/>
      <c r="J44" s="20"/>
      <c r="K44" s="18"/>
      <c r="L44" s="19"/>
      <c r="M44" s="20"/>
      <c r="N44" s="18"/>
      <c r="O44" s="19"/>
      <c r="P44" s="20"/>
      <c r="Q44" s="18"/>
      <c r="R44" s="19"/>
      <c r="S44" s="20"/>
      <c r="T44" s="18"/>
      <c r="U44" s="19"/>
      <c r="V44" s="20"/>
      <c r="W44" s="18"/>
      <c r="X44" s="19"/>
      <c r="Y44" s="18"/>
    </row>
    <row r="45" spans="1:25" x14ac:dyDescent="0.2">
      <c r="A45" s="17" t="s">
        <v>75</v>
      </c>
      <c r="B45" s="70"/>
      <c r="C45" s="18"/>
      <c r="D45" s="14"/>
      <c r="E45" s="14"/>
      <c r="F45" s="19"/>
      <c r="G45" s="20"/>
      <c r="H45" s="63"/>
      <c r="I45" s="19"/>
      <c r="J45" s="20"/>
      <c r="K45" s="63"/>
      <c r="L45" s="19"/>
      <c r="M45" s="20"/>
      <c r="N45" s="63"/>
      <c r="O45" s="19"/>
      <c r="P45" s="20"/>
      <c r="Q45" s="63"/>
      <c r="R45" s="19"/>
      <c r="S45" s="20"/>
      <c r="T45" s="63"/>
      <c r="U45" s="19"/>
      <c r="V45" s="20"/>
      <c r="W45" s="63"/>
      <c r="X45" s="19"/>
      <c r="Y45" s="63"/>
    </row>
    <row r="46" spans="1:25" x14ac:dyDescent="0.2">
      <c r="A46" s="17" t="s">
        <v>76</v>
      </c>
      <c r="B46" s="70"/>
      <c r="C46" s="18"/>
      <c r="D46" s="14"/>
      <c r="E46" s="14"/>
      <c r="F46" s="19"/>
      <c r="G46" s="20"/>
      <c r="H46" s="63"/>
      <c r="I46" s="19"/>
      <c r="J46" s="20"/>
      <c r="K46" s="63"/>
      <c r="L46" s="19"/>
      <c r="M46" s="20"/>
      <c r="N46" s="63"/>
      <c r="O46" s="19"/>
      <c r="P46" s="20"/>
      <c r="Q46" s="63"/>
      <c r="R46" s="19"/>
      <c r="S46" s="20"/>
      <c r="T46" s="63"/>
      <c r="U46" s="19"/>
      <c r="V46" s="20"/>
      <c r="W46" s="63"/>
      <c r="X46" s="19"/>
      <c r="Y46" s="63"/>
    </row>
    <row r="47" spans="1:25" x14ac:dyDescent="0.2">
      <c r="A47" s="17" t="s">
        <v>77</v>
      </c>
      <c r="B47" s="70"/>
      <c r="C47" s="18"/>
      <c r="D47" s="14"/>
      <c r="E47" s="14"/>
      <c r="F47" s="19"/>
      <c r="G47" s="20"/>
      <c r="H47" s="63"/>
      <c r="I47" s="19"/>
      <c r="J47" s="20"/>
      <c r="K47" s="63"/>
      <c r="L47" s="19"/>
      <c r="M47" s="20"/>
      <c r="N47" s="63"/>
      <c r="O47" s="19"/>
      <c r="P47" s="20"/>
      <c r="Q47" s="63"/>
      <c r="R47" s="19"/>
      <c r="S47" s="20"/>
      <c r="T47" s="63"/>
      <c r="U47" s="19"/>
      <c r="V47" s="20"/>
      <c r="W47" s="63"/>
      <c r="X47" s="19"/>
      <c r="Y47" s="63"/>
    </row>
    <row r="48" spans="1:25" x14ac:dyDescent="0.2">
      <c r="A48" s="17"/>
      <c r="B48" s="70"/>
      <c r="C48" s="18"/>
      <c r="D48" s="14"/>
      <c r="E48" s="14"/>
      <c r="F48" s="19"/>
      <c r="G48" s="20"/>
      <c r="H48" s="18"/>
      <c r="I48" s="19"/>
      <c r="J48" s="20"/>
      <c r="K48" s="18"/>
      <c r="L48" s="19"/>
      <c r="M48" s="20"/>
      <c r="N48" s="18"/>
      <c r="O48" s="19"/>
      <c r="P48" s="20"/>
      <c r="Q48" s="18"/>
      <c r="R48" s="19"/>
      <c r="S48" s="20"/>
      <c r="T48" s="18"/>
      <c r="U48" s="19"/>
      <c r="V48" s="20"/>
      <c r="W48" s="18"/>
      <c r="X48" s="19"/>
      <c r="Y48" s="63"/>
    </row>
    <row r="49" spans="1:25" ht="12" thickBot="1" x14ac:dyDescent="0.25">
      <c r="A49" s="25" t="s">
        <v>78</v>
      </c>
      <c r="B49" s="72"/>
      <c r="C49" s="26"/>
      <c r="D49" s="14"/>
      <c r="E49" s="14"/>
      <c r="F49" s="27"/>
      <c r="G49" s="28"/>
      <c r="H49" s="65"/>
      <c r="I49" s="27"/>
      <c r="J49" s="28"/>
      <c r="K49" s="65"/>
      <c r="L49" s="27"/>
      <c r="M49" s="28"/>
      <c r="N49" s="65"/>
      <c r="O49" s="27"/>
      <c r="P49" s="28"/>
      <c r="Q49" s="65"/>
      <c r="R49" s="27"/>
      <c r="S49" s="28"/>
      <c r="T49" s="65"/>
      <c r="U49" s="27"/>
      <c r="V49" s="28"/>
      <c r="W49" s="65"/>
      <c r="X49" s="27"/>
      <c r="Y49" s="63">
        <f>H49+K49+N49+Q49+T49+W49</f>
        <v>0</v>
      </c>
    </row>
    <row r="50" spans="1:25" x14ac:dyDescent="0.2">
      <c r="A50" s="46"/>
      <c r="B50" s="47"/>
      <c r="C50" s="47"/>
      <c r="D50" s="47"/>
      <c r="E50" s="47"/>
      <c r="F50" s="47"/>
      <c r="G50" s="47"/>
      <c r="H50" s="47"/>
      <c r="I50" s="47"/>
      <c r="J50" s="47"/>
      <c r="K50" s="47"/>
      <c r="L50" s="47"/>
      <c r="M50" s="47"/>
      <c r="N50" s="47"/>
      <c r="O50" s="47"/>
      <c r="P50" s="47"/>
      <c r="Q50" s="47"/>
      <c r="R50" s="47"/>
      <c r="S50" s="47"/>
      <c r="T50" s="47"/>
      <c r="U50" s="47"/>
      <c r="V50" s="47"/>
    </row>
    <row r="51" spans="1:25" x14ac:dyDescent="0.2">
      <c r="A51" s="46"/>
      <c r="B51" s="47"/>
      <c r="C51" s="47"/>
      <c r="D51" s="47"/>
      <c r="E51" s="47"/>
      <c r="F51" s="47"/>
      <c r="G51" s="47"/>
      <c r="H51" s="47"/>
      <c r="I51" s="47"/>
      <c r="J51" s="47"/>
      <c r="K51" s="47"/>
      <c r="L51" s="47"/>
      <c r="M51" s="47"/>
      <c r="N51" s="47"/>
      <c r="O51" s="47"/>
      <c r="P51" s="47"/>
      <c r="Q51" s="47"/>
      <c r="R51" s="47"/>
      <c r="S51" s="47"/>
      <c r="T51" s="47"/>
      <c r="U51" s="47"/>
      <c r="V51" s="47"/>
    </row>
    <row r="52" spans="1:25" x14ac:dyDescent="0.2">
      <c r="A52" s="48" t="s">
        <v>79</v>
      </c>
    </row>
    <row r="53" spans="1:25" ht="12" thickBot="1" x14ac:dyDescent="0.25"/>
    <row r="54" spans="1:25" ht="12" thickBot="1" x14ac:dyDescent="0.25">
      <c r="A54" s="29" t="s">
        <v>80</v>
      </c>
      <c r="B54" s="30" t="s">
        <v>43</v>
      </c>
      <c r="C54" s="31" t="s">
        <v>81</v>
      </c>
      <c r="D54" s="73"/>
      <c r="E54" s="73"/>
    </row>
    <row r="55" spans="1:25" x14ac:dyDescent="0.2">
      <c r="A55" s="32" t="s">
        <v>59</v>
      </c>
      <c r="B55" s="33">
        <f>$Y$27</f>
        <v>0</v>
      </c>
      <c r="C55" s="34"/>
      <c r="D55" s="74"/>
      <c r="E55" s="74"/>
    </row>
    <row r="56" spans="1:25" x14ac:dyDescent="0.2">
      <c r="A56" s="35" t="s">
        <v>82</v>
      </c>
      <c r="B56" s="36">
        <f>$Y$32</f>
        <v>0</v>
      </c>
      <c r="C56" s="41"/>
      <c r="D56" s="75"/>
      <c r="E56" s="75"/>
    </row>
    <row r="57" spans="1:25" x14ac:dyDescent="0.2">
      <c r="A57" s="39" t="s">
        <v>71</v>
      </c>
      <c r="B57" s="40">
        <f>$Y$39</f>
        <v>0</v>
      </c>
      <c r="C57" s="42"/>
      <c r="D57" s="75"/>
      <c r="E57" s="75"/>
    </row>
    <row r="58" spans="1:25" x14ac:dyDescent="0.2">
      <c r="A58" s="39" t="s">
        <v>83</v>
      </c>
      <c r="B58" s="40">
        <f>B56+B57</f>
        <v>0</v>
      </c>
      <c r="C58" s="43" t="e">
        <f>B58/B55</f>
        <v>#DIV/0!</v>
      </c>
      <c r="D58" s="76"/>
      <c r="E58" s="76"/>
    </row>
    <row r="59" spans="1:25" ht="12" thickBot="1" x14ac:dyDescent="0.25">
      <c r="A59" s="37" t="s">
        <v>84</v>
      </c>
      <c r="B59" s="38"/>
      <c r="C59" s="44">
        <v>0.08</v>
      </c>
      <c r="D59" s="77"/>
      <c r="E59" s="77"/>
    </row>
    <row r="61" spans="1:25" ht="12" thickBot="1" x14ac:dyDescent="0.25"/>
    <row r="62" spans="1:25" ht="12" thickBot="1" x14ac:dyDescent="0.25">
      <c r="A62" s="29" t="s">
        <v>85</v>
      </c>
      <c r="B62" s="30" t="s">
        <v>43</v>
      </c>
      <c r="C62" s="31" t="s">
        <v>81</v>
      </c>
      <c r="D62" s="73"/>
      <c r="E62" s="73"/>
    </row>
    <row r="63" spans="1:25" x14ac:dyDescent="0.2">
      <c r="A63" s="32" t="s">
        <v>44</v>
      </c>
      <c r="B63" s="33">
        <f>$Y$20</f>
        <v>0</v>
      </c>
      <c r="C63" s="34"/>
      <c r="D63" s="74"/>
      <c r="E63" s="74"/>
    </row>
    <row r="64" spans="1:25" x14ac:dyDescent="0.2">
      <c r="A64" s="35" t="s">
        <v>86</v>
      </c>
      <c r="B64" s="36">
        <f>$Y$38</f>
        <v>0</v>
      </c>
      <c r="C64" s="45" t="e">
        <f>B64/B63</f>
        <v>#DIV/0!</v>
      </c>
      <c r="D64" s="78"/>
      <c r="E64" s="78"/>
    </row>
    <row r="65" spans="1:12" ht="12" thickBot="1" x14ac:dyDescent="0.25">
      <c r="A65" s="37" t="s">
        <v>87</v>
      </c>
      <c r="B65" s="38"/>
      <c r="C65" s="44"/>
      <c r="D65" s="77"/>
      <c r="E65" s="77"/>
    </row>
    <row r="67" spans="1:12" ht="45" customHeight="1" x14ac:dyDescent="0.2">
      <c r="A67" s="92" t="s">
        <v>88</v>
      </c>
      <c r="B67" s="92"/>
      <c r="C67" s="92"/>
      <c r="D67" s="92"/>
      <c r="E67" s="92"/>
      <c r="F67" s="92"/>
      <c r="G67" s="92"/>
      <c r="H67" s="93"/>
      <c r="I67" s="93"/>
      <c r="J67" s="93"/>
      <c r="K67" s="93"/>
      <c r="L67" s="93"/>
    </row>
  </sheetData>
  <mergeCells count="8">
    <mergeCell ref="U5:W5"/>
    <mergeCell ref="X5:Y5"/>
    <mergeCell ref="A67:L67"/>
    <mergeCell ref="O5:Q5"/>
    <mergeCell ref="R5:T5"/>
    <mergeCell ref="F5:H5"/>
    <mergeCell ref="I5:K5"/>
    <mergeCell ref="L5:N5"/>
  </mergeCells>
  <phoneticPr fontId="0" type="noConversion"/>
  <printOptions headings="1" gridLines="1"/>
  <pageMargins left="0.5" right="0.5" top="0.5" bottom="0.75" header="0.25" footer="0.25"/>
  <pageSetup scale="59" orientation="landscape" r:id="rId1"/>
  <headerFooter alignWithMargins="0">
    <oddHeader>&amp;CPage &amp;P&amp;R&amp;F</oddHeader>
    <oddFooter xml:space="preserve">&amp;LKTR: (name)&amp;CSource Selection Information - See:  FAR 2.101 and 3.104&amp;RRFP: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14"/>
  <sheetViews>
    <sheetView workbookViewId="0">
      <selection activeCell="G12" sqref="G12"/>
    </sheetView>
  </sheetViews>
  <sheetFormatPr defaultRowHeight="12.75" x14ac:dyDescent="0.2"/>
  <cols>
    <col min="1" max="1" width="20.7109375" bestFit="1" customWidth="1"/>
    <col min="2" max="2" width="21.5703125" bestFit="1" customWidth="1"/>
    <col min="3" max="4" width="21.5703125" customWidth="1"/>
    <col min="5" max="5" width="19.140625" bestFit="1" customWidth="1"/>
    <col min="6" max="6" width="15.42578125" bestFit="1" customWidth="1"/>
    <col min="7" max="7" width="21.5703125" bestFit="1" customWidth="1"/>
    <col min="8" max="8" width="10" bestFit="1" customWidth="1"/>
    <col min="9" max="9" width="21.5703125" bestFit="1" customWidth="1"/>
    <col min="10" max="10" width="10" bestFit="1" customWidth="1"/>
    <col min="11" max="11" width="21.5703125" bestFit="1" customWidth="1"/>
    <col min="12" max="12" width="10" bestFit="1" customWidth="1"/>
    <col min="13" max="13" width="21.5703125" bestFit="1" customWidth="1"/>
  </cols>
  <sheetData>
    <row r="4" spans="2:7" x14ac:dyDescent="0.2">
      <c r="B4" s="79" t="s">
        <v>89</v>
      </c>
      <c r="C4" s="79"/>
      <c r="D4" s="79"/>
      <c r="E4" s="80"/>
      <c r="F4" s="80"/>
      <c r="G4" s="80"/>
    </row>
    <row r="5" spans="2:7" x14ac:dyDescent="0.2">
      <c r="B5" s="80"/>
      <c r="C5" s="79"/>
      <c r="D5" s="79"/>
      <c r="E5" s="81"/>
      <c r="F5" s="80"/>
      <c r="G5" s="80"/>
    </row>
    <row r="6" spans="2:7" x14ac:dyDescent="0.2">
      <c r="B6" s="79" t="s">
        <v>90</v>
      </c>
      <c r="C6" s="79" t="s">
        <v>91</v>
      </c>
      <c r="D6" s="79" t="s">
        <v>92</v>
      </c>
      <c r="E6" s="86" t="s">
        <v>93</v>
      </c>
      <c r="F6" s="82" t="s">
        <v>94</v>
      </c>
      <c r="G6" s="81" t="s">
        <v>95</v>
      </c>
    </row>
    <row r="7" spans="2:7" x14ac:dyDescent="0.2">
      <c r="B7" s="58" t="s">
        <v>96</v>
      </c>
      <c r="C7" s="58"/>
      <c r="D7" s="63"/>
      <c r="E7" s="87"/>
      <c r="F7" s="87"/>
      <c r="G7" s="64"/>
    </row>
    <row r="8" spans="2:7" x14ac:dyDescent="0.2">
      <c r="B8" s="58" t="s">
        <v>97</v>
      </c>
      <c r="C8" s="58"/>
      <c r="D8" s="63"/>
      <c r="E8" s="87"/>
      <c r="F8" s="87"/>
      <c r="G8" s="64"/>
    </row>
    <row r="9" spans="2:7" x14ac:dyDescent="0.2">
      <c r="B9" s="58" t="s">
        <v>98</v>
      </c>
      <c r="C9" s="58"/>
      <c r="D9" s="63"/>
      <c r="E9" s="87"/>
      <c r="F9" s="87"/>
      <c r="G9" s="64"/>
    </row>
    <row r="10" spans="2:7" x14ac:dyDescent="0.2">
      <c r="B10" s="58" t="s">
        <v>99</v>
      </c>
      <c r="C10" s="58"/>
      <c r="D10" s="63"/>
      <c r="E10" s="87"/>
      <c r="F10" s="87"/>
      <c r="G10" s="64"/>
    </row>
    <row r="11" spans="2:7" x14ac:dyDescent="0.2">
      <c r="B11" s="58" t="s">
        <v>100</v>
      </c>
      <c r="C11" s="58"/>
      <c r="D11" s="63"/>
      <c r="E11" s="87"/>
      <c r="F11" s="87"/>
      <c r="G11" s="64"/>
    </row>
    <row r="12" spans="2:7" x14ac:dyDescent="0.2">
      <c r="B12" s="82" t="s">
        <v>101</v>
      </c>
      <c r="C12" s="82"/>
      <c r="D12" s="84"/>
      <c r="E12" s="88"/>
      <c r="F12" s="80"/>
      <c r="G12" s="80"/>
    </row>
    <row r="13" spans="2:7" x14ac:dyDescent="0.2">
      <c r="B13" s="83"/>
      <c r="C13" s="83"/>
      <c r="D13" s="85"/>
      <c r="E13" s="88"/>
      <c r="F13" s="80"/>
      <c r="G13" s="80"/>
    </row>
    <row r="14" spans="2:7" x14ac:dyDescent="0.2">
      <c r="B14" s="79"/>
      <c r="C14" s="79"/>
      <c r="D14" s="79"/>
      <c r="E14" s="88"/>
      <c r="F14" s="80"/>
      <c r="G14" s="8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05e6646-453b-4a89-b8b8-50238954e843">
      <Terms xmlns="http://schemas.microsoft.com/office/infopath/2007/PartnerControls"/>
    </lcf76f155ced4ddcb4097134ff3c332f>
    <TaxCatchAll xmlns="8a1ce89b-1a51-430c-9d40-4e9ddfecce2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9CAB7F5437F5540A9FEFB6F582F916A" ma:contentTypeVersion="13" ma:contentTypeDescription="Create a new document." ma:contentTypeScope="" ma:versionID="3ff47d1600e38fe011510fcab5f2496c">
  <xsd:schema xmlns:xsd="http://www.w3.org/2001/XMLSchema" xmlns:xs="http://www.w3.org/2001/XMLSchema" xmlns:p="http://schemas.microsoft.com/office/2006/metadata/properties" xmlns:ns1="http://schemas.microsoft.com/sharepoint/v3" xmlns:ns2="805e6646-453b-4a89-b8b8-50238954e843" xmlns:ns3="8a1ce89b-1a51-430c-9d40-4e9ddfecce20" targetNamespace="http://schemas.microsoft.com/office/2006/metadata/properties" ma:root="true" ma:fieldsID="192a4280814d2970725095a08102f3b4" ns1:_="" ns2:_="" ns3:_="">
    <xsd:import namespace="http://schemas.microsoft.com/sharepoint/v3"/>
    <xsd:import namespace="805e6646-453b-4a89-b8b8-50238954e843"/>
    <xsd:import namespace="8a1ce89b-1a51-430c-9d40-4e9ddfecce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5e6646-453b-4a89-b8b8-50238954e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1ce89b-1a51-430c-9d40-4e9ddfecce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a407365-841a-4d6b-9046-411292588dc2}" ma:internalName="TaxCatchAll" ma:showField="CatchAllData" ma:web="8a1ce89b-1a51-430c-9d40-4e9ddfecce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DBE362-B0C5-432B-A0CD-313C436CDDDC}">
  <ds:schemaRefs>
    <ds:schemaRef ds:uri="http://schemas.microsoft.com/office/2006/metadata/properties"/>
    <ds:schemaRef ds:uri="http://schemas.microsoft.com/office/2006/documentManagement/types"/>
    <ds:schemaRef ds:uri="http://schemas.microsoft.com/sharepoint/v3"/>
    <ds:schemaRef ds:uri="http://purl.org/dc/terms/"/>
    <ds:schemaRef ds:uri="805e6646-453b-4a89-b8b8-50238954e843"/>
    <ds:schemaRef ds:uri="http://purl.org/dc/dcmitype/"/>
    <ds:schemaRef ds:uri="http://schemas.microsoft.com/office/infopath/2007/PartnerControls"/>
    <ds:schemaRef ds:uri="http://purl.org/dc/elements/1.1/"/>
    <ds:schemaRef ds:uri="http://schemas.openxmlformats.org/package/2006/metadata/core-properties"/>
    <ds:schemaRef ds:uri="8a1ce89b-1a51-430c-9d40-4e9ddfecce20"/>
    <ds:schemaRef ds:uri="http://www.w3.org/XML/1998/namespace"/>
  </ds:schemaRefs>
</ds:datastoreItem>
</file>

<file path=customXml/itemProps2.xml><?xml version="1.0" encoding="utf-8"?>
<ds:datastoreItem xmlns:ds="http://schemas.openxmlformats.org/officeDocument/2006/customXml" ds:itemID="{EA3BB02E-E98E-44CE-8349-C72A1E09B086}">
  <ds:schemaRefs>
    <ds:schemaRef ds:uri="http://schemas.microsoft.com/sharepoint/v3/contenttype/forms"/>
  </ds:schemaRefs>
</ds:datastoreItem>
</file>

<file path=customXml/itemProps3.xml><?xml version="1.0" encoding="utf-8"?>
<ds:datastoreItem xmlns:ds="http://schemas.openxmlformats.org/officeDocument/2006/customXml" ds:itemID="{A1E71A4C-E875-46D5-99A8-FC9E2A212327}">
  <ds:schemaRefs>
    <ds:schemaRef ds:uri="http://schemas.microsoft.com/office/2006/metadata/longProperties"/>
  </ds:schemaRefs>
</ds:datastoreItem>
</file>

<file path=customXml/itemProps4.xml><?xml version="1.0" encoding="utf-8"?>
<ds:datastoreItem xmlns:ds="http://schemas.openxmlformats.org/officeDocument/2006/customXml" ds:itemID="{97F0EAF6-0B72-46FD-B653-E16AB9D199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05e6646-453b-4a89-b8b8-50238954e843"/>
    <ds:schemaRef ds:uri="8a1ce89b-1a51-430c-9d40-4e9ddfecce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Cost Summary Spreadsheet</vt:lpstr>
      <vt:lpstr>Summary</vt:lpstr>
    </vt:vector>
  </TitlesOfParts>
  <Manager/>
  <Company>navsea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sea02</dc:creator>
  <cp:keywords/>
  <dc:description/>
  <cp:lastModifiedBy>Cooley, Daniel</cp:lastModifiedBy>
  <cp:revision/>
  <dcterms:created xsi:type="dcterms:W3CDTF">2001-06-07T18:53:45Z</dcterms:created>
  <dcterms:modified xsi:type="dcterms:W3CDTF">2025-08-20T15:04:12Z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Organization/Competency">
    <vt:lpwstr/>
  </property>
  <property fmtid="{D5CDD505-2E9C-101B-9397-08002B2CF9AE}" pid="4" name="Contract Type">
    <vt:lpwstr>50;#Competition|009663ee-2e7e-43ac-ab56-d11334898aaf;#54;#Services|da41e22c-6439-4c20-8b44-0c87d6a4c4b3</vt:lpwstr>
  </property>
  <property fmtid="{D5CDD505-2E9C-101B-9397-08002B2CF9AE}" pid="5" name="Archive">
    <vt:lpwstr>Active</vt:lpwstr>
  </property>
  <property fmtid="{D5CDD505-2E9C-101B-9397-08002B2CF9AE}" pid="6" name="BusinessProcess">
    <vt:lpwstr>20;#Source Selection|3a09c3fe-47f8-4d39-9e8a-f91708840b0f</vt:lpwstr>
  </property>
  <property fmtid="{D5CDD505-2E9C-101B-9397-08002B2CF9AE}" pid="7" name="DocumentDescription">
    <vt:lpwstr>Cost_Summary Spreadsheet</vt:lpwstr>
  </property>
  <property fmtid="{D5CDD505-2E9C-101B-9397-08002B2CF9AE}" pid="8" name="j99b677205e24c11bc514b036b41a63c">
    <vt:lpwstr/>
  </property>
  <property fmtid="{D5CDD505-2E9C-101B-9397-08002B2CF9AE}" pid="9" name="BusinessProcessTermID">
    <vt:lpwstr>9</vt:lpwstr>
  </property>
  <property fmtid="{D5CDD505-2E9C-101B-9397-08002B2CF9AE}" pid="10" name="h9ebf4d66a24488d856d534195b16025">
    <vt:lpwstr/>
  </property>
  <property fmtid="{D5CDD505-2E9C-101B-9397-08002B2CF9AE}" pid="11" name="Command">
    <vt:lpwstr/>
  </property>
  <property fmtid="{D5CDD505-2E9C-101B-9397-08002B2CF9AE}" pid="12" name="n308fc1c4046460c8fb648b2b856e6e9">
    <vt:lpwstr>Source Selection|3a09c3fe-47f8-4d39-9e8a-f91708840b0f</vt:lpwstr>
  </property>
  <property fmtid="{D5CDD505-2E9C-101B-9397-08002B2CF9AE}" pid="13" name="Enterprise Keywords">
    <vt:lpwstr/>
  </property>
  <property fmtid="{D5CDD505-2E9C-101B-9397-08002B2CF9AE}" pid="14" name="Document Approval Date">
    <vt:lpwstr>2016-05-02T00:00:00Z</vt:lpwstr>
  </property>
  <property fmtid="{D5CDD505-2E9C-101B-9397-08002B2CF9AE}" pid="15" name="m7035df4bdf7427ca5c0f1964504c877">
    <vt:lpwstr>Competition|009663ee-2e7e-43ac-ab56-d11334898aaf;Services|da41e22c-6439-4c20-8b44-0c87d6a4c4b3</vt:lpwstr>
  </property>
  <property fmtid="{D5CDD505-2E9C-101B-9397-08002B2CF9AE}" pid="16" name="h6fa684b62a34815ab3e5f67d179d5b8">
    <vt:lpwstr/>
  </property>
  <property fmtid="{D5CDD505-2E9C-101B-9397-08002B2CF9AE}" pid="17" name="Site/Location">
    <vt:lpwstr/>
  </property>
  <property fmtid="{D5CDD505-2E9C-101B-9397-08002B2CF9AE}" pid="18" name="TaxCatchAll">
    <vt:lpwstr>20;#Source Selection|3a09c3fe-47f8-4d39-9e8a-f91708840b0f</vt:lpwstr>
  </property>
  <property fmtid="{D5CDD505-2E9C-101B-9397-08002B2CF9AE}" pid="19" name="Category">
    <vt:lpwstr>Cost/Price</vt:lpwstr>
  </property>
  <property fmtid="{D5CDD505-2E9C-101B-9397-08002B2CF9AE}" pid="20" name="FormTemplate">
    <vt:lpwstr>0</vt:lpwstr>
  </property>
  <property fmtid="{D5CDD505-2E9C-101B-9397-08002B2CF9AE}" pid="21" name="e909e8b10cc944a983fef090572d1922">
    <vt:lpwstr/>
  </property>
  <property fmtid="{D5CDD505-2E9C-101B-9397-08002B2CF9AE}" pid="22" name="pa738be334bc4a8aaec8e8dc7d2cb56c">
    <vt:lpwstr>Source Selection|3a09c3fe-47f8-4d39-9e8a-f91708840b0f</vt:lpwstr>
  </property>
  <property fmtid="{D5CDD505-2E9C-101B-9397-08002B2CF9AE}" pid="23" name="bab09fa0f9aa4cbdbe10b8aa745cea25">
    <vt:lpwstr/>
  </property>
  <property fmtid="{D5CDD505-2E9C-101B-9397-08002B2CF9AE}" pid="24" name="EnterpriseKeywords">
    <vt:lpwstr/>
  </property>
  <property fmtid="{D5CDD505-2E9C-101B-9397-08002B2CF9AE}" pid="25" name="ContractType">
    <vt:lpwstr/>
  </property>
  <property fmtid="{D5CDD505-2E9C-101B-9397-08002B2CF9AE}" pid="26" name="SiteLocation">
    <vt:lpwstr/>
  </property>
  <property fmtid="{D5CDD505-2E9C-101B-9397-08002B2CF9AE}" pid="27" name="b43ce56614dd4ac091c071b5d95eb6cb">
    <vt:lpwstr/>
  </property>
  <property fmtid="{D5CDD505-2E9C-101B-9397-08002B2CF9AE}" pid="28" name="MediaServiceImageTags">
    <vt:lpwstr/>
  </property>
  <property fmtid="{D5CDD505-2E9C-101B-9397-08002B2CF9AE}" pid="29" name="k394fe38d755448981c0366f941bf15a">
    <vt:lpwstr/>
  </property>
  <property fmtid="{D5CDD505-2E9C-101B-9397-08002B2CF9AE}" pid="30" name="c0cbced01d124e30b56a445818654b04">
    <vt:lpwstr/>
  </property>
  <property fmtid="{D5CDD505-2E9C-101B-9397-08002B2CF9AE}" pid="31" name="lcf76f155ced4ddcb4097134ff3c332f">
    <vt:lpwstr/>
  </property>
  <property fmtid="{D5CDD505-2E9C-101B-9397-08002B2CF9AE}" pid="32" name="OrgComp">
    <vt:lpwstr/>
  </property>
  <property fmtid="{D5CDD505-2E9C-101B-9397-08002B2CF9AE}" pid="33" name="Order">
    <vt:r8>6006800</vt:r8>
  </property>
  <property fmtid="{D5CDD505-2E9C-101B-9397-08002B2CF9AE}" pid="34" name="ContentTypeId">
    <vt:lpwstr>0x010100F9CAB7F5437F5540A9FEFB6F582F916A</vt:lpwstr>
  </property>
  <property fmtid="{D5CDD505-2E9C-101B-9397-08002B2CF9AE}" pid="35" name="ComplianceAssetId">
    <vt:lpwstr/>
  </property>
  <property fmtid="{D5CDD505-2E9C-101B-9397-08002B2CF9AE}" pid="36" name="_ExtendedDescription">
    <vt:lpwstr/>
  </property>
  <property fmtid="{D5CDD505-2E9C-101B-9397-08002B2CF9AE}" pid="37" name="TriggerFlowInfo">
    <vt:lpwstr/>
  </property>
</Properties>
</file>