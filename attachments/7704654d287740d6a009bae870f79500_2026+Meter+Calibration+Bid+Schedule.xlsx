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https://usaf-my.dps.mil/personal/delano_asante_us_af_mil/Documents/Documents/PZIB/Projects/ID 1701/Requirements Documents/20260306/"/>
    </mc:Choice>
  </mc:AlternateContent>
  <xr:revisionPtr revIDLastSave="20" documentId="8_{BDB60470-F24F-4548-B87F-CD82D228AF6C}" xr6:coauthVersionLast="47" xr6:coauthVersionMax="47" xr10:uidLastSave="{9E067359-229D-4A07-8CF6-BA77911B944C}"/>
  <bookViews>
    <workbookView xWindow="-110" yWindow="30" windowWidth="19420" windowHeight="10160" xr2:uid="{16813A28-2E18-4FD9-83EC-FB7E9D7D9817}"/>
  </bookViews>
  <sheets>
    <sheet name="Base Year" sheetId="1" r:id="rId1"/>
  </sheets>
  <definedNames>
    <definedName name="_xlnm.Print_Area" localSheetId="0">'Base Year'!$B$2:$H$11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 l="1"/>
  <c r="F16" i="1"/>
  <c r="G16" i="1" s="1"/>
  <c r="F17" i="1"/>
  <c r="F27" i="1" s="1"/>
  <c r="F37" i="1" s="1"/>
  <c r="G17" i="1"/>
  <c r="F18" i="1"/>
  <c r="F28" i="1" s="1"/>
  <c r="G28" i="1" s="1"/>
  <c r="F19" i="1"/>
  <c r="F29" i="1" s="1"/>
  <c r="F20" i="1"/>
  <c r="F30" i="1" s="1"/>
  <c r="G6" i="1"/>
  <c r="F15" i="1"/>
  <c r="G15" i="1" s="1"/>
  <c r="G7" i="1"/>
  <c r="G8" i="1"/>
  <c r="G9" i="1"/>
  <c r="G10" i="1"/>
  <c r="G11" i="1" s="1"/>
  <c r="G20" i="1"/>
  <c r="G18" i="1" l="1"/>
  <c r="F26" i="1"/>
  <c r="G26" i="1" s="1"/>
  <c r="G30" i="1"/>
  <c r="F40" i="1"/>
  <c r="G37" i="1"/>
  <c r="F47" i="1"/>
  <c r="G47" i="1" s="1"/>
  <c r="G21" i="1"/>
  <c r="F39" i="1"/>
  <c r="G29" i="1"/>
  <c r="F25" i="1"/>
  <c r="F38" i="1"/>
  <c r="G27" i="1"/>
  <c r="G19" i="1"/>
  <c r="F36" i="1" l="1"/>
  <c r="G25" i="1"/>
  <c r="G31" i="1" s="1"/>
  <c r="F35" i="1"/>
  <c r="F49" i="1"/>
  <c r="G49" i="1" s="1"/>
  <c r="G39" i="1"/>
  <c r="F48" i="1"/>
  <c r="G48" i="1" s="1"/>
  <c r="G38" i="1"/>
  <c r="G40" i="1"/>
  <c r="F50" i="1"/>
  <c r="G50" i="1" s="1"/>
  <c r="F46" i="1"/>
  <c r="G46" i="1" s="1"/>
  <c r="G36" i="1"/>
  <c r="G35" i="1" l="1"/>
  <c r="G41" i="1" s="1"/>
  <c r="F45" i="1"/>
  <c r="G45" i="1" s="1"/>
  <c r="G51" i="1" s="1"/>
</calcChain>
</file>

<file path=xl/sharedStrings.xml><?xml version="1.0" encoding="utf-8"?>
<sst xmlns="http://schemas.openxmlformats.org/spreadsheetml/2006/main" count="112" uniqueCount="31">
  <si>
    <t>QTY</t>
  </si>
  <si>
    <t>UNIT</t>
  </si>
  <si>
    <t>AMOUNT</t>
  </si>
  <si>
    <t xml:space="preserve">0001 </t>
  </si>
  <si>
    <t>NON-PERSONAL SERVICES:</t>
  </si>
  <si>
    <t>0002</t>
  </si>
  <si>
    <t>Meter Size 1</t>
  </si>
  <si>
    <t>EA</t>
  </si>
  <si>
    <t>0003</t>
  </si>
  <si>
    <t>Meter Size 2</t>
  </si>
  <si>
    <t>0004</t>
  </si>
  <si>
    <t>Meter Size 4</t>
  </si>
  <si>
    <t>0005</t>
  </si>
  <si>
    <t>Meter Size 3</t>
  </si>
  <si>
    <t>0006</t>
  </si>
  <si>
    <t>Meter Size 6</t>
  </si>
  <si>
    <t>0007</t>
  </si>
  <si>
    <t>Meter Size 8</t>
  </si>
  <si>
    <t>TOTAL CLINs 0002 through 0007</t>
  </si>
  <si>
    <t>TOTAL CLINs 1002 through 1007</t>
  </si>
  <si>
    <t>TOTAL CLINs 2002 through 2007</t>
  </si>
  <si>
    <t>TOTAL CLINs 3002 through 3007</t>
  </si>
  <si>
    <t>TOTAL CLINs 4002 through 4007</t>
  </si>
  <si>
    <r>
      <t xml:space="preserve">CONTRACT LINE
</t>
    </r>
    <r>
      <rPr>
        <b/>
        <sz val="11"/>
        <color indexed="8"/>
        <rFont val="Times New Roman"/>
        <family val="1"/>
      </rPr>
      <t>ITEM NO. (CLIN)</t>
    </r>
  </si>
  <si>
    <r>
      <rPr>
        <b/>
        <sz val="11"/>
        <color indexed="8"/>
        <rFont val="Times New Roman"/>
        <family val="1"/>
      </rPr>
      <t>SUPPLIES/SERVICE</t>
    </r>
  </si>
  <si>
    <r>
      <t xml:space="preserve">UNIT
</t>
    </r>
    <r>
      <rPr>
        <b/>
        <sz val="11"/>
        <color indexed="8"/>
        <rFont val="Times New Roman"/>
        <family val="1"/>
      </rPr>
      <t>PRICE</t>
    </r>
  </si>
  <si>
    <t xml:space="preserve">Provide all labor, tools, equipment, hoses, gauges,  test equipment, hearing protection, eye protection including prescription safety glasses, materials, supplies and parts, transportation and other incidentals necessary to travel to Hanscom AFB, MA, to inspect, test, and calibrate water meters for the period of performance (POP) 26 September 2026 to 25 September 2027. </t>
  </si>
  <si>
    <t xml:space="preserve">Provide all labor, tools, equipment, hoses, gauges,  test equipment, hearing protection, eye protection including prescription safety glasses, materials, supplies and parts, transportation and other incidentals necessary to travel to Hanscom AFB, MA, to inspect, test, and calibrate water meters for the period of performance (POP) 26 September 2027 to 25 September 2028. </t>
  </si>
  <si>
    <t xml:space="preserve">Provide all labor, tools, equipment, hoses, gauges,  test equipment, hearing protection, eye protection including prescription safety glasses, materials, supplies and parts, transportation and other incidentals necessary to travel to Hanscom AFB, MA, to inspect, test, and calibrate water meters for the period of performance (POP) 26 September 2028 to 25 September 2029. </t>
  </si>
  <si>
    <t xml:space="preserve">Provide all labor, tools, equipment, hoses, gauges,  test equipment, hearing protection, eye protection including prescription safety glasses, materials, supplies and parts, transportation and other incidentals necessary to travel to Hanscom AFB, MA, to inspect, test, and calibrate water meters for the period of performance (POP) 26 September 2029 to 25 September 2030. </t>
  </si>
  <si>
    <t>Provide all labor, tools, equipment, hoses, gauges,  test equipment, hearing protection, eye protection including prescription safety glasses, materials, supplies and parts, transportation and other incidentals necessary to travel to Hanscom AFB, MA, to inspect, test, and calibrate water meters for the period of performance (POP) 26 September 2030 to 25 September 2031.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</si>
</sst>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quot;$&quot;* #,##0_);_(&quot;$&quot;* \(#,##0\);_(&quot;$&quot;* &quot;-&quot;_);_(@_)"/>
    <numFmt numFmtId="44" formatCode="_(&quot;$&quot;* #,##0.00_);_(&quot;$&quot;* \(#,##0.00\);_(&quot;$&quot;* &quot;-&quot;??_);_(@_)"/>
    <numFmt numFmtId="164" formatCode="&quot;$&quot;#,##0"/>
  </numFmts>
  <fonts count="10" x14ac:knownFonts="1">
    <font>
      <sz val="11"/>
      <color theme="1"/>
      <name val="Calibri"/>
      <family val="2"/>
      <scheme val="minor"/>
    </font>
    <font>
      <b/>
      <sz val="11"/>
      <color indexed="8"/>
      <name val="Times New Roman"/>
      <family val="1"/>
    </font>
    <font>
      <sz val="11"/>
      <name val="Times New Roman"/>
      <family val="1"/>
    </font>
    <font>
      <sz val="12"/>
      <name val="Times New Roman"/>
      <family val="1"/>
    </font>
    <font>
      <sz val="8"/>
      <name val="Calibri"/>
      <family val="2"/>
    </font>
    <font>
      <sz val="11"/>
      <color theme="1"/>
      <name val="Calibri"/>
      <family val="2"/>
      <scheme val="minor"/>
    </font>
    <font>
      <sz val="11"/>
      <color theme="1"/>
      <name val="Times New Roman"/>
      <family val="1"/>
    </font>
    <font>
      <b/>
      <sz val="11"/>
      <color theme="1"/>
      <name val="Times New Roman"/>
      <family val="1"/>
    </font>
    <font>
      <sz val="12"/>
      <color theme="1"/>
      <name val="Times New Roman"/>
      <family val="1"/>
    </font>
    <font>
      <sz val="12"/>
      <color rgb="FF000000"/>
      <name val="Times New Roman"/>
      <family val="1"/>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44" fontId="5" fillId="0" borderId="0" applyFont="0" applyFill="0" applyBorder="0" applyAlignment="0" applyProtection="0"/>
  </cellStyleXfs>
  <cellXfs count="29">
    <xf numFmtId="0" fontId="0" fillId="0" borderId="0" xfId="0"/>
    <xf numFmtId="0" fontId="0" fillId="0" borderId="0" xfId="0" applyAlignment="1">
      <alignment horizontal="center"/>
    </xf>
    <xf numFmtId="0" fontId="0" fillId="0" borderId="0" xfId="0" applyAlignment="1"/>
    <xf numFmtId="0" fontId="0" fillId="0" borderId="0" xfId="0" applyFill="1" applyAlignment="1">
      <alignment horizontal="center"/>
    </xf>
    <xf numFmtId="44" fontId="5" fillId="0" borderId="0" xfId="1" applyFont="1" applyAlignment="1">
      <alignment horizontal="center"/>
    </xf>
    <xf numFmtId="44" fontId="5" fillId="0" borderId="0" xfId="1" applyFont="1" applyAlignment="1">
      <alignment horizontal="center"/>
    </xf>
    <xf numFmtId="3" fontId="5" fillId="0" borderId="0" xfId="1" applyNumberFormat="1" applyFont="1" applyAlignment="1">
      <alignment horizontal="center"/>
    </xf>
    <xf numFmtId="3" fontId="0" fillId="0" borderId="0" xfId="0" applyNumberFormat="1" applyFill="1" applyAlignment="1">
      <alignment horizontal="center"/>
    </xf>
    <xf numFmtId="164" fontId="5" fillId="0" borderId="0" xfId="1" applyNumberFormat="1" applyFont="1" applyAlignment="1">
      <alignment horizontal="center"/>
    </xf>
    <xf numFmtId="0" fontId="7" fillId="0" borderId="1" xfId="0" applyFont="1" applyBorder="1" applyAlignment="1">
      <alignment horizontal="center" vertical="center" wrapText="1"/>
    </xf>
    <xf numFmtId="44" fontId="7" fillId="0" borderId="1" xfId="1" applyFont="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center" wrapText="1"/>
    </xf>
    <xf numFmtId="44" fontId="6" fillId="0" borderId="1" xfId="1" applyFont="1" applyBorder="1" applyAlignment="1">
      <alignment horizontal="center" wrapText="1"/>
    </xf>
    <xf numFmtId="44" fontId="5" fillId="0" borderId="1" xfId="1" applyFont="1" applyBorder="1" applyAlignment="1">
      <alignment horizontal="center" wrapText="1"/>
    </xf>
    <xf numFmtId="0" fontId="0" fillId="0" borderId="1" xfId="0" applyBorder="1" applyAlignment="1">
      <alignment horizontal="center" vertical="center"/>
    </xf>
    <xf numFmtId="0" fontId="2" fillId="0" borderId="1" xfId="0" applyFont="1" applyBorder="1" applyAlignment="1">
      <alignment wrapText="1"/>
    </xf>
    <xf numFmtId="0" fontId="6" fillId="0" borderId="1" xfId="0" applyFont="1" applyBorder="1" applyAlignment="1">
      <alignment horizontal="center"/>
    </xf>
    <xf numFmtId="0" fontId="8" fillId="0" borderId="1" xfId="0" applyFont="1" applyBorder="1" applyAlignment="1">
      <alignment wrapText="1"/>
    </xf>
    <xf numFmtId="42" fontId="6" fillId="0" borderId="1" xfId="1" applyNumberFormat="1" applyFont="1" applyBorder="1" applyAlignment="1">
      <alignment horizontal="center" wrapText="1"/>
    </xf>
    <xf numFmtId="0" fontId="8" fillId="0" borderId="1" xfId="0" applyFont="1" applyBorder="1"/>
    <xf numFmtId="0" fontId="6" fillId="0" borderId="1" xfId="0" applyFont="1" applyFill="1" applyBorder="1" applyAlignment="1">
      <alignment horizontal="center" wrapText="1"/>
    </xf>
    <xf numFmtId="0" fontId="9" fillId="0" borderId="1" xfId="0" applyFont="1" applyBorder="1"/>
    <xf numFmtId="0" fontId="9" fillId="0" borderId="1" xfId="0" applyFont="1" applyBorder="1" applyAlignment="1">
      <alignment wrapText="1"/>
    </xf>
    <xf numFmtId="0" fontId="6" fillId="0" borderId="1" xfId="0" applyFont="1" applyBorder="1" applyAlignment="1">
      <alignment horizontal="right" wrapText="1"/>
    </xf>
    <xf numFmtId="42" fontId="5" fillId="0" borderId="1" xfId="1" applyNumberFormat="1" applyFont="1" applyBorder="1" applyAlignment="1">
      <alignment horizontal="center" wrapText="1"/>
    </xf>
    <xf numFmtId="0" fontId="3" fillId="0" borderId="1" xfId="0" applyFont="1" applyBorder="1"/>
    <xf numFmtId="0" fontId="6" fillId="0" borderId="1" xfId="0" quotePrefix="1" applyFont="1" applyBorder="1" applyAlignment="1">
      <alignment horizontal="center"/>
    </xf>
    <xf numFmtId="0" fontId="6" fillId="0" borderId="1" xfId="0" applyFont="1" applyFill="1" applyBorder="1" applyAlignment="1">
      <alignment horizontal="center"/>
    </xf>
  </cellXfs>
  <cellStyles count="2">
    <cellStyle name="Currency"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421CA-688E-4A5D-A0E2-42BCB12694A5}">
  <sheetPr>
    <pageSetUpPr fitToPage="1"/>
  </sheetPr>
  <dimension ref="B1:H59"/>
  <sheetViews>
    <sheetView tabSelected="1" topLeftCell="A35" workbookViewId="0">
      <selection activeCell="C45" sqref="C45"/>
    </sheetView>
  </sheetViews>
  <sheetFormatPr defaultColWidth="9.1796875" defaultRowHeight="14.5" x14ac:dyDescent="0.35"/>
  <cols>
    <col min="1" max="1" width="9.1796875" style="2"/>
    <col min="2" max="2" width="19.1796875" style="1" customWidth="1"/>
    <col min="3" max="3" width="72.7265625" style="2" customWidth="1"/>
    <col min="4" max="4" width="5.81640625" style="1" bestFit="1" customWidth="1"/>
    <col min="5" max="5" width="6.453125" style="1" bestFit="1" customWidth="1"/>
    <col min="6" max="7" width="12.81640625" style="4" bestFit="1" customWidth="1"/>
    <col min="8" max="8" width="8.54296875" style="3" bestFit="1" customWidth="1"/>
    <col min="9" max="16384" width="9.1796875" style="2"/>
  </cols>
  <sheetData>
    <row r="1" spans="2:8" x14ac:dyDescent="0.35">
      <c r="F1" s="5"/>
      <c r="G1" s="5"/>
    </row>
    <row r="2" spans="2:8" ht="28" x14ac:dyDescent="0.35">
      <c r="B2" s="9" t="s">
        <v>23</v>
      </c>
      <c r="C2" s="9" t="s">
        <v>24</v>
      </c>
      <c r="D2" s="9" t="s">
        <v>0</v>
      </c>
      <c r="E2" s="9" t="s">
        <v>1</v>
      </c>
      <c r="F2" s="10" t="s">
        <v>25</v>
      </c>
      <c r="G2" s="10" t="s">
        <v>2</v>
      </c>
      <c r="H2" s="2"/>
    </row>
    <row r="3" spans="2:8" x14ac:dyDescent="0.35">
      <c r="B3" s="11" t="s">
        <v>3</v>
      </c>
      <c r="C3" s="12" t="s">
        <v>4</v>
      </c>
      <c r="D3" s="12"/>
      <c r="E3" s="12"/>
      <c r="F3" s="13"/>
      <c r="G3" s="14"/>
      <c r="H3" s="2"/>
    </row>
    <row r="4" spans="2:8" ht="81" customHeight="1" x14ac:dyDescent="0.35">
      <c r="B4" s="15"/>
      <c r="C4" s="16" t="s">
        <v>26</v>
      </c>
      <c r="D4" s="12"/>
      <c r="E4" s="12"/>
      <c r="F4" s="13"/>
      <c r="G4" s="14"/>
      <c r="H4" s="2"/>
    </row>
    <row r="5" spans="2:8" ht="15.5" x14ac:dyDescent="0.35">
      <c r="B5" s="17" t="s">
        <v>5</v>
      </c>
      <c r="C5" s="18" t="s">
        <v>6</v>
      </c>
      <c r="D5" s="12">
        <v>1</v>
      </c>
      <c r="E5" s="12" t="s">
        <v>7</v>
      </c>
      <c r="F5" s="19">
        <v>0</v>
      </c>
      <c r="G5" s="19">
        <f t="shared" ref="G5:G10" si="0">SUM(D5*F5)</f>
        <v>0</v>
      </c>
      <c r="H5" s="2"/>
    </row>
    <row r="6" spans="2:8" ht="15.5" x14ac:dyDescent="0.35">
      <c r="B6" s="17" t="s">
        <v>8</v>
      </c>
      <c r="C6" s="18" t="s">
        <v>9</v>
      </c>
      <c r="D6" s="12">
        <v>1</v>
      </c>
      <c r="E6" s="12" t="s">
        <v>7</v>
      </c>
      <c r="F6" s="19">
        <v>0</v>
      </c>
      <c r="G6" s="19">
        <f t="shared" si="0"/>
        <v>0</v>
      </c>
      <c r="H6" s="2"/>
    </row>
    <row r="7" spans="2:8" ht="15.5" x14ac:dyDescent="0.35">
      <c r="B7" s="17" t="s">
        <v>10</v>
      </c>
      <c r="C7" s="20" t="s">
        <v>11</v>
      </c>
      <c r="D7" s="21">
        <v>2</v>
      </c>
      <c r="E7" s="21" t="s">
        <v>7</v>
      </c>
      <c r="F7" s="19">
        <v>0</v>
      </c>
      <c r="G7" s="19">
        <f t="shared" si="0"/>
        <v>0</v>
      </c>
      <c r="H7" s="2"/>
    </row>
    <row r="8" spans="2:8" ht="15.5" x14ac:dyDescent="0.35">
      <c r="B8" s="17" t="s">
        <v>12</v>
      </c>
      <c r="C8" s="22" t="s">
        <v>13</v>
      </c>
      <c r="D8" s="12">
        <v>10</v>
      </c>
      <c r="E8" s="12" t="s">
        <v>7</v>
      </c>
      <c r="F8" s="19">
        <v>0</v>
      </c>
      <c r="G8" s="19">
        <f t="shared" si="0"/>
        <v>0</v>
      </c>
      <c r="H8" s="2"/>
    </row>
    <row r="9" spans="2:8" ht="15.5" x14ac:dyDescent="0.35">
      <c r="B9" s="17" t="s">
        <v>14</v>
      </c>
      <c r="C9" s="23" t="s">
        <v>15</v>
      </c>
      <c r="D9" s="21">
        <v>1</v>
      </c>
      <c r="E9" s="21" t="s">
        <v>7</v>
      </c>
      <c r="F9" s="19">
        <v>0</v>
      </c>
      <c r="G9" s="19">
        <f t="shared" si="0"/>
        <v>0</v>
      </c>
      <c r="H9" s="2"/>
    </row>
    <row r="10" spans="2:8" ht="15.5" x14ac:dyDescent="0.35">
      <c r="B10" s="17" t="s">
        <v>16</v>
      </c>
      <c r="C10" s="22" t="s">
        <v>17</v>
      </c>
      <c r="D10" s="21">
        <v>3</v>
      </c>
      <c r="E10" s="21" t="s">
        <v>7</v>
      </c>
      <c r="F10" s="19">
        <v>0</v>
      </c>
      <c r="G10" s="19">
        <f t="shared" si="0"/>
        <v>0</v>
      </c>
      <c r="H10" s="2"/>
    </row>
    <row r="11" spans="2:8" ht="14.5" customHeight="1" x14ac:dyDescent="0.35">
      <c r="B11" s="17"/>
      <c r="C11" s="24" t="s">
        <v>18</v>
      </c>
      <c r="D11" s="12"/>
      <c r="E11" s="12"/>
      <c r="F11" s="19"/>
      <c r="G11" s="25">
        <f>SUM(G5:G10)</f>
        <v>0</v>
      </c>
      <c r="H11" s="2"/>
    </row>
    <row r="12" spans="2:8" ht="28" x14ac:dyDescent="0.35">
      <c r="B12" s="9" t="s">
        <v>23</v>
      </c>
      <c r="C12" s="9" t="s">
        <v>24</v>
      </c>
      <c r="D12" s="9" t="s">
        <v>0</v>
      </c>
      <c r="E12" s="9" t="s">
        <v>1</v>
      </c>
      <c r="F12" s="10" t="s">
        <v>25</v>
      </c>
      <c r="G12" s="10" t="s">
        <v>2</v>
      </c>
    </row>
    <row r="13" spans="2:8" x14ac:dyDescent="0.35">
      <c r="B13" s="11">
        <v>1001</v>
      </c>
      <c r="C13" s="12" t="s">
        <v>4</v>
      </c>
      <c r="D13" s="12"/>
      <c r="E13" s="12"/>
      <c r="F13" s="13"/>
      <c r="G13" s="14"/>
    </row>
    <row r="14" spans="2:8" ht="70.5" x14ac:dyDescent="0.35">
      <c r="B14" s="15"/>
      <c r="C14" s="16" t="s">
        <v>27</v>
      </c>
      <c r="D14" s="12"/>
      <c r="E14" s="12"/>
      <c r="F14" s="13"/>
      <c r="G14" s="14"/>
    </row>
    <row r="15" spans="2:8" ht="15.5" x14ac:dyDescent="0.35">
      <c r="B15" s="17">
        <v>1002</v>
      </c>
      <c r="C15" s="18" t="s">
        <v>6</v>
      </c>
      <c r="D15" s="12">
        <v>1</v>
      </c>
      <c r="E15" s="12" t="s">
        <v>7</v>
      </c>
      <c r="F15" s="19">
        <f t="shared" ref="F15:F20" si="1">F5*1.07</f>
        <v>0</v>
      </c>
      <c r="G15" s="19">
        <f t="shared" ref="G15:G20" si="2">SUM(D15*F15)</f>
        <v>0</v>
      </c>
    </row>
    <row r="16" spans="2:8" ht="15.5" x14ac:dyDescent="0.35">
      <c r="B16" s="17">
        <v>1003</v>
      </c>
      <c r="C16" s="18" t="s">
        <v>9</v>
      </c>
      <c r="D16" s="12">
        <v>1</v>
      </c>
      <c r="E16" s="12" t="s">
        <v>7</v>
      </c>
      <c r="F16" s="19">
        <f t="shared" si="1"/>
        <v>0</v>
      </c>
      <c r="G16" s="19">
        <f t="shared" si="2"/>
        <v>0</v>
      </c>
    </row>
    <row r="17" spans="2:7" ht="15.5" x14ac:dyDescent="0.35">
      <c r="B17" s="17">
        <v>1004</v>
      </c>
      <c r="C17" s="20" t="s">
        <v>11</v>
      </c>
      <c r="D17" s="21">
        <v>2</v>
      </c>
      <c r="E17" s="21" t="s">
        <v>7</v>
      </c>
      <c r="F17" s="19">
        <f t="shared" si="1"/>
        <v>0</v>
      </c>
      <c r="G17" s="19">
        <f t="shared" si="2"/>
        <v>0</v>
      </c>
    </row>
    <row r="18" spans="2:7" ht="15.5" x14ac:dyDescent="0.35">
      <c r="B18" s="17">
        <v>1005</v>
      </c>
      <c r="C18" s="26" t="s">
        <v>13</v>
      </c>
      <c r="D18" s="12">
        <v>10</v>
      </c>
      <c r="E18" s="12" t="s">
        <v>7</v>
      </c>
      <c r="F18" s="19">
        <f t="shared" si="1"/>
        <v>0</v>
      </c>
      <c r="G18" s="19">
        <f t="shared" si="2"/>
        <v>0</v>
      </c>
    </row>
    <row r="19" spans="2:7" ht="15.5" x14ac:dyDescent="0.35">
      <c r="B19" s="17">
        <v>1006</v>
      </c>
      <c r="C19" s="23" t="s">
        <v>15</v>
      </c>
      <c r="D19" s="21">
        <v>1</v>
      </c>
      <c r="E19" s="21" t="s">
        <v>7</v>
      </c>
      <c r="F19" s="19">
        <f t="shared" si="1"/>
        <v>0</v>
      </c>
      <c r="G19" s="19">
        <f t="shared" si="2"/>
        <v>0</v>
      </c>
    </row>
    <row r="20" spans="2:7" ht="15.5" x14ac:dyDescent="0.35">
      <c r="B20" s="17">
        <v>1007</v>
      </c>
      <c r="C20" s="22" t="s">
        <v>17</v>
      </c>
      <c r="D20" s="21">
        <v>3</v>
      </c>
      <c r="E20" s="21" t="s">
        <v>7</v>
      </c>
      <c r="F20" s="19">
        <f t="shared" si="1"/>
        <v>0</v>
      </c>
      <c r="G20" s="19">
        <f t="shared" si="2"/>
        <v>0</v>
      </c>
    </row>
    <row r="21" spans="2:7" x14ac:dyDescent="0.35">
      <c r="B21" s="17"/>
      <c r="C21" s="24" t="s">
        <v>19</v>
      </c>
      <c r="D21" s="12"/>
      <c r="E21" s="12"/>
      <c r="F21" s="19"/>
      <c r="G21" s="25">
        <f>SUM(G15:G20)</f>
        <v>0</v>
      </c>
    </row>
    <row r="22" spans="2:7" ht="28" x14ac:dyDescent="0.35">
      <c r="B22" s="9" t="s">
        <v>23</v>
      </c>
      <c r="C22" s="9" t="s">
        <v>24</v>
      </c>
      <c r="D22" s="9" t="s">
        <v>0</v>
      </c>
      <c r="E22" s="9" t="s">
        <v>1</v>
      </c>
      <c r="F22" s="10" t="s">
        <v>25</v>
      </c>
      <c r="G22" s="10" t="s">
        <v>2</v>
      </c>
    </row>
    <row r="23" spans="2:7" x14ac:dyDescent="0.35">
      <c r="B23" s="11">
        <v>2001</v>
      </c>
      <c r="C23" s="12" t="s">
        <v>4</v>
      </c>
      <c r="D23" s="12"/>
      <c r="E23" s="12"/>
      <c r="F23" s="13"/>
      <c r="G23" s="14"/>
    </row>
    <row r="24" spans="2:7" ht="70.5" x14ac:dyDescent="0.35">
      <c r="B24" s="15"/>
      <c r="C24" s="16" t="s">
        <v>28</v>
      </c>
      <c r="D24" s="12"/>
      <c r="E24" s="12"/>
      <c r="F24" s="13"/>
      <c r="G24" s="14"/>
    </row>
    <row r="25" spans="2:7" ht="15.5" x14ac:dyDescent="0.35">
      <c r="B25" s="17">
        <v>2002</v>
      </c>
      <c r="C25" s="18" t="s">
        <v>6</v>
      </c>
      <c r="D25" s="12">
        <v>1</v>
      </c>
      <c r="E25" s="12" t="s">
        <v>7</v>
      </c>
      <c r="F25" s="19">
        <f t="shared" ref="F25:F30" si="3">F15*1.07</f>
        <v>0</v>
      </c>
      <c r="G25" s="19">
        <f t="shared" ref="G25:G30" si="4">SUM(D25*F25)</f>
        <v>0</v>
      </c>
    </row>
    <row r="26" spans="2:7" ht="15.5" x14ac:dyDescent="0.35">
      <c r="B26" s="17">
        <v>2003</v>
      </c>
      <c r="C26" s="18" t="s">
        <v>9</v>
      </c>
      <c r="D26" s="12">
        <v>1</v>
      </c>
      <c r="E26" s="12" t="s">
        <v>7</v>
      </c>
      <c r="F26" s="19">
        <f t="shared" si="3"/>
        <v>0</v>
      </c>
      <c r="G26" s="19">
        <f t="shared" si="4"/>
        <v>0</v>
      </c>
    </row>
    <row r="27" spans="2:7" ht="15.5" x14ac:dyDescent="0.35">
      <c r="B27" s="17">
        <v>2004</v>
      </c>
      <c r="C27" s="20" t="s">
        <v>11</v>
      </c>
      <c r="D27" s="21">
        <v>2</v>
      </c>
      <c r="E27" s="21" t="s">
        <v>7</v>
      </c>
      <c r="F27" s="19">
        <f t="shared" si="3"/>
        <v>0</v>
      </c>
      <c r="G27" s="19">
        <f t="shared" si="4"/>
        <v>0</v>
      </c>
    </row>
    <row r="28" spans="2:7" ht="15.5" x14ac:dyDescent="0.35">
      <c r="B28" s="27">
        <v>2005</v>
      </c>
      <c r="C28" s="26" t="s">
        <v>13</v>
      </c>
      <c r="D28" s="12">
        <v>10</v>
      </c>
      <c r="E28" s="12" t="s">
        <v>7</v>
      </c>
      <c r="F28" s="19">
        <f t="shared" si="3"/>
        <v>0</v>
      </c>
      <c r="G28" s="19">
        <f t="shared" si="4"/>
        <v>0</v>
      </c>
    </row>
    <row r="29" spans="2:7" ht="15.5" x14ac:dyDescent="0.35">
      <c r="B29" s="27">
        <v>2006</v>
      </c>
      <c r="C29" s="23" t="s">
        <v>15</v>
      </c>
      <c r="D29" s="21">
        <v>1</v>
      </c>
      <c r="E29" s="21" t="s">
        <v>7</v>
      </c>
      <c r="F29" s="19">
        <f t="shared" si="3"/>
        <v>0</v>
      </c>
      <c r="G29" s="19">
        <f t="shared" si="4"/>
        <v>0</v>
      </c>
    </row>
    <row r="30" spans="2:7" ht="15.5" x14ac:dyDescent="0.35">
      <c r="B30" s="27">
        <v>2007</v>
      </c>
      <c r="C30" s="22" t="s">
        <v>17</v>
      </c>
      <c r="D30" s="21">
        <v>3</v>
      </c>
      <c r="E30" s="21" t="s">
        <v>7</v>
      </c>
      <c r="F30" s="19">
        <f t="shared" si="3"/>
        <v>0</v>
      </c>
      <c r="G30" s="19">
        <f t="shared" si="4"/>
        <v>0</v>
      </c>
    </row>
    <row r="31" spans="2:7" x14ac:dyDescent="0.35">
      <c r="B31" s="17"/>
      <c r="C31" s="24" t="s">
        <v>20</v>
      </c>
      <c r="D31" s="12"/>
      <c r="E31" s="12"/>
      <c r="F31" s="19"/>
      <c r="G31" s="25">
        <f>SUM(G25:G30)</f>
        <v>0</v>
      </c>
    </row>
    <row r="32" spans="2:7" ht="28" x14ac:dyDescent="0.35">
      <c r="B32" s="9" t="s">
        <v>23</v>
      </c>
      <c r="C32" s="9" t="s">
        <v>24</v>
      </c>
      <c r="D32" s="9" t="s">
        <v>0</v>
      </c>
      <c r="E32" s="9" t="s">
        <v>1</v>
      </c>
      <c r="F32" s="10" t="s">
        <v>25</v>
      </c>
      <c r="G32" s="10" t="s">
        <v>2</v>
      </c>
    </row>
    <row r="33" spans="2:7" x14ac:dyDescent="0.35">
      <c r="B33" s="11">
        <v>3001</v>
      </c>
      <c r="C33" s="12" t="s">
        <v>4</v>
      </c>
      <c r="D33" s="12"/>
      <c r="E33" s="12"/>
      <c r="F33" s="13"/>
      <c r="G33" s="14"/>
    </row>
    <row r="34" spans="2:7" ht="70.5" x14ac:dyDescent="0.35">
      <c r="B34" s="15"/>
      <c r="C34" s="16" t="s">
        <v>29</v>
      </c>
      <c r="D34" s="12"/>
      <c r="E34" s="12"/>
      <c r="F34" s="13"/>
      <c r="G34" s="14"/>
    </row>
    <row r="35" spans="2:7" ht="15.5" x14ac:dyDescent="0.35">
      <c r="B35" s="17">
        <v>3002</v>
      </c>
      <c r="C35" s="18" t="s">
        <v>6</v>
      </c>
      <c r="D35" s="12">
        <v>1</v>
      </c>
      <c r="E35" s="12" t="s">
        <v>7</v>
      </c>
      <c r="F35" s="19">
        <f t="shared" ref="F35:F40" si="5">F25*1.07</f>
        <v>0</v>
      </c>
      <c r="G35" s="19">
        <f t="shared" ref="G35:G40" si="6">SUM(D35*F35)</f>
        <v>0</v>
      </c>
    </row>
    <row r="36" spans="2:7" ht="15.5" x14ac:dyDescent="0.35">
      <c r="B36" s="17">
        <v>3003</v>
      </c>
      <c r="C36" s="18" t="s">
        <v>9</v>
      </c>
      <c r="D36" s="12">
        <v>1</v>
      </c>
      <c r="E36" s="12" t="s">
        <v>7</v>
      </c>
      <c r="F36" s="19">
        <f t="shared" si="5"/>
        <v>0</v>
      </c>
      <c r="G36" s="19">
        <f t="shared" si="6"/>
        <v>0</v>
      </c>
    </row>
    <row r="37" spans="2:7" ht="15.5" x14ac:dyDescent="0.35">
      <c r="B37" s="17">
        <v>3004</v>
      </c>
      <c r="C37" s="20" t="s">
        <v>11</v>
      </c>
      <c r="D37" s="21">
        <v>2</v>
      </c>
      <c r="E37" s="21" t="s">
        <v>7</v>
      </c>
      <c r="F37" s="19">
        <f t="shared" si="5"/>
        <v>0</v>
      </c>
      <c r="G37" s="19">
        <f t="shared" si="6"/>
        <v>0</v>
      </c>
    </row>
    <row r="38" spans="2:7" ht="15.5" x14ac:dyDescent="0.35">
      <c r="B38" s="27">
        <v>3005</v>
      </c>
      <c r="C38" s="22" t="s">
        <v>13</v>
      </c>
      <c r="D38" s="12">
        <v>10</v>
      </c>
      <c r="E38" s="12" t="s">
        <v>7</v>
      </c>
      <c r="F38" s="19">
        <f t="shared" si="5"/>
        <v>0</v>
      </c>
      <c r="G38" s="19">
        <f t="shared" si="6"/>
        <v>0</v>
      </c>
    </row>
    <row r="39" spans="2:7" ht="15.5" x14ac:dyDescent="0.35">
      <c r="B39" s="28">
        <v>3006</v>
      </c>
      <c r="C39" s="23" t="s">
        <v>15</v>
      </c>
      <c r="D39" s="21">
        <v>1</v>
      </c>
      <c r="E39" s="21" t="s">
        <v>7</v>
      </c>
      <c r="F39" s="19">
        <f t="shared" si="5"/>
        <v>0</v>
      </c>
      <c r="G39" s="19">
        <f t="shared" si="6"/>
        <v>0</v>
      </c>
    </row>
    <row r="40" spans="2:7" ht="15.5" x14ac:dyDescent="0.35">
      <c r="B40" s="27">
        <v>3007</v>
      </c>
      <c r="C40" s="22" t="s">
        <v>17</v>
      </c>
      <c r="D40" s="21">
        <v>3</v>
      </c>
      <c r="E40" s="21" t="s">
        <v>7</v>
      </c>
      <c r="F40" s="19">
        <f t="shared" si="5"/>
        <v>0</v>
      </c>
      <c r="G40" s="19">
        <f t="shared" si="6"/>
        <v>0</v>
      </c>
    </row>
    <row r="41" spans="2:7" x14ac:dyDescent="0.35">
      <c r="B41" s="17"/>
      <c r="C41" s="24" t="s">
        <v>21</v>
      </c>
      <c r="D41" s="12"/>
      <c r="E41" s="12"/>
      <c r="F41" s="19"/>
      <c r="G41" s="25">
        <f>SUM(G35:G40)</f>
        <v>0</v>
      </c>
    </row>
    <row r="42" spans="2:7" ht="28" x14ac:dyDescent="0.35">
      <c r="B42" s="9" t="s">
        <v>23</v>
      </c>
      <c r="C42" s="9" t="s">
        <v>24</v>
      </c>
      <c r="D42" s="9" t="s">
        <v>0</v>
      </c>
      <c r="E42" s="9" t="s">
        <v>1</v>
      </c>
      <c r="F42" s="10" t="s">
        <v>25</v>
      </c>
      <c r="G42" s="10" t="s">
        <v>2</v>
      </c>
    </row>
    <row r="43" spans="2:7" x14ac:dyDescent="0.35">
      <c r="B43" s="11">
        <v>4001</v>
      </c>
      <c r="C43" s="12" t="s">
        <v>4</v>
      </c>
      <c r="D43" s="12"/>
      <c r="E43" s="12"/>
      <c r="F43" s="13"/>
      <c r="G43" s="14"/>
    </row>
    <row r="44" spans="2:7" ht="70.5" x14ac:dyDescent="0.35">
      <c r="B44" s="15"/>
      <c r="C44" s="16" t="s">
        <v>30</v>
      </c>
      <c r="D44" s="12"/>
      <c r="E44" s="12"/>
      <c r="F44" s="13"/>
      <c r="G44" s="14"/>
    </row>
    <row r="45" spans="2:7" ht="15.5" x14ac:dyDescent="0.35">
      <c r="B45" s="17">
        <v>4002</v>
      </c>
      <c r="C45" s="18" t="s">
        <v>6</v>
      </c>
      <c r="D45" s="12">
        <v>1</v>
      </c>
      <c r="E45" s="12" t="s">
        <v>7</v>
      </c>
      <c r="F45" s="19">
        <f t="shared" ref="F45:F50" si="7">F35*1.07</f>
        <v>0</v>
      </c>
      <c r="G45" s="19">
        <f t="shared" ref="G45:G50" si="8">SUM(D45*F45)</f>
        <v>0</v>
      </c>
    </row>
    <row r="46" spans="2:7" ht="15.5" x14ac:dyDescent="0.35">
      <c r="B46" s="17">
        <v>4003</v>
      </c>
      <c r="C46" s="18" t="s">
        <v>9</v>
      </c>
      <c r="D46" s="12">
        <v>1</v>
      </c>
      <c r="E46" s="12" t="s">
        <v>7</v>
      </c>
      <c r="F46" s="19">
        <f t="shared" si="7"/>
        <v>0</v>
      </c>
      <c r="G46" s="19">
        <f t="shared" si="8"/>
        <v>0</v>
      </c>
    </row>
    <row r="47" spans="2:7" ht="15.5" x14ac:dyDescent="0.35">
      <c r="B47" s="17">
        <v>4004</v>
      </c>
      <c r="C47" s="20" t="s">
        <v>11</v>
      </c>
      <c r="D47" s="21">
        <v>2</v>
      </c>
      <c r="E47" s="21" t="s">
        <v>7</v>
      </c>
      <c r="F47" s="19">
        <f t="shared" si="7"/>
        <v>0</v>
      </c>
      <c r="G47" s="19">
        <f t="shared" si="8"/>
        <v>0</v>
      </c>
    </row>
    <row r="48" spans="2:7" ht="15.5" x14ac:dyDescent="0.35">
      <c r="B48" s="27">
        <v>4005</v>
      </c>
      <c r="C48" s="22" t="s">
        <v>13</v>
      </c>
      <c r="D48" s="12">
        <v>10</v>
      </c>
      <c r="E48" s="12" t="s">
        <v>7</v>
      </c>
      <c r="F48" s="19">
        <f t="shared" si="7"/>
        <v>0</v>
      </c>
      <c r="G48" s="19">
        <f t="shared" si="8"/>
        <v>0</v>
      </c>
    </row>
    <row r="49" spans="2:8" ht="15.5" x14ac:dyDescent="0.35">
      <c r="B49" s="27">
        <v>4006</v>
      </c>
      <c r="C49" s="23" t="s">
        <v>15</v>
      </c>
      <c r="D49" s="21">
        <v>1</v>
      </c>
      <c r="E49" s="21" t="s">
        <v>7</v>
      </c>
      <c r="F49" s="19">
        <f t="shared" si="7"/>
        <v>0</v>
      </c>
      <c r="G49" s="19">
        <f t="shared" si="8"/>
        <v>0</v>
      </c>
    </row>
    <row r="50" spans="2:8" ht="15.5" x14ac:dyDescent="0.35">
      <c r="B50" s="27">
        <v>4007</v>
      </c>
      <c r="C50" s="22" t="s">
        <v>17</v>
      </c>
      <c r="D50" s="21">
        <v>3</v>
      </c>
      <c r="E50" s="21" t="s">
        <v>7</v>
      </c>
      <c r="F50" s="19">
        <f t="shared" si="7"/>
        <v>0</v>
      </c>
      <c r="G50" s="19">
        <f t="shared" si="8"/>
        <v>0</v>
      </c>
    </row>
    <row r="51" spans="2:8" x14ac:dyDescent="0.35">
      <c r="B51" s="17"/>
      <c r="C51" s="24" t="s">
        <v>22</v>
      </c>
      <c r="D51" s="12"/>
      <c r="E51" s="12"/>
      <c r="F51" s="19"/>
      <c r="G51" s="25">
        <f>SUM(G45:G50)</f>
        <v>0</v>
      </c>
    </row>
    <row r="54" spans="2:8" x14ac:dyDescent="0.35">
      <c r="F54" s="5"/>
      <c r="G54" s="8"/>
      <c r="H54" s="7"/>
    </row>
    <row r="55" spans="2:8" x14ac:dyDescent="0.35">
      <c r="F55" s="5"/>
      <c r="G55" s="6"/>
      <c r="H55" s="7"/>
    </row>
    <row r="56" spans="2:8" x14ac:dyDescent="0.35">
      <c r="F56" s="5"/>
      <c r="G56" s="6"/>
      <c r="H56" s="7"/>
    </row>
    <row r="57" spans="2:8" x14ac:dyDescent="0.35">
      <c r="F57" s="5"/>
      <c r="G57" s="6"/>
      <c r="H57" s="7"/>
    </row>
    <row r="58" spans="2:8" x14ac:dyDescent="0.35">
      <c r="F58" s="5"/>
      <c r="G58" s="6"/>
      <c r="H58" s="7"/>
    </row>
    <row r="59" spans="2:8" x14ac:dyDescent="0.35">
      <c r="F59" s="5"/>
      <c r="G59" s="6"/>
      <c r="H59" s="7"/>
    </row>
  </sheetData>
  <mergeCells count="5">
    <mergeCell ref="B3:B4"/>
    <mergeCell ref="B13:B14"/>
    <mergeCell ref="B23:B24"/>
    <mergeCell ref="B33:B34"/>
    <mergeCell ref="B43:B44"/>
  </mergeCells>
  <phoneticPr fontId="4" type="noConversion"/>
  <pageMargins left="0.7" right="0.7" top="0.75" bottom="0.75" header="0.3" footer="0.3"/>
  <pageSetup scale="65" fitToHeight="0" orientation="portrait" r:id="rId1"/>
  <headerFooter>
    <oddHeader>&amp;C&amp;12Custodial Services Contract Bid Schedule</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E93E91D-B418-498C-86E3-3790DEE3581E}">
  <ds:schemaRefs>
    <ds:schemaRef ds:uri="http://schemas.microsoft.com/sharepoint/v3/contenttype/forms"/>
  </ds:schemaRefs>
</ds:datastoreItem>
</file>

<file path=customXml/itemProps2.xml><?xml version="1.0" encoding="utf-8"?>
<ds:datastoreItem xmlns:ds="http://schemas.openxmlformats.org/officeDocument/2006/customXml" ds:itemID="{F19E797A-8919-4363-AF02-08681600A4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Metadata/LabelInfo.xml><?xml version="1.0" encoding="utf-8"?>
<clbl:labelList xmlns:clbl="http://schemas.microsoft.com/office/2020/mipLabelMetadata">
  <clbl:label id="{1bd84cd2-a803-4625-aaf7-424aaac7782e}" enabled="1" method="Standar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Base Year</vt:lpstr>
      <vt:lpstr>'Base Year'!Print_Area</vt:lpstr>
    </vt:vector>
  </TitlesOfParts>
  <Manager/>
  <Company>U.S. Air Force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SmithK</dc:creator>
  <cp:keywords/>
  <dc:description/>
  <cp:lastModifiedBy>ASANTE, DELANO Y 2d Lt USAF AFMC AFLCMC/PZI</cp:lastModifiedBy>
  <cp:revision/>
  <cp:lastPrinted>2026-03-06T09:23:05Z</cp:lastPrinted>
  <dcterms:created xsi:type="dcterms:W3CDTF">2012-03-30T12:33:53Z</dcterms:created>
  <dcterms:modified xsi:type="dcterms:W3CDTF">2026-03-06T09:38:10Z</dcterms:modified>
  <cp:category/>
  <cp:contentStatus/>
</cp:coreProperties>
</file>